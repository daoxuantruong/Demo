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ruong.dao\Desktop\"/>
    </mc:Choice>
  </mc:AlternateContent>
  <bookViews>
    <workbookView xWindow="0" yWindow="0" windowWidth="21000" windowHeight="11220" tabRatio="684" activeTab="1"/>
  </bookViews>
  <sheets>
    <sheet name="Cover" sheetId="82" r:id="rId1"/>
    <sheet name="Reference" sheetId="5" r:id="rId2"/>
    <sheet name="Member_Data_Calculation" sheetId="73" r:id="rId3"/>
    <sheet name="360_Degree_Review" sheetId="69" state="hidden" r:id="rId4"/>
    <sheet name="MemberData" sheetId="75" r:id="rId5"/>
    <sheet name="Commited_Actual_1stProject" sheetId="78" r:id="rId6"/>
    <sheet name="Commited_Actual_2ndProject" sheetId="81" r:id="rId7"/>
    <sheet name="Commited_Actual_3rdProject" sheetId="84" r:id="rId8"/>
    <sheet name="Commited_Actual_4thProject" sheetId="85" r:id="rId9"/>
    <sheet name="360_Degree_Result" sheetId="76" r:id="rId10"/>
    <sheet name="Sheet1" sheetId="83" r:id="rId11"/>
  </sheets>
  <externalReferences>
    <externalReference r:id="rId12"/>
    <externalReference r:id="rId13"/>
    <externalReference r:id="rId14"/>
  </externalReferences>
  <definedNames>
    <definedName name="_xlnm._FilterDatabase" localSheetId="3" hidden="1">'360_Degree_Review'!$A$1:$H$74</definedName>
    <definedName name="_xlnm._FilterDatabase" localSheetId="5" hidden="1">Commited_Actual_1stProject!$B$7:$AB$36</definedName>
    <definedName name="_xlnm._FilterDatabase" localSheetId="6" hidden="1">Commited_Actual_2ndProject!$B$7:$AB$34</definedName>
    <definedName name="_xlnm._FilterDatabase" localSheetId="7" hidden="1">Commited_Actual_3rdProject!$B$7:$M$34</definedName>
    <definedName name="_xlnm._FilterDatabase" localSheetId="8" hidden="1">Commited_Actual_4thProject!$B$7:$M$34</definedName>
    <definedName name="_xlnm._FilterDatabase" localSheetId="4" hidden="1">MemberData!$B$3:$CU$7</definedName>
    <definedName name="_xlnm._FilterDatabase" localSheetId="1" hidden="1">Reference!$A$1:$L$21</definedName>
    <definedName name="cf" hidden="1">{#N/A,#N/A,FALSE,"신규dep";#N/A,#N/A,FALSE,"신규dep-금형상각후";#N/A,#N/A,FALSE,"신규dep-연구비상각후";#N/A,#N/A,FALSE,"신규dep-기계,공구상각후"}</definedName>
    <definedName name="conn" localSheetId="5" hidden="1">{#N/A,#N/A,FALSE,"신규dep";#N/A,#N/A,FALSE,"신규dep-금형상각후";#N/A,#N/A,FALSE,"신규dep-연구비상각후";#N/A,#N/A,FALSE,"신규dep-기계,공구상각후"}</definedName>
    <definedName name="conn" localSheetId="6" hidden="1">{#N/A,#N/A,FALSE,"신규dep";#N/A,#N/A,FALSE,"신규dep-금형상각후";#N/A,#N/A,FALSE,"신규dep-연구비상각후";#N/A,#N/A,FALSE,"신규dep-기계,공구상각후"}</definedName>
    <definedName name="conn" localSheetId="7" hidden="1">{#N/A,#N/A,FALSE,"신규dep";#N/A,#N/A,FALSE,"신규dep-금형상각후";#N/A,#N/A,FALSE,"신규dep-연구비상각후";#N/A,#N/A,FALSE,"신규dep-기계,공구상각후"}</definedName>
    <definedName name="conn" localSheetId="8" hidden="1">{#N/A,#N/A,FALSE,"신규dep";#N/A,#N/A,FALSE,"신규dep-금형상각후";#N/A,#N/A,FALSE,"신규dep-연구비상각후";#N/A,#N/A,FALSE,"신규dep-기계,공구상각후"}</definedName>
    <definedName name="conn" localSheetId="0" hidden="1">{#N/A,#N/A,FALSE,"신규dep";#N/A,#N/A,FALSE,"신규dep-금형상각후";#N/A,#N/A,FALSE,"신규dep-연구비상각후";#N/A,#N/A,FALSE,"신규dep-기계,공구상각후"}</definedName>
    <definedName name="conn" hidden="1">{#N/A,#N/A,FALSE,"신규dep";#N/A,#N/A,FALSE,"신규dep-금형상각후";#N/A,#N/A,FALSE,"신규dep-연구비상각후";#N/A,#N/A,FALSE,"신규dep-기계,공구상각후"}</definedName>
    <definedName name="wrn.신규dep._.full._.set." localSheetId="5" hidden="1">{#N/A,#N/A,FALSE,"신규dep";#N/A,#N/A,FALSE,"신규dep-금형상각후";#N/A,#N/A,FALSE,"신규dep-연구비상각후";#N/A,#N/A,FALSE,"신규dep-기계,공구상각후"}</definedName>
    <definedName name="wrn.신규dep._.full._.set." localSheetId="6" hidden="1">{#N/A,#N/A,FALSE,"신규dep";#N/A,#N/A,FALSE,"신규dep-금형상각후";#N/A,#N/A,FALSE,"신규dep-연구비상각후";#N/A,#N/A,FALSE,"신규dep-기계,공구상각후"}</definedName>
    <definedName name="wrn.신규dep._.full._.set." localSheetId="7" hidden="1">{#N/A,#N/A,FALSE,"신규dep";#N/A,#N/A,FALSE,"신규dep-금형상각후";#N/A,#N/A,FALSE,"신규dep-연구비상각후";#N/A,#N/A,FALSE,"신규dep-기계,공구상각후"}</definedName>
    <definedName name="wrn.신규dep._.full._.set." localSheetId="8" hidden="1">{#N/A,#N/A,FALSE,"신규dep";#N/A,#N/A,FALSE,"신규dep-금형상각후";#N/A,#N/A,FALSE,"신규dep-연구비상각후";#N/A,#N/A,FALSE,"신규dep-기계,공구상각후"}</definedName>
    <definedName name="wrn.신규dep._.full._.set." localSheetId="0" hidden="1">{#N/A,#N/A,FALSE,"신규dep";#N/A,#N/A,FALSE,"신규dep-금형상각후";#N/A,#N/A,FALSE,"신규dep-연구비상각후";#N/A,#N/A,FALSE,"신규dep-기계,공구상각후"}</definedName>
    <definedName name="wrn.신규dep._.full._.set." hidden="1">{#N/A,#N/A,FALSE,"신규dep";#N/A,#N/A,FALSE,"신규dep-금형상각후";#N/A,#N/A,FALSE,"신규dep-연구비상각후";#N/A,#N/A,FALSE,"신규dep-기계,공구상각후"}</definedName>
  </definedNames>
  <calcPr calcId="152511"/>
</workbook>
</file>

<file path=xl/calcChain.xml><?xml version="1.0" encoding="utf-8"?>
<calcChain xmlns="http://schemas.openxmlformats.org/spreadsheetml/2006/main">
  <c r="G6" i="75" l="1"/>
  <c r="I63" i="73" l="1"/>
  <c r="H63" i="73"/>
  <c r="G63" i="73"/>
  <c r="I62" i="73"/>
  <c r="H62" i="73"/>
  <c r="G62" i="73"/>
  <c r="I61" i="73"/>
  <c r="H61" i="73"/>
  <c r="G61" i="73"/>
  <c r="I60" i="73"/>
  <c r="H60" i="73"/>
  <c r="G60" i="73"/>
  <c r="I59" i="73"/>
  <c r="H59" i="73"/>
  <c r="G59" i="73"/>
  <c r="I58" i="73"/>
  <c r="H58" i="73"/>
  <c r="G58" i="73"/>
  <c r="I39" i="73"/>
  <c r="H39" i="73"/>
  <c r="G39" i="73"/>
  <c r="I38" i="73"/>
  <c r="H38" i="73"/>
  <c r="G38" i="73"/>
  <c r="I36" i="73"/>
  <c r="H36" i="73"/>
  <c r="G36" i="73"/>
  <c r="I35" i="73"/>
  <c r="H35" i="73"/>
  <c r="G35" i="73"/>
  <c r="I33" i="73"/>
  <c r="H33" i="73"/>
  <c r="G33" i="73"/>
  <c r="I32" i="73"/>
  <c r="H32" i="73"/>
  <c r="G32" i="73"/>
  <c r="I24" i="73"/>
  <c r="H24" i="73"/>
  <c r="G24" i="73"/>
  <c r="Z8" i="78"/>
  <c r="J24" i="73" l="1"/>
  <c r="Q46" i="73"/>
  <c r="EE15" i="75"/>
  <c r="ED15" i="75"/>
  <c r="EC15" i="75"/>
  <c r="EE12" i="75"/>
  <c r="ED12" i="75"/>
  <c r="EC12" i="75"/>
  <c r="EE11" i="75"/>
  <c r="ED11" i="75"/>
  <c r="EC11" i="75"/>
  <c r="HW12" i="75"/>
  <c r="I81" i="73" s="1"/>
  <c r="HV12" i="75"/>
  <c r="H81" i="73" s="1"/>
  <c r="HU12" i="75"/>
  <c r="G81" i="73" s="1"/>
  <c r="JY12" i="75"/>
  <c r="I99" i="73" s="1"/>
  <c r="JX12" i="75"/>
  <c r="H99" i="73" s="1"/>
  <c r="JW12" i="75"/>
  <c r="G99" i="73" s="1"/>
  <c r="FC12" i="75"/>
  <c r="I57" i="73" s="1"/>
  <c r="FB12" i="75"/>
  <c r="FA12" i="75"/>
  <c r="FC6" i="75"/>
  <c r="FB6" i="75"/>
  <c r="FA6" i="75"/>
  <c r="BT18" i="75"/>
  <c r="BS18" i="75"/>
  <c r="BR18" i="75"/>
  <c r="BT17" i="75"/>
  <c r="BS17" i="75"/>
  <c r="BR17" i="75"/>
  <c r="BT16" i="75"/>
  <c r="BS16" i="75"/>
  <c r="BR16" i="75"/>
  <c r="BT15" i="75"/>
  <c r="BS15" i="75"/>
  <c r="BR15" i="75"/>
  <c r="BT14" i="75"/>
  <c r="BS14" i="75"/>
  <c r="BR14" i="75"/>
  <c r="BT13" i="75"/>
  <c r="BS13" i="75"/>
  <c r="BR13" i="75"/>
  <c r="BT12" i="75"/>
  <c r="BS12" i="75"/>
  <c r="BR12" i="75"/>
  <c r="BT11" i="75"/>
  <c r="BS11" i="75"/>
  <c r="BR11" i="75"/>
  <c r="BT10" i="75"/>
  <c r="BS10" i="75"/>
  <c r="BR10" i="75"/>
  <c r="BT9" i="75"/>
  <c r="BS9" i="75"/>
  <c r="BR9" i="75"/>
  <c r="BT8" i="75"/>
  <c r="BS8" i="75"/>
  <c r="BR8" i="75"/>
  <c r="BT7" i="75"/>
  <c r="BS7" i="75"/>
  <c r="BR7" i="75"/>
  <c r="BT6" i="75"/>
  <c r="BS6" i="75"/>
  <c r="BR6" i="75"/>
  <c r="H57" i="73" l="1"/>
  <c r="J57" i="73" s="1"/>
  <c r="G57" i="73"/>
  <c r="I28" i="73"/>
  <c r="J81" i="73"/>
  <c r="H28" i="73"/>
  <c r="G28" i="73"/>
  <c r="JV12" i="75"/>
  <c r="I98" i="73" s="1"/>
  <c r="JU12" i="75"/>
  <c r="H98" i="73" s="1"/>
  <c r="JT12" i="75"/>
  <c r="G98" i="73" s="1"/>
  <c r="JS12" i="75"/>
  <c r="I97" i="73" s="1"/>
  <c r="JR12" i="75"/>
  <c r="H97" i="73" s="1"/>
  <c r="JQ12" i="75"/>
  <c r="G97" i="73" s="1"/>
  <c r="JP12" i="75"/>
  <c r="I96" i="73" s="1"/>
  <c r="JO12" i="75"/>
  <c r="H96" i="73" s="1"/>
  <c r="JN12" i="75"/>
  <c r="G96" i="73" s="1"/>
  <c r="JM12" i="75"/>
  <c r="I95" i="73" s="1"/>
  <c r="JL12" i="75"/>
  <c r="H95" i="73" s="1"/>
  <c r="JK12" i="75"/>
  <c r="G95" i="73" s="1"/>
  <c r="JJ12" i="75"/>
  <c r="I94" i="73" s="1"/>
  <c r="JI12" i="75"/>
  <c r="H94" i="73" s="1"/>
  <c r="JH12" i="75"/>
  <c r="G94" i="73" s="1"/>
  <c r="JG12" i="75"/>
  <c r="I93" i="73" s="1"/>
  <c r="JF12" i="75"/>
  <c r="H93" i="73" s="1"/>
  <c r="JE12" i="75"/>
  <c r="G93" i="73" s="1"/>
  <c r="JD12" i="75"/>
  <c r="I92" i="73" s="1"/>
  <c r="JC12" i="75"/>
  <c r="H92" i="73" s="1"/>
  <c r="JB12" i="75"/>
  <c r="G92" i="73" s="1"/>
  <c r="JA12" i="75"/>
  <c r="I91" i="73" s="1"/>
  <c r="IZ12" i="75"/>
  <c r="H91" i="73" s="1"/>
  <c r="IY12" i="75"/>
  <c r="G91" i="73" s="1"/>
  <c r="IX12" i="75"/>
  <c r="I90" i="73" s="1"/>
  <c r="IW12" i="75"/>
  <c r="H90" i="73" s="1"/>
  <c r="IV12" i="75"/>
  <c r="G90" i="73" s="1"/>
  <c r="IU12" i="75"/>
  <c r="I89" i="73" s="1"/>
  <c r="IT12" i="75"/>
  <c r="H89" i="73" s="1"/>
  <c r="IS12" i="75"/>
  <c r="G89" i="73" s="1"/>
  <c r="IR12" i="75"/>
  <c r="I88" i="73" s="1"/>
  <c r="IQ12" i="75"/>
  <c r="H88" i="73" s="1"/>
  <c r="IP12" i="75"/>
  <c r="G88" i="73" s="1"/>
  <c r="IO12" i="75"/>
  <c r="I87" i="73" s="1"/>
  <c r="IN12" i="75"/>
  <c r="H87" i="73" s="1"/>
  <c r="IM12" i="75"/>
  <c r="G87" i="73" s="1"/>
  <c r="IL12" i="75"/>
  <c r="I86" i="73" s="1"/>
  <c r="IK12" i="75"/>
  <c r="H86" i="73" s="1"/>
  <c r="IJ12" i="75"/>
  <c r="G86" i="73" s="1"/>
  <c r="II12" i="75"/>
  <c r="I85" i="73" s="1"/>
  <c r="IH12" i="75"/>
  <c r="H85" i="73" s="1"/>
  <c r="IG12" i="75"/>
  <c r="G85" i="73" s="1"/>
  <c r="IF12" i="75"/>
  <c r="I84" i="73" s="1"/>
  <c r="IE12" i="75"/>
  <c r="H84" i="73" s="1"/>
  <c r="ID12" i="75"/>
  <c r="G84" i="73" s="1"/>
  <c r="IC12" i="75"/>
  <c r="I83" i="73" s="1"/>
  <c r="IB12" i="75"/>
  <c r="H83" i="73" s="1"/>
  <c r="IA12" i="75"/>
  <c r="G83" i="73" s="1"/>
  <c r="HZ12" i="75"/>
  <c r="I82" i="73" s="1"/>
  <c r="HY12" i="75"/>
  <c r="H82" i="73" s="1"/>
  <c r="HX12" i="75"/>
  <c r="G82" i="73" s="1"/>
  <c r="GD12" i="75"/>
  <c r="I66" i="73" s="1"/>
  <c r="GC12" i="75"/>
  <c r="H66" i="73" s="1"/>
  <c r="GB12" i="75"/>
  <c r="G66" i="73" s="1"/>
  <c r="GG12" i="75"/>
  <c r="I67" i="73" s="1"/>
  <c r="GF12" i="75"/>
  <c r="H67" i="73" s="1"/>
  <c r="GE12" i="75"/>
  <c r="G67" i="73" s="1"/>
  <c r="GJ12" i="75"/>
  <c r="I68" i="73" s="1"/>
  <c r="GI12" i="75"/>
  <c r="H68" i="73" s="1"/>
  <c r="GH12" i="75"/>
  <c r="G68" i="73" s="1"/>
  <c r="GM12" i="75"/>
  <c r="I69" i="73" s="1"/>
  <c r="GL12" i="75"/>
  <c r="H69" i="73" s="1"/>
  <c r="GK12" i="75"/>
  <c r="G69" i="73" s="1"/>
  <c r="GP12" i="75"/>
  <c r="I70" i="73" s="1"/>
  <c r="GO12" i="75"/>
  <c r="H70" i="73" s="1"/>
  <c r="GN12" i="75"/>
  <c r="G70" i="73" s="1"/>
  <c r="GS12" i="75"/>
  <c r="I71" i="73" s="1"/>
  <c r="GR12" i="75"/>
  <c r="H71" i="73" s="1"/>
  <c r="GQ12" i="75"/>
  <c r="G71" i="73" s="1"/>
  <c r="GV12" i="75"/>
  <c r="I72" i="73" s="1"/>
  <c r="GU12" i="75"/>
  <c r="H72" i="73" s="1"/>
  <c r="GT12" i="75"/>
  <c r="G72" i="73" s="1"/>
  <c r="GY12" i="75"/>
  <c r="I73" i="73" s="1"/>
  <c r="GX12" i="75"/>
  <c r="H73" i="73" s="1"/>
  <c r="GW12" i="75"/>
  <c r="G73" i="73" s="1"/>
  <c r="HB12" i="75"/>
  <c r="I74" i="73" s="1"/>
  <c r="HA12" i="75"/>
  <c r="H74" i="73" s="1"/>
  <c r="GZ12" i="75"/>
  <c r="G74" i="73" s="1"/>
  <c r="HE12" i="75"/>
  <c r="I75" i="73" s="1"/>
  <c r="HD12" i="75"/>
  <c r="H75" i="73" s="1"/>
  <c r="HC12" i="75"/>
  <c r="G75" i="73" s="1"/>
  <c r="HH12" i="75"/>
  <c r="I76" i="73" s="1"/>
  <c r="HG12" i="75"/>
  <c r="H76" i="73" s="1"/>
  <c r="HF12" i="75"/>
  <c r="G76" i="73" s="1"/>
  <c r="HK12" i="75"/>
  <c r="I77" i="73" s="1"/>
  <c r="HJ12" i="75"/>
  <c r="H77" i="73" s="1"/>
  <c r="HI12" i="75"/>
  <c r="G77" i="73" s="1"/>
  <c r="HN12" i="75"/>
  <c r="I78" i="73" s="1"/>
  <c r="HM12" i="75"/>
  <c r="H78" i="73" s="1"/>
  <c r="HL12" i="75"/>
  <c r="G78" i="73" s="1"/>
  <c r="HQ12" i="75"/>
  <c r="I79" i="73" s="1"/>
  <c r="HP12" i="75"/>
  <c r="H79" i="73" s="1"/>
  <c r="HO12" i="75"/>
  <c r="G79" i="73" s="1"/>
  <c r="HT12" i="75"/>
  <c r="I80" i="73" s="1"/>
  <c r="HS12" i="75"/>
  <c r="H80" i="73" s="1"/>
  <c r="HR12" i="75"/>
  <c r="G80" i="73" s="1"/>
  <c r="GA12" i="75"/>
  <c r="I65" i="73" s="1"/>
  <c r="FZ12" i="75"/>
  <c r="H65" i="73" s="1"/>
  <c r="FY12" i="75"/>
  <c r="G65" i="73" s="1"/>
  <c r="FX12" i="75"/>
  <c r="I64" i="73" s="1"/>
  <c r="FW12" i="75"/>
  <c r="H64" i="73" s="1"/>
  <c r="FV12" i="75"/>
  <c r="G64" i="73" s="1"/>
  <c r="EZ15" i="75"/>
  <c r="EZ12" i="75"/>
  <c r="EZ11" i="75"/>
  <c r="EZ10" i="75"/>
  <c r="EW15" i="75"/>
  <c r="EW12" i="75"/>
  <c r="EW11" i="75"/>
  <c r="EW10" i="75"/>
  <c r="ET15" i="75"/>
  <c r="ET12" i="75"/>
  <c r="ET11" i="75"/>
  <c r="ET10" i="75"/>
  <c r="EQ15" i="75"/>
  <c r="EQ12" i="75"/>
  <c r="EQ11" i="75"/>
  <c r="EQ10" i="75"/>
  <c r="EN15" i="75"/>
  <c r="EN12" i="75"/>
  <c r="EN11" i="75"/>
  <c r="EN10" i="75"/>
  <c r="EK15" i="75"/>
  <c r="EK12" i="75"/>
  <c r="EK11" i="75"/>
  <c r="EK10" i="75"/>
  <c r="EH15" i="75"/>
  <c r="EH12" i="75"/>
  <c r="EH11" i="75"/>
  <c r="EH10" i="75"/>
  <c r="EB15" i="75"/>
  <c r="EB12" i="75"/>
  <c r="EB11" i="75"/>
  <c r="EB10" i="75"/>
  <c r="DY15" i="75"/>
  <c r="DY12" i="75"/>
  <c r="DY11" i="75"/>
  <c r="DY10" i="75"/>
  <c r="DV15" i="75"/>
  <c r="DV12" i="75"/>
  <c r="DV11" i="75"/>
  <c r="DV10" i="75"/>
  <c r="DS15" i="75"/>
  <c r="DS12" i="75"/>
  <c r="DS11" i="75"/>
  <c r="DS10" i="75"/>
  <c r="DP15" i="75"/>
  <c r="DP12" i="75"/>
  <c r="DP11" i="75"/>
  <c r="DP10" i="75"/>
  <c r="DM15" i="75"/>
  <c r="DM12" i="75"/>
  <c r="DM11" i="75"/>
  <c r="DM10" i="75"/>
  <c r="DJ15" i="75"/>
  <c r="DJ12" i="75"/>
  <c r="DJ11" i="75"/>
  <c r="DJ10" i="75"/>
  <c r="DG15" i="75"/>
  <c r="DG12" i="75"/>
  <c r="DG11" i="75"/>
  <c r="DG10" i="75"/>
  <c r="DD15" i="75"/>
  <c r="DD12" i="75"/>
  <c r="DD11" i="75"/>
  <c r="DD10" i="75"/>
  <c r="EY15" i="75"/>
  <c r="EX15" i="75"/>
  <c r="EV15" i="75"/>
  <c r="EU15" i="75"/>
  <c r="ES15" i="75"/>
  <c r="ER15" i="75"/>
  <c r="EP15" i="75"/>
  <c r="EO15" i="75"/>
  <c r="EM15" i="75"/>
  <c r="EL15" i="75"/>
  <c r="EJ15" i="75"/>
  <c r="EI15" i="75"/>
  <c r="EG15" i="75"/>
  <c r="EF15" i="75"/>
  <c r="EA15" i="75"/>
  <c r="DZ15" i="75"/>
  <c r="DX15" i="75"/>
  <c r="DW15" i="75"/>
  <c r="DU15" i="75"/>
  <c r="DT15" i="75"/>
  <c r="DR15" i="75"/>
  <c r="DQ15" i="75"/>
  <c r="DO15" i="75"/>
  <c r="DN15" i="75"/>
  <c r="DL15" i="75"/>
  <c r="DK15" i="75"/>
  <c r="DI15" i="75"/>
  <c r="DH15" i="75"/>
  <c r="DF15" i="75"/>
  <c r="DE15" i="75"/>
  <c r="DC15" i="75"/>
  <c r="DB15" i="75"/>
  <c r="EY12" i="75"/>
  <c r="EX12" i="75"/>
  <c r="EV12" i="75"/>
  <c r="EU12" i="75"/>
  <c r="ES12" i="75"/>
  <c r="ER12" i="75"/>
  <c r="EP12" i="75"/>
  <c r="EO12" i="75"/>
  <c r="EM12" i="75"/>
  <c r="EL12" i="75"/>
  <c r="EJ12" i="75"/>
  <c r="EI12" i="75"/>
  <c r="EG12" i="75"/>
  <c r="EF12" i="75"/>
  <c r="EA12" i="75"/>
  <c r="DZ12" i="75"/>
  <c r="DX12" i="75"/>
  <c r="DW12" i="75"/>
  <c r="DU12" i="75"/>
  <c r="DT12" i="75"/>
  <c r="DR12" i="75"/>
  <c r="DQ12" i="75"/>
  <c r="DO12" i="75"/>
  <c r="DN12" i="75"/>
  <c r="DL12" i="75"/>
  <c r="DK12" i="75"/>
  <c r="DI12" i="75"/>
  <c r="DH12" i="75"/>
  <c r="DF12" i="75"/>
  <c r="DE12" i="75"/>
  <c r="DC12" i="75"/>
  <c r="DB12" i="75"/>
  <c r="EY11" i="75"/>
  <c r="EX11" i="75"/>
  <c r="EV11" i="75"/>
  <c r="EU11" i="75"/>
  <c r="ES11" i="75"/>
  <c r="ER11" i="75"/>
  <c r="EP11" i="75"/>
  <c r="EO11" i="75"/>
  <c r="EM11" i="75"/>
  <c r="EL11" i="75"/>
  <c r="EJ11" i="75"/>
  <c r="EI11" i="75"/>
  <c r="EG11" i="75"/>
  <c r="EF11" i="75"/>
  <c r="EA11" i="75"/>
  <c r="DZ11" i="75"/>
  <c r="DX11" i="75"/>
  <c r="DW11" i="75"/>
  <c r="DU11" i="75"/>
  <c r="DT11" i="75"/>
  <c r="DR11" i="75"/>
  <c r="DQ11" i="75"/>
  <c r="DO11" i="75"/>
  <c r="DN11" i="75"/>
  <c r="DL11" i="75"/>
  <c r="DK11" i="75"/>
  <c r="DI11" i="75"/>
  <c r="DH11" i="75"/>
  <c r="DF11" i="75"/>
  <c r="DE11" i="75"/>
  <c r="DC11" i="75"/>
  <c r="DB11" i="75"/>
  <c r="EY10" i="75"/>
  <c r="EX10" i="75"/>
  <c r="EV10" i="75"/>
  <c r="EU10" i="75"/>
  <c r="ES10" i="75"/>
  <c r="ER10" i="75"/>
  <c r="EP10" i="75"/>
  <c r="EO10" i="75"/>
  <c r="EM10" i="75"/>
  <c r="EL10" i="75"/>
  <c r="EJ10" i="75"/>
  <c r="EI10" i="75"/>
  <c r="EG10" i="75"/>
  <c r="EF10" i="75"/>
  <c r="EA10" i="75"/>
  <c r="DZ10" i="75"/>
  <c r="DX10" i="75"/>
  <c r="DW10" i="75"/>
  <c r="DU10" i="75"/>
  <c r="DT10" i="75"/>
  <c r="DR10" i="75"/>
  <c r="DQ10" i="75"/>
  <c r="DO10" i="75"/>
  <c r="DN10" i="75"/>
  <c r="DL10" i="75"/>
  <c r="DK10" i="75"/>
  <c r="DI10" i="75"/>
  <c r="DH10" i="75"/>
  <c r="DF10" i="75"/>
  <c r="DE10" i="75"/>
  <c r="DC10" i="75"/>
  <c r="DB10" i="75"/>
  <c r="I52" i="73" l="1"/>
  <c r="J97" i="73"/>
  <c r="J69" i="73"/>
  <c r="J76" i="73"/>
  <c r="J73" i="73"/>
  <c r="J79" i="73"/>
  <c r="J95" i="73"/>
  <c r="J70" i="73"/>
  <c r="J80" i="73"/>
  <c r="J67" i="73"/>
  <c r="J91" i="73"/>
  <c r="J64" i="73"/>
  <c r="J74" i="73"/>
  <c r="J66" i="73"/>
  <c r="J71" i="73"/>
  <c r="J68" i="73"/>
  <c r="J65" i="73"/>
  <c r="J78" i="73"/>
  <c r="J93" i="73"/>
  <c r="J75" i="73"/>
  <c r="J96" i="73"/>
  <c r="J77" i="73"/>
  <c r="J72" i="73"/>
  <c r="CU15" i="75"/>
  <c r="CT15" i="75"/>
  <c r="CS15" i="75"/>
  <c r="CL15" i="75"/>
  <c r="CK15" i="75"/>
  <c r="CJ15" i="75"/>
  <c r="CC15" i="75"/>
  <c r="CB15" i="75"/>
  <c r="CA15" i="75"/>
  <c r="BZ15" i="75"/>
  <c r="BY15" i="75"/>
  <c r="BX15" i="75"/>
  <c r="BW15" i="75"/>
  <c r="BV15" i="75"/>
  <c r="BU15" i="75"/>
  <c r="BQ15" i="75"/>
  <c r="BP15" i="75"/>
  <c r="BO15" i="75"/>
  <c r="BN15" i="75"/>
  <c r="BM15" i="75"/>
  <c r="BL15" i="75"/>
  <c r="BK15" i="75"/>
  <c r="BJ15" i="75"/>
  <c r="BI15" i="75"/>
  <c r="BE15" i="75"/>
  <c r="BD15" i="75"/>
  <c r="BC15" i="75"/>
  <c r="BB15" i="75"/>
  <c r="BA15" i="75"/>
  <c r="AZ15" i="75"/>
  <c r="AY15" i="75"/>
  <c r="AX15" i="75"/>
  <c r="AW15" i="75"/>
  <c r="AV15" i="75"/>
  <c r="AU15" i="75"/>
  <c r="AT15" i="75"/>
  <c r="AS15" i="75"/>
  <c r="AR15" i="75"/>
  <c r="AQ15" i="75"/>
  <c r="AP15" i="75"/>
  <c r="AO15" i="75"/>
  <c r="AN15" i="75"/>
  <c r="AM15" i="75"/>
  <c r="AL15" i="75"/>
  <c r="AK15" i="75"/>
  <c r="AJ15" i="75"/>
  <c r="AI15" i="75"/>
  <c r="AH15" i="75"/>
  <c r="AG15" i="75"/>
  <c r="AF15" i="75"/>
  <c r="AE15" i="75"/>
  <c r="AD15" i="75"/>
  <c r="AC15" i="75"/>
  <c r="AB15" i="75"/>
  <c r="AA15" i="75"/>
  <c r="Z15" i="75"/>
  <c r="Y15" i="75"/>
  <c r="X15" i="75"/>
  <c r="W15" i="75"/>
  <c r="V15" i="75"/>
  <c r="U15" i="75"/>
  <c r="T15" i="75"/>
  <c r="S15" i="75"/>
  <c r="R15" i="75"/>
  <c r="Q15" i="75"/>
  <c r="P15" i="75"/>
  <c r="O15" i="75"/>
  <c r="N15" i="75"/>
  <c r="M15" i="75"/>
  <c r="L15" i="75"/>
  <c r="K15" i="75"/>
  <c r="J15" i="75"/>
  <c r="I15" i="75"/>
  <c r="H15" i="75"/>
  <c r="G15" i="75"/>
  <c r="CU12" i="75"/>
  <c r="CT12" i="75"/>
  <c r="CS12" i="75"/>
  <c r="CL12" i="75"/>
  <c r="CK12" i="75"/>
  <c r="CJ12" i="75"/>
  <c r="CC12" i="75"/>
  <c r="CB12" i="75"/>
  <c r="CA12" i="75"/>
  <c r="BZ12" i="75"/>
  <c r="BY12" i="75"/>
  <c r="BX12" i="75"/>
  <c r="BW12" i="75"/>
  <c r="BV12" i="75"/>
  <c r="BU12" i="75"/>
  <c r="BQ12" i="75"/>
  <c r="BP12" i="75"/>
  <c r="BO12" i="75"/>
  <c r="BN12" i="75"/>
  <c r="BM12" i="75"/>
  <c r="BL12" i="75"/>
  <c r="BK12" i="75"/>
  <c r="BJ12" i="75"/>
  <c r="BI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CU11" i="75"/>
  <c r="CT11" i="75"/>
  <c r="CS11" i="75"/>
  <c r="CL11" i="75"/>
  <c r="CK11" i="75"/>
  <c r="CJ11" i="75"/>
  <c r="CC11" i="75"/>
  <c r="CB11" i="75"/>
  <c r="CA11" i="75"/>
  <c r="BZ11" i="75"/>
  <c r="BY11" i="75"/>
  <c r="BX11" i="75"/>
  <c r="BW11" i="75"/>
  <c r="BV11" i="75"/>
  <c r="BU11" i="75"/>
  <c r="BQ11" i="75"/>
  <c r="BP11" i="75"/>
  <c r="BO11" i="75"/>
  <c r="BN11" i="75"/>
  <c r="BM11" i="75"/>
  <c r="BL11" i="75"/>
  <c r="BK11" i="75"/>
  <c r="BJ11" i="75"/>
  <c r="BI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CU10" i="75"/>
  <c r="CT10" i="75"/>
  <c r="CS10" i="75"/>
  <c r="CL10" i="75"/>
  <c r="CK10" i="75"/>
  <c r="CJ10" i="75"/>
  <c r="CC10" i="75"/>
  <c r="CB10" i="75"/>
  <c r="CA10" i="75"/>
  <c r="BZ10" i="75"/>
  <c r="BY10" i="75"/>
  <c r="BX10" i="75"/>
  <c r="BW10" i="75"/>
  <c r="BV10" i="75"/>
  <c r="BU10" i="75"/>
  <c r="BQ10" i="75"/>
  <c r="BP10" i="75"/>
  <c r="BO10" i="75"/>
  <c r="BN10" i="75"/>
  <c r="BM10" i="75"/>
  <c r="BL10" i="75"/>
  <c r="BK10" i="75"/>
  <c r="BJ10" i="75"/>
  <c r="BI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CU18" i="75"/>
  <c r="CT18" i="75"/>
  <c r="CS18" i="75"/>
  <c r="CL18" i="75"/>
  <c r="CK18" i="75"/>
  <c r="CJ18" i="75"/>
  <c r="CC18" i="75"/>
  <c r="CB18" i="75"/>
  <c r="CA18" i="75"/>
  <c r="BZ18" i="75"/>
  <c r="BY18" i="75"/>
  <c r="BX18" i="75"/>
  <c r="BW18" i="75"/>
  <c r="BV18" i="75"/>
  <c r="BU18" i="75"/>
  <c r="BQ18" i="75"/>
  <c r="BP18" i="75"/>
  <c r="BO18" i="75"/>
  <c r="BN18" i="75"/>
  <c r="BM18" i="75"/>
  <c r="BL18" i="75"/>
  <c r="BK18" i="75"/>
  <c r="BJ18" i="75"/>
  <c r="BI18" i="75"/>
  <c r="BE18" i="75"/>
  <c r="BD18" i="75"/>
  <c r="BC18" i="75"/>
  <c r="BB18" i="75"/>
  <c r="BA18" i="75"/>
  <c r="AZ18" i="75"/>
  <c r="AY18" i="75"/>
  <c r="AX18" i="75"/>
  <c r="AW18" i="75"/>
  <c r="AV18" i="75"/>
  <c r="AU18" i="75"/>
  <c r="AT18" i="75"/>
  <c r="AS18" i="75"/>
  <c r="AR18" i="75"/>
  <c r="AQ18" i="75"/>
  <c r="AP18" i="75"/>
  <c r="AO18" i="75"/>
  <c r="AN18" i="75"/>
  <c r="AM18" i="75"/>
  <c r="AL18" i="75"/>
  <c r="AK18" i="75"/>
  <c r="AJ18" i="75"/>
  <c r="AI18" i="75"/>
  <c r="AH18" i="75"/>
  <c r="AG18" i="75"/>
  <c r="AF18" i="75"/>
  <c r="AE18" i="75"/>
  <c r="AD18" i="75"/>
  <c r="AC18" i="75"/>
  <c r="AB18" i="75"/>
  <c r="AA18" i="75"/>
  <c r="Z18" i="75"/>
  <c r="Y18" i="75"/>
  <c r="X18" i="75"/>
  <c r="W18" i="75"/>
  <c r="V18" i="75"/>
  <c r="U18" i="75"/>
  <c r="T18" i="75"/>
  <c r="S18" i="75"/>
  <c r="R18" i="75"/>
  <c r="Q18" i="75"/>
  <c r="P18" i="75"/>
  <c r="O18" i="75"/>
  <c r="N18" i="75"/>
  <c r="M18" i="75"/>
  <c r="L18" i="75"/>
  <c r="K18" i="75"/>
  <c r="J18" i="75"/>
  <c r="I18" i="75"/>
  <c r="H18" i="75"/>
  <c r="G18" i="75"/>
  <c r="CU17" i="75"/>
  <c r="CT17" i="75"/>
  <c r="CS17" i="75"/>
  <c r="CL17" i="75"/>
  <c r="CK17" i="75"/>
  <c r="CJ17" i="75"/>
  <c r="CC17" i="75"/>
  <c r="CB17" i="75"/>
  <c r="CA17" i="75"/>
  <c r="BZ17" i="75"/>
  <c r="BY17" i="75"/>
  <c r="BX17" i="75"/>
  <c r="BW17" i="75"/>
  <c r="BV17" i="75"/>
  <c r="BU17" i="75"/>
  <c r="BQ17" i="75"/>
  <c r="BP17" i="75"/>
  <c r="BO17" i="75"/>
  <c r="BN17" i="75"/>
  <c r="BM17" i="75"/>
  <c r="BL17" i="75"/>
  <c r="BK17" i="75"/>
  <c r="BJ17" i="75"/>
  <c r="BI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CU16" i="75"/>
  <c r="CT16" i="75"/>
  <c r="CS16" i="75"/>
  <c r="CL16" i="75"/>
  <c r="CK16" i="75"/>
  <c r="CJ16" i="75"/>
  <c r="CC16" i="75"/>
  <c r="CB16" i="75"/>
  <c r="CA16" i="75"/>
  <c r="BZ16" i="75"/>
  <c r="BY16" i="75"/>
  <c r="BX16" i="75"/>
  <c r="BW16" i="75"/>
  <c r="BV16" i="75"/>
  <c r="BU16" i="75"/>
  <c r="BQ16" i="75"/>
  <c r="BP16" i="75"/>
  <c r="BO16" i="75"/>
  <c r="BN16" i="75"/>
  <c r="BM16" i="75"/>
  <c r="BL16" i="75"/>
  <c r="BK16" i="75"/>
  <c r="BJ16" i="75"/>
  <c r="BI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CU14" i="75"/>
  <c r="CT14" i="75"/>
  <c r="CS14" i="75"/>
  <c r="CL14" i="75"/>
  <c r="CK14" i="75"/>
  <c r="CJ14" i="75"/>
  <c r="CC14" i="75"/>
  <c r="CB14" i="75"/>
  <c r="CA14" i="75"/>
  <c r="BZ14" i="75"/>
  <c r="BY14" i="75"/>
  <c r="BX14" i="75"/>
  <c r="BW14" i="75"/>
  <c r="BV14" i="75"/>
  <c r="BU14" i="75"/>
  <c r="BQ14" i="75"/>
  <c r="BP14" i="75"/>
  <c r="BO14" i="75"/>
  <c r="BN14" i="75"/>
  <c r="BM14" i="75"/>
  <c r="BL14" i="75"/>
  <c r="BK14" i="75"/>
  <c r="BJ14" i="75"/>
  <c r="BI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CU13" i="75"/>
  <c r="CT13" i="75"/>
  <c r="CS13" i="75"/>
  <c r="CL13" i="75"/>
  <c r="CK13" i="75"/>
  <c r="CJ13" i="75"/>
  <c r="CC13" i="75"/>
  <c r="CB13" i="75"/>
  <c r="CA13" i="75"/>
  <c r="BZ13" i="75"/>
  <c r="BY13" i="75"/>
  <c r="BX13" i="75"/>
  <c r="BW13" i="75"/>
  <c r="BV13" i="75"/>
  <c r="BU13" i="75"/>
  <c r="BQ13" i="75"/>
  <c r="BP13" i="75"/>
  <c r="BO13" i="75"/>
  <c r="BN13" i="75"/>
  <c r="BM13" i="75"/>
  <c r="BL13" i="75"/>
  <c r="BK13" i="75"/>
  <c r="BJ13" i="75"/>
  <c r="BI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EE10" i="75"/>
  <c r="ED10" i="75"/>
  <c r="EC10" i="75"/>
  <c r="CU9" i="75"/>
  <c r="CT9" i="75"/>
  <c r="CS9" i="75"/>
  <c r="CL9" i="75"/>
  <c r="CK9" i="75"/>
  <c r="CJ9" i="75"/>
  <c r="CC9" i="75"/>
  <c r="CB9" i="75"/>
  <c r="CA9" i="75"/>
  <c r="BZ9" i="75"/>
  <c r="BY9" i="75"/>
  <c r="BX9" i="75"/>
  <c r="BW9" i="75"/>
  <c r="BV9" i="75"/>
  <c r="BU9" i="75"/>
  <c r="BQ9" i="75"/>
  <c r="BP9" i="75"/>
  <c r="BO9" i="75"/>
  <c r="BN9" i="75"/>
  <c r="BM9" i="75"/>
  <c r="BL9" i="75"/>
  <c r="BK9" i="75"/>
  <c r="BJ9" i="75"/>
  <c r="BI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EZ6" i="75"/>
  <c r="I56" i="73" s="1"/>
  <c r="EY6" i="75"/>
  <c r="H56" i="73" s="1"/>
  <c r="EX6" i="75"/>
  <c r="G56" i="73" s="1"/>
  <c r="EW6" i="75"/>
  <c r="I55" i="73" s="1"/>
  <c r="EV6" i="75"/>
  <c r="H55" i="73" s="1"/>
  <c r="EU6" i="75"/>
  <c r="G55" i="73" s="1"/>
  <c r="ET6" i="75"/>
  <c r="I54" i="73" s="1"/>
  <c r="ES6" i="75"/>
  <c r="H54" i="73" s="1"/>
  <c r="ER6" i="75"/>
  <c r="G54" i="73" s="1"/>
  <c r="EQ6" i="75"/>
  <c r="I53" i="73" s="1"/>
  <c r="EP6" i="75"/>
  <c r="H53" i="73" s="1"/>
  <c r="EO6" i="75"/>
  <c r="G53" i="73" s="1"/>
  <c r="EN6" i="75"/>
  <c r="EM6" i="75"/>
  <c r="H52" i="73" s="1"/>
  <c r="EL6" i="75"/>
  <c r="G52" i="73" s="1"/>
  <c r="EK6" i="75"/>
  <c r="I51" i="73" s="1"/>
  <c r="EJ6" i="75"/>
  <c r="H51" i="73" s="1"/>
  <c r="EI6" i="75"/>
  <c r="G51" i="73" s="1"/>
  <c r="EH6" i="75"/>
  <c r="I50" i="73" s="1"/>
  <c r="EG6" i="75"/>
  <c r="H50" i="73" s="1"/>
  <c r="EF6" i="75"/>
  <c r="G50" i="73" s="1"/>
  <c r="EE6" i="75"/>
  <c r="I49" i="73" s="1"/>
  <c r="ED6" i="75"/>
  <c r="H49" i="73" s="1"/>
  <c r="EC6" i="75"/>
  <c r="G49" i="73" s="1"/>
  <c r="EB6" i="75"/>
  <c r="I48" i="73" s="1"/>
  <c r="EA6" i="75"/>
  <c r="H48" i="73" s="1"/>
  <c r="DZ6" i="75"/>
  <c r="G48" i="73" s="1"/>
  <c r="DY6" i="75"/>
  <c r="I47" i="73" s="1"/>
  <c r="DX6" i="75"/>
  <c r="H47" i="73" s="1"/>
  <c r="DW6" i="75"/>
  <c r="G47" i="73" s="1"/>
  <c r="DV6" i="75"/>
  <c r="I46" i="73" s="1"/>
  <c r="DU6" i="75"/>
  <c r="H46" i="73" s="1"/>
  <c r="DT6" i="75"/>
  <c r="G46" i="73" s="1"/>
  <c r="DS6" i="75"/>
  <c r="I45" i="73" s="1"/>
  <c r="DR6" i="75"/>
  <c r="H45" i="73" s="1"/>
  <c r="DQ6" i="75"/>
  <c r="G45" i="73" s="1"/>
  <c r="DP6" i="75"/>
  <c r="I44" i="73" s="1"/>
  <c r="DO6" i="75"/>
  <c r="H44" i="73" s="1"/>
  <c r="DN6" i="75"/>
  <c r="G44" i="73" s="1"/>
  <c r="DM6" i="75"/>
  <c r="I43" i="73" s="1"/>
  <c r="DL6" i="75"/>
  <c r="H43" i="73" s="1"/>
  <c r="DK6" i="75"/>
  <c r="G43" i="73" s="1"/>
  <c r="DJ6" i="75"/>
  <c r="I42" i="73" s="1"/>
  <c r="DI6" i="75"/>
  <c r="H42" i="73" s="1"/>
  <c r="DH6" i="75"/>
  <c r="G42" i="73" s="1"/>
  <c r="DG6" i="75"/>
  <c r="I41" i="73" s="1"/>
  <c r="DF6" i="75"/>
  <c r="H41" i="73" s="1"/>
  <c r="DE6" i="75"/>
  <c r="G41" i="73" s="1"/>
  <c r="DD6" i="75"/>
  <c r="I40" i="73" s="1"/>
  <c r="DC6" i="75"/>
  <c r="H40" i="73" s="1"/>
  <c r="DB6" i="75"/>
  <c r="G40" i="73" s="1"/>
  <c r="CU8" i="75"/>
  <c r="CT8" i="75"/>
  <c r="CS8" i="75"/>
  <c r="CU7" i="75"/>
  <c r="CT7" i="75"/>
  <c r="CS7" i="75"/>
  <c r="CU6" i="75"/>
  <c r="CT6" i="75"/>
  <c r="CS6" i="75"/>
  <c r="CL8" i="75"/>
  <c r="CK8" i="75"/>
  <c r="CJ8" i="75"/>
  <c r="CL7" i="75"/>
  <c r="CK7" i="75"/>
  <c r="CJ7" i="75"/>
  <c r="CL6" i="75"/>
  <c r="CK6" i="75"/>
  <c r="CJ6" i="75"/>
  <c r="CC8" i="75"/>
  <c r="CB8" i="75"/>
  <c r="CA8" i="75"/>
  <c r="CC7" i="75"/>
  <c r="CB7" i="75"/>
  <c r="CA7" i="75"/>
  <c r="CC6" i="75"/>
  <c r="CB6" i="75"/>
  <c r="CA6" i="75"/>
  <c r="BZ8" i="75"/>
  <c r="BY8" i="75"/>
  <c r="BX8" i="75"/>
  <c r="BZ7" i="75"/>
  <c r="BY7" i="75"/>
  <c r="BX7" i="75"/>
  <c r="BZ6" i="75"/>
  <c r="BY6" i="75"/>
  <c r="BX6" i="75"/>
  <c r="BW8" i="75"/>
  <c r="BV8" i="75"/>
  <c r="BU8" i="75"/>
  <c r="BW7" i="75"/>
  <c r="BV7" i="75"/>
  <c r="BU7" i="75"/>
  <c r="BW6" i="75"/>
  <c r="BV6" i="75"/>
  <c r="BU6" i="75"/>
  <c r="BQ8" i="75"/>
  <c r="BP8" i="75"/>
  <c r="BO8" i="75"/>
  <c r="BQ7" i="75"/>
  <c r="BP7" i="75"/>
  <c r="BO7" i="75"/>
  <c r="BQ6" i="75"/>
  <c r="BP6" i="75"/>
  <c r="BO6" i="75"/>
  <c r="BN8" i="75"/>
  <c r="BM8" i="75"/>
  <c r="BL8" i="75"/>
  <c r="BN7" i="75"/>
  <c r="BM7" i="75"/>
  <c r="BL7" i="75"/>
  <c r="BN6" i="75"/>
  <c r="BM6" i="75"/>
  <c r="BL6" i="75"/>
  <c r="BK8" i="75"/>
  <c r="BJ8" i="75"/>
  <c r="BI8" i="75"/>
  <c r="BK7" i="75"/>
  <c r="BJ7" i="75"/>
  <c r="BI7" i="75"/>
  <c r="BK6" i="75"/>
  <c r="BJ6" i="75"/>
  <c r="BI6" i="75"/>
  <c r="BE8" i="75"/>
  <c r="BD8" i="75"/>
  <c r="BC8" i="75"/>
  <c r="BE7" i="75"/>
  <c r="BD7" i="75"/>
  <c r="BC7" i="75"/>
  <c r="BE6" i="75"/>
  <c r="BD6" i="75"/>
  <c r="BC6" i="75"/>
  <c r="BB8" i="75"/>
  <c r="BA8" i="75"/>
  <c r="AZ8" i="75"/>
  <c r="BB7" i="75"/>
  <c r="BA7" i="75"/>
  <c r="AZ7" i="75"/>
  <c r="BB6" i="75"/>
  <c r="BA6" i="75"/>
  <c r="AZ6" i="75"/>
  <c r="AY8" i="75"/>
  <c r="AX8" i="75"/>
  <c r="AW8" i="75"/>
  <c r="AY7" i="75"/>
  <c r="AX7" i="75"/>
  <c r="AW7" i="75"/>
  <c r="AY6" i="75"/>
  <c r="AX6" i="75"/>
  <c r="AW6" i="75"/>
  <c r="AV8" i="75"/>
  <c r="AU8" i="75"/>
  <c r="AT8" i="75"/>
  <c r="AV7" i="75"/>
  <c r="AU7" i="75"/>
  <c r="AT7" i="75"/>
  <c r="AV6" i="75"/>
  <c r="AU6" i="75"/>
  <c r="AT6" i="75"/>
  <c r="AS8" i="75"/>
  <c r="AR8" i="75"/>
  <c r="AQ8" i="75"/>
  <c r="AS7" i="75"/>
  <c r="AR7" i="75"/>
  <c r="AQ7" i="75"/>
  <c r="AS6" i="75"/>
  <c r="AR6" i="75"/>
  <c r="AQ6" i="75"/>
  <c r="AP8" i="75"/>
  <c r="AO8" i="75"/>
  <c r="AN8" i="75"/>
  <c r="AP7" i="75"/>
  <c r="AO7" i="75"/>
  <c r="AN7" i="75"/>
  <c r="AP6" i="75"/>
  <c r="AO6" i="75"/>
  <c r="AN6" i="75"/>
  <c r="AM8" i="75"/>
  <c r="AL8" i="75"/>
  <c r="AK8" i="75"/>
  <c r="AM7" i="75"/>
  <c r="AL7" i="75"/>
  <c r="AK7" i="75"/>
  <c r="AM6" i="75"/>
  <c r="AL6" i="75"/>
  <c r="AK6" i="75"/>
  <c r="AJ8" i="75"/>
  <c r="AI8" i="75"/>
  <c r="AH8" i="75"/>
  <c r="AJ7" i="75"/>
  <c r="AI7" i="75"/>
  <c r="AH7" i="75"/>
  <c r="AJ6" i="75"/>
  <c r="AI6" i="75"/>
  <c r="AH6" i="75"/>
  <c r="AG8" i="75"/>
  <c r="AF8" i="75"/>
  <c r="AE8" i="75"/>
  <c r="AG7" i="75"/>
  <c r="AF7" i="75"/>
  <c r="AE7" i="75"/>
  <c r="AG6" i="75"/>
  <c r="AF6" i="75"/>
  <c r="AE6" i="75"/>
  <c r="AD8" i="75"/>
  <c r="AC8" i="75"/>
  <c r="AB8" i="75"/>
  <c r="AD7" i="75"/>
  <c r="AC7" i="75"/>
  <c r="AB7" i="75"/>
  <c r="AD6" i="75"/>
  <c r="AC6" i="75"/>
  <c r="AB6" i="75"/>
  <c r="AA8" i="75"/>
  <c r="Z8" i="75"/>
  <c r="Y8" i="75"/>
  <c r="AA7" i="75"/>
  <c r="Z7" i="75"/>
  <c r="Y7" i="75"/>
  <c r="AA6" i="75"/>
  <c r="Z6" i="75"/>
  <c r="Y6" i="75"/>
  <c r="X8" i="75"/>
  <c r="W8" i="75"/>
  <c r="V8" i="75"/>
  <c r="X7" i="75"/>
  <c r="W7" i="75"/>
  <c r="V7" i="75"/>
  <c r="X6" i="75"/>
  <c r="W6" i="75"/>
  <c r="V6" i="75"/>
  <c r="U8" i="75"/>
  <c r="T8" i="75"/>
  <c r="S8" i="75"/>
  <c r="U7" i="75"/>
  <c r="T7" i="75"/>
  <c r="S7" i="75"/>
  <c r="U6" i="75"/>
  <c r="T6" i="75"/>
  <c r="S6" i="75"/>
  <c r="R8" i="75"/>
  <c r="Q8" i="75"/>
  <c r="P8" i="75"/>
  <c r="R7" i="75"/>
  <c r="Q7" i="75"/>
  <c r="P7" i="75"/>
  <c r="R6" i="75"/>
  <c r="Q6" i="75"/>
  <c r="P6" i="75"/>
  <c r="O8" i="75"/>
  <c r="N8" i="75"/>
  <c r="M8" i="75"/>
  <c r="O7" i="75"/>
  <c r="N7" i="75"/>
  <c r="M7" i="75"/>
  <c r="O6" i="75"/>
  <c r="N6" i="75"/>
  <c r="M6" i="75"/>
  <c r="L8" i="75"/>
  <c r="K8" i="75"/>
  <c r="J8" i="75"/>
  <c r="L7" i="75"/>
  <c r="K7" i="75"/>
  <c r="J7" i="75"/>
  <c r="L6" i="75"/>
  <c r="K6" i="75"/>
  <c r="J6" i="75"/>
  <c r="I6" i="75"/>
  <c r="H6" i="75"/>
  <c r="G7" i="75"/>
  <c r="H7" i="75"/>
  <c r="I7" i="75"/>
  <c r="G8" i="75"/>
  <c r="H8" i="75"/>
  <c r="I8" i="75"/>
  <c r="J56" i="73" l="1"/>
  <c r="J54" i="73"/>
  <c r="J43" i="73"/>
  <c r="J41" i="73"/>
  <c r="J55" i="73"/>
  <c r="J46" i="73"/>
  <c r="J42" i="73"/>
  <c r="J50" i="73"/>
  <c r="J45" i="73"/>
  <c r="J51" i="73"/>
  <c r="J53" i="73"/>
  <c r="J52" i="73"/>
  <c r="J40" i="73"/>
  <c r="J48" i="73"/>
  <c r="J44" i="73"/>
  <c r="J47" i="73"/>
  <c r="J49" i="73"/>
  <c r="G9" i="73"/>
  <c r="I11" i="73"/>
  <c r="H14" i="73"/>
  <c r="G17" i="73"/>
  <c r="I19" i="73"/>
  <c r="H22" i="73"/>
  <c r="G26" i="73"/>
  <c r="I29" i="73"/>
  <c r="H34" i="73"/>
  <c r="H9" i="73"/>
  <c r="G12" i="73"/>
  <c r="I14" i="73"/>
  <c r="H17" i="73"/>
  <c r="G20" i="73"/>
  <c r="I22" i="73"/>
  <c r="H26" i="73"/>
  <c r="G30" i="73"/>
  <c r="I34" i="73"/>
  <c r="G7" i="73"/>
  <c r="I9" i="73"/>
  <c r="H12" i="73"/>
  <c r="G15" i="73"/>
  <c r="I17" i="73"/>
  <c r="H20" i="73"/>
  <c r="G23" i="73"/>
  <c r="I26" i="73"/>
  <c r="H30" i="73"/>
  <c r="G37" i="73"/>
  <c r="I8" i="73"/>
  <c r="H11" i="73"/>
  <c r="G14" i="73"/>
  <c r="I16" i="73"/>
  <c r="H19" i="73"/>
  <c r="G22" i="73"/>
  <c r="I25" i="73"/>
  <c r="H29" i="73"/>
  <c r="G34" i="73"/>
  <c r="Q38" i="73" s="1"/>
  <c r="G8" i="73"/>
  <c r="I10" i="73"/>
  <c r="H13" i="73"/>
  <c r="G16" i="73"/>
  <c r="I18" i="73"/>
  <c r="H21" i="73"/>
  <c r="G25" i="73"/>
  <c r="I27" i="73"/>
  <c r="H31" i="73"/>
  <c r="H7" i="73"/>
  <c r="G10" i="73"/>
  <c r="I12" i="73"/>
  <c r="H15" i="73"/>
  <c r="G18" i="73"/>
  <c r="I20" i="73"/>
  <c r="H23" i="73"/>
  <c r="G27" i="73"/>
  <c r="I30" i="73"/>
  <c r="H37" i="73"/>
  <c r="I7" i="73"/>
  <c r="H10" i="73"/>
  <c r="G13" i="73"/>
  <c r="I15" i="73"/>
  <c r="H18" i="73"/>
  <c r="G21" i="73"/>
  <c r="I23" i="73"/>
  <c r="H27" i="73"/>
  <c r="G31" i="73"/>
  <c r="I37" i="73"/>
  <c r="H8" i="73"/>
  <c r="G11" i="73"/>
  <c r="I13" i="73"/>
  <c r="H16" i="73"/>
  <c r="G19" i="73"/>
  <c r="I21" i="73"/>
  <c r="H25" i="73"/>
  <c r="G29" i="73"/>
  <c r="I31" i="73"/>
  <c r="J35" i="73"/>
  <c r="J61" i="73"/>
  <c r="J60" i="73"/>
  <c r="J38" i="73"/>
  <c r="J63" i="73"/>
  <c r="J33" i="73"/>
  <c r="J58" i="73"/>
  <c r="J32" i="73"/>
  <c r="J59" i="73"/>
  <c r="J39" i="73"/>
  <c r="J36" i="73"/>
  <c r="J62" i="73"/>
  <c r="J99" i="73"/>
  <c r="U8" i="78"/>
  <c r="Q54" i="73" l="1"/>
  <c r="J22" i="73"/>
  <c r="J29" i="73"/>
  <c r="J23" i="73"/>
  <c r="J16" i="73"/>
  <c r="J20" i="73"/>
  <c r="J25" i="73"/>
  <c r="J18" i="73"/>
  <c r="J21" i="73"/>
  <c r="Q14" i="73"/>
  <c r="Q30" i="73"/>
  <c r="G6" i="73"/>
  <c r="J31" i="73"/>
  <c r="Q22" i="73"/>
  <c r="C82" i="73"/>
  <c r="C83" i="73" s="1"/>
  <c r="C64" i="73"/>
  <c r="C65" i="73" s="1"/>
  <c r="K8" i="85"/>
  <c r="J8" i="85"/>
  <c r="K8" i="84"/>
  <c r="J8" i="84"/>
  <c r="C84" i="73" l="1"/>
  <c r="C66" i="73"/>
  <c r="C85" i="73" l="1"/>
  <c r="C67" i="73"/>
  <c r="C86" i="73" l="1"/>
  <c r="C68" i="73"/>
  <c r="AH6" i="78"/>
  <c r="AM6" i="78" s="1"/>
  <c r="AR6" i="78" s="1"/>
  <c r="AW6" i="78" s="1"/>
  <c r="BB6" i="78" s="1"/>
  <c r="BG6" i="78" s="1"/>
  <c r="J8" i="78"/>
  <c r="K8" i="78"/>
  <c r="O8" i="78"/>
  <c r="P8" i="78"/>
  <c r="T8" i="78"/>
  <c r="Y8" i="78"/>
  <c r="AD8" i="78"/>
  <c r="AE8" i="78"/>
  <c r="AI8" i="78"/>
  <c r="AJ8" i="78"/>
  <c r="AN8" i="78"/>
  <c r="AO8" i="78"/>
  <c r="AS8" i="78"/>
  <c r="AT8" i="78"/>
  <c r="AX8" i="78"/>
  <c r="AY8" i="78"/>
  <c r="BC8" i="78"/>
  <c r="BD8" i="78"/>
  <c r="BH8" i="78"/>
  <c r="BI8" i="78"/>
  <c r="C87" i="73" l="1"/>
  <c r="C69" i="73"/>
  <c r="C88" i="73" l="1"/>
  <c r="C70" i="73"/>
  <c r="C89" i="73" l="1"/>
  <c r="C71" i="73"/>
  <c r="J8" i="81"/>
  <c r="K8" i="81"/>
  <c r="O8" i="81"/>
  <c r="P8" i="81"/>
  <c r="T8" i="81"/>
  <c r="U8" i="81"/>
  <c r="Z8" i="81"/>
  <c r="AD8" i="81"/>
  <c r="AE8" i="81"/>
  <c r="Y8" i="81"/>
  <c r="X2" i="81"/>
  <c r="C90" i="73" l="1"/>
  <c r="C72" i="73"/>
  <c r="BS8" i="78"/>
  <c r="BR8" i="78"/>
  <c r="BN8" i="78"/>
  <c r="BM8" i="78"/>
  <c r="C91" i="73" l="1"/>
  <c r="C73" i="73"/>
  <c r="BL6" i="78"/>
  <c r="C92" i="73" l="1"/>
  <c r="C74" i="73"/>
  <c r="BQ6" i="78"/>
  <c r="X2" i="78"/>
  <c r="C93" i="73" l="1"/>
  <c r="C75" i="73"/>
  <c r="C62" i="73"/>
  <c r="C63" i="73"/>
  <c r="C94" i="73" l="1"/>
  <c r="C76" i="73"/>
  <c r="J27" i="73"/>
  <c r="J28" i="73"/>
  <c r="J26" i="73"/>
  <c r="C9" i="73"/>
  <c r="C10" i="73" s="1"/>
  <c r="C11" i="73" s="1"/>
  <c r="C12" i="73" s="1"/>
  <c r="C13" i="73" s="1"/>
  <c r="C14" i="73" s="1"/>
  <c r="C15" i="73" s="1"/>
  <c r="C16" i="73" s="1"/>
  <c r="C17" i="73" s="1"/>
  <c r="C18" i="73" s="1"/>
  <c r="C19" i="73" s="1"/>
  <c r="C20" i="73" s="1"/>
  <c r="C21" i="73" s="1"/>
  <c r="C22" i="73" s="1"/>
  <c r="C23" i="73" s="1"/>
  <c r="C24" i="73" s="1"/>
  <c r="C25" i="73" s="1"/>
  <c r="C26" i="73" s="1"/>
  <c r="C27" i="73" s="1"/>
  <c r="C28" i="73" s="1"/>
  <c r="C29" i="73" s="1"/>
  <c r="C30" i="73" s="1"/>
  <c r="C31" i="73" s="1"/>
  <c r="C32" i="73" s="1"/>
  <c r="C33" i="73" s="1"/>
  <c r="C34" i="73" s="1"/>
  <c r="C35" i="73" s="1"/>
  <c r="C8" i="73"/>
  <c r="J5" i="75"/>
  <c r="M5" i="75" s="1"/>
  <c r="P5" i="75" s="1"/>
  <c r="S5" i="75" s="1"/>
  <c r="V5" i="75" s="1"/>
  <c r="Y5" i="75" s="1"/>
  <c r="AB5" i="75" s="1"/>
  <c r="AE5" i="75" s="1"/>
  <c r="AH5" i="75" s="1"/>
  <c r="AK5" i="75" s="1"/>
  <c r="AN5" i="75" s="1"/>
  <c r="AQ5" i="75" s="1"/>
  <c r="AT5" i="75" s="1"/>
  <c r="AW5" i="75" s="1"/>
  <c r="AZ5" i="75" s="1"/>
  <c r="BC5" i="75" s="1"/>
  <c r="BF5" i="75" s="1"/>
  <c r="BI5" i="75" s="1"/>
  <c r="BL5" i="75" s="1"/>
  <c r="J82" i="73" l="1"/>
  <c r="J11" i="73"/>
  <c r="J86" i="73"/>
  <c r="J90" i="73"/>
  <c r="J13" i="73"/>
  <c r="J98" i="73"/>
  <c r="J15" i="73"/>
  <c r="J17" i="73"/>
  <c r="J34" i="73"/>
  <c r="J9" i="73"/>
  <c r="J83" i="73"/>
  <c r="J88" i="73"/>
  <c r="J8" i="73"/>
  <c r="J10" i="73"/>
  <c r="J30" i="73"/>
  <c r="J94" i="73"/>
  <c r="J84" i="73"/>
  <c r="J12" i="73"/>
  <c r="J37" i="73"/>
  <c r="J89" i="73"/>
  <c r="J92" i="73"/>
  <c r="J19" i="73"/>
  <c r="J87" i="73"/>
  <c r="J14" i="73"/>
  <c r="J85" i="73"/>
  <c r="Q6" i="73"/>
  <c r="C95" i="73"/>
  <c r="C77" i="73"/>
  <c r="J7" i="73"/>
  <c r="C36" i="73"/>
  <c r="C96" i="73" l="1"/>
  <c r="C78" i="73"/>
  <c r="C37" i="73"/>
  <c r="C38" i="73" s="1"/>
  <c r="C39" i="73" s="1"/>
  <c r="C40" i="73" s="1"/>
  <c r="C41" i="73" s="1"/>
  <c r="C42" i="73" s="1"/>
  <c r="C43" i="73" s="1"/>
  <c r="C44" i="73" s="1"/>
  <c r="C45" i="73" s="1"/>
  <c r="C46" i="73" s="1"/>
  <c r="C47" i="73" s="1"/>
  <c r="C48" i="73" s="1"/>
  <c r="C49" i="73" s="1"/>
  <c r="C50" i="73" s="1"/>
  <c r="C51" i="73" s="1"/>
  <c r="C52" i="73" s="1"/>
  <c r="C53" i="73" s="1"/>
  <c r="C54" i="73" s="1"/>
  <c r="C55" i="73" s="1"/>
  <c r="C56" i="73" s="1"/>
  <c r="C57" i="73" s="1"/>
  <c r="C58" i="73" s="1"/>
  <c r="C59" i="73" s="1"/>
  <c r="C60" i="73" s="1"/>
  <c r="C61" i="73" s="1"/>
  <c r="C97" i="73" l="1"/>
  <c r="C79" i="73"/>
  <c r="X34" i="76"/>
  <c r="X33" i="76"/>
  <c r="X32" i="76"/>
  <c r="X31" i="76"/>
  <c r="X30" i="76"/>
  <c r="X29" i="76"/>
  <c r="X28" i="76"/>
  <c r="X27" i="76"/>
  <c r="X26" i="76"/>
  <c r="X25" i="76"/>
  <c r="X24" i="76"/>
  <c r="X23" i="76"/>
  <c r="X22" i="76"/>
  <c r="X21" i="76"/>
  <c r="X20" i="76"/>
  <c r="X19" i="76"/>
  <c r="X18" i="76"/>
  <c r="P34" i="76"/>
  <c r="L34" i="76"/>
  <c r="D34" i="76"/>
  <c r="P33" i="76"/>
  <c r="L33" i="76"/>
  <c r="D33" i="76"/>
  <c r="P32" i="76"/>
  <c r="L32" i="76"/>
  <c r="D32" i="76"/>
  <c r="P31" i="76"/>
  <c r="L31" i="76"/>
  <c r="D31" i="76"/>
  <c r="P30" i="76"/>
  <c r="L30" i="76"/>
  <c r="D30" i="76"/>
  <c r="P29" i="76"/>
  <c r="L29" i="76"/>
  <c r="D29" i="76"/>
  <c r="P28" i="76"/>
  <c r="L28" i="76"/>
  <c r="D28" i="76"/>
  <c r="P27" i="76"/>
  <c r="L27" i="76"/>
  <c r="D27" i="76"/>
  <c r="P26" i="76"/>
  <c r="L26" i="76"/>
  <c r="D26" i="76"/>
  <c r="P25" i="76"/>
  <c r="L25" i="76"/>
  <c r="D25" i="76"/>
  <c r="P24" i="76"/>
  <c r="L24" i="76"/>
  <c r="D24" i="76"/>
  <c r="P23" i="76"/>
  <c r="L23" i="76"/>
  <c r="D23" i="76"/>
  <c r="P22" i="76"/>
  <c r="L22" i="76"/>
  <c r="D22" i="76"/>
  <c r="P21" i="76"/>
  <c r="L21" i="76"/>
  <c r="D21" i="76"/>
  <c r="P20" i="76"/>
  <c r="L20" i="76"/>
  <c r="D20" i="76"/>
  <c r="P19" i="76"/>
  <c r="L19" i="76"/>
  <c r="D19" i="76"/>
  <c r="P18" i="76"/>
  <c r="L18" i="76"/>
  <c r="D18" i="76"/>
  <c r="P17" i="76"/>
  <c r="L17" i="76"/>
  <c r="D17" i="76"/>
  <c r="P16" i="76"/>
  <c r="L16" i="76"/>
  <c r="D16" i="76"/>
  <c r="P15" i="76"/>
  <c r="L15" i="76"/>
  <c r="D15" i="76"/>
  <c r="P14" i="76"/>
  <c r="L14" i="76"/>
  <c r="D14" i="76"/>
  <c r="P13" i="76"/>
  <c r="L13" i="76"/>
  <c r="D13" i="76"/>
  <c r="P12" i="76"/>
  <c r="L12" i="76"/>
  <c r="D12" i="76"/>
  <c r="P11" i="76"/>
  <c r="L11" i="76"/>
  <c r="D11" i="76"/>
  <c r="P10" i="76"/>
  <c r="L10" i="76"/>
  <c r="D10" i="76"/>
  <c r="P9" i="76"/>
  <c r="L9" i="76"/>
  <c r="D9" i="76"/>
  <c r="P8" i="76"/>
  <c r="L8" i="76"/>
  <c r="D8" i="76"/>
  <c r="P7" i="76"/>
  <c r="L7" i="76"/>
  <c r="D7" i="76"/>
  <c r="P6" i="76"/>
  <c r="L6" i="76"/>
  <c r="D6" i="76"/>
  <c r="P5" i="76"/>
  <c r="L5" i="76"/>
  <c r="D5" i="76"/>
  <c r="P4" i="76"/>
  <c r="L4" i="76"/>
  <c r="D4" i="76"/>
  <c r="C98" i="73" l="1"/>
  <c r="C80" i="73"/>
  <c r="C99" i="73" l="1"/>
  <c r="C81" i="73"/>
  <c r="BO5" i="75"/>
  <c r="BR5" i="75" s="1"/>
  <c r="BU5" i="75" s="1"/>
  <c r="BX5" i="75" s="1"/>
  <c r="CA5" i="75" l="1"/>
  <c r="CD5" i="75" s="1"/>
  <c r="CG5" i="75" s="1"/>
  <c r="CJ5" i="75" s="1"/>
  <c r="CM5" i="75" s="1"/>
  <c r="CP5" i="75" s="1"/>
  <c r="CS5" i="75" s="1"/>
  <c r="CV5" i="75" s="1"/>
  <c r="CY5" i="75" s="1"/>
  <c r="DB5" i="75" s="1"/>
  <c r="DE5" i="75" s="1"/>
  <c r="DH5" i="75" s="1"/>
  <c r="DK5" i="75" s="1"/>
  <c r="DN5" i="75" s="1"/>
  <c r="DQ5" i="75" s="1"/>
  <c r="DT5" i="75" s="1"/>
  <c r="DW5" i="75" s="1"/>
  <c r="DZ5" i="75" s="1"/>
  <c r="EC5" i="75" s="1"/>
  <c r="EF5" i="75" s="1"/>
  <c r="EI5" i="75" s="1"/>
  <c r="EL5" i="75" s="1"/>
  <c r="EO5" i="75" s="1"/>
  <c r="ER5" i="75" s="1"/>
  <c r="EU5" i="75" s="1"/>
  <c r="EX5" i="75" s="1"/>
  <c r="FA5" i="75" s="1"/>
  <c r="FD5" i="75" s="1"/>
  <c r="FG5" i="75" s="1"/>
  <c r="FJ5" i="75" s="1"/>
  <c r="FM5" i="75" s="1"/>
  <c r="FP5" i="75" s="1"/>
  <c r="FS5" i="75" s="1"/>
  <c r="FV5" i="75" s="1"/>
  <c r="FY5" i="75" s="1"/>
  <c r="GB5" i="75" s="1"/>
  <c r="GE5" i="75" s="1"/>
  <c r="GH5" i="75" s="1"/>
  <c r="GK5" i="75" s="1"/>
  <c r="GN5" i="75" s="1"/>
  <c r="GQ5" i="75" s="1"/>
  <c r="GT5" i="75" s="1"/>
  <c r="GW5" i="75" s="1"/>
  <c r="GZ5" i="75" s="1"/>
  <c r="HC5" i="75" s="1"/>
  <c r="HF5" i="75" s="1"/>
  <c r="HI5" i="75" s="1"/>
  <c r="HL5" i="75" s="1"/>
  <c r="HO5" i="75" s="1"/>
  <c r="HR5" i="75" s="1"/>
  <c r="HU5" i="75" s="1"/>
  <c r="HX5" i="75" s="1"/>
  <c r="IA5" i="75" s="1"/>
  <c r="ID5" i="75" s="1"/>
  <c r="IG5" i="75" s="1"/>
  <c r="IJ5" i="75" s="1"/>
  <c r="IM5" i="75" s="1"/>
  <c r="IP5" i="75" s="1"/>
  <c r="IS5" i="75" s="1"/>
  <c r="IV5" i="75" s="1"/>
  <c r="IY5" i="75" s="1"/>
  <c r="JB5" i="75" s="1"/>
  <c r="JE5" i="75" s="1"/>
  <c r="JH5" i="75" s="1"/>
  <c r="JK5" i="75" s="1"/>
  <c r="JN5" i="75" s="1"/>
  <c r="JQ5" i="75" s="1"/>
  <c r="JT5" i="75" s="1"/>
  <c r="JW5" i="75" s="1"/>
  <c r="Q4" i="73"/>
  <c r="V61" i="73" l="1"/>
  <c r="X61" i="73" s="1"/>
  <c r="V60" i="73"/>
  <c r="X60" i="73" s="1"/>
  <c r="V59" i="73"/>
  <c r="X59" i="73" s="1"/>
  <c r="V54" i="73"/>
  <c r="X54" i="73" s="1"/>
  <c r="V56" i="73"/>
  <c r="X56" i="73" s="1"/>
  <c r="V57" i="73"/>
  <c r="X57" i="73" s="1"/>
  <c r="V55" i="73"/>
  <c r="X55" i="73" s="1"/>
  <c r="V58" i="73"/>
  <c r="X58" i="73" s="1"/>
  <c r="V21" i="73"/>
  <c r="V18" i="73"/>
  <c r="V51" i="73"/>
  <c r="X51" i="73" s="1"/>
  <c r="V50" i="73"/>
  <c r="X50" i="73" s="1"/>
  <c r="V48" i="73"/>
  <c r="X48" i="73" s="1"/>
  <c r="V46" i="73"/>
  <c r="X46" i="73" s="1"/>
  <c r="V53" i="73"/>
  <c r="X53" i="73" s="1"/>
  <c r="V47" i="73"/>
  <c r="X47" i="73" s="1"/>
  <c r="V49" i="73"/>
  <c r="X49" i="73" s="1"/>
  <c r="V52" i="73"/>
  <c r="X52" i="73" s="1"/>
  <c r="R54" i="73" l="1"/>
  <c r="S54" i="73" s="1"/>
  <c r="T54" i="73" s="1"/>
  <c r="R46" i="73"/>
  <c r="S46" i="73" s="1"/>
  <c r="T46" i="73" s="1"/>
  <c r="Y54" i="73" l="1"/>
  <c r="Y46" i="73"/>
  <c r="AC24" i="73" l="1"/>
  <c r="AC25" i="73" s="1"/>
  <c r="AB22" i="73"/>
  <c r="AC22" i="73" s="1"/>
  <c r="AB21" i="73" l="1"/>
  <c r="AC21" i="73"/>
  <c r="AC26" i="73"/>
  <c r="AB24" i="73"/>
  <c r="AB23" i="73"/>
  <c r="AC27" i="73" l="1"/>
  <c r="AB25" i="73"/>
  <c r="AB20" i="73"/>
  <c r="AC20" i="73"/>
  <c r="AB19" i="73" l="1"/>
  <c r="AC19" i="73"/>
  <c r="AC28" i="73"/>
  <c r="AB26" i="73"/>
  <c r="AC29" i="73" l="1"/>
  <c r="AB27" i="73"/>
  <c r="AC18" i="73"/>
  <c r="AB18" i="73"/>
  <c r="AB17" i="73" l="1"/>
  <c r="AC17" i="73"/>
  <c r="AB28" i="73"/>
  <c r="AC30" i="73"/>
  <c r="AC31" i="73" l="1"/>
  <c r="AB29" i="73"/>
  <c r="AB16" i="73"/>
  <c r="AC16" i="73"/>
  <c r="AB15" i="73" l="1"/>
  <c r="AC15" i="73"/>
  <c r="AC32" i="73"/>
  <c r="AB30" i="73"/>
  <c r="AC33" i="73" l="1"/>
  <c r="AB31" i="73"/>
  <c r="AB14" i="73"/>
  <c r="AC14" i="73"/>
  <c r="AB13" i="73" l="1"/>
  <c r="AC13" i="73"/>
  <c r="AB32" i="73"/>
  <c r="AC34" i="73"/>
  <c r="AC35" i="73" l="1"/>
  <c r="AB33" i="73"/>
  <c r="AC12" i="73"/>
  <c r="AB12" i="73"/>
  <c r="AB11" i="73" l="1"/>
  <c r="AC11" i="73"/>
  <c r="AC36" i="73"/>
  <c r="AB34" i="73"/>
  <c r="AC37" i="73" l="1"/>
  <c r="AB35" i="73"/>
  <c r="AB10" i="73"/>
  <c r="AC10" i="73"/>
  <c r="AB9" i="73" l="1"/>
  <c r="AC9" i="73"/>
  <c r="AC38" i="73"/>
  <c r="AB36" i="73"/>
  <c r="AC39" i="73" l="1"/>
  <c r="AB37" i="73"/>
  <c r="AC8" i="73"/>
  <c r="AB8" i="73"/>
  <c r="AB7" i="73" l="1"/>
  <c r="AC7" i="73"/>
  <c r="AC40" i="73"/>
  <c r="AB38" i="73"/>
  <c r="AC41" i="73" l="1"/>
  <c r="AB39" i="73"/>
  <c r="AC6" i="73"/>
  <c r="AB6" i="73"/>
  <c r="AB5" i="73" l="1"/>
  <c r="AC5" i="73"/>
  <c r="AC42" i="73"/>
  <c r="AB40" i="73"/>
  <c r="AC43" i="73" l="1"/>
  <c r="AB41" i="73"/>
  <c r="AC4" i="73"/>
  <c r="AB4" i="73"/>
  <c r="AB3" i="73" l="1"/>
  <c r="AC3" i="73"/>
  <c r="AC44" i="73"/>
  <c r="AB42" i="73"/>
  <c r="AC45" i="73" l="1"/>
  <c r="AB43" i="73"/>
  <c r="AB44" i="73" l="1"/>
  <c r="AC46" i="73"/>
  <c r="AC47" i="73" l="1"/>
  <c r="AB45" i="73"/>
  <c r="AC48" i="73" l="1"/>
  <c r="AB46" i="73"/>
  <c r="AC49" i="73" l="1"/>
  <c r="AB47" i="73"/>
  <c r="AC50" i="73" l="1"/>
  <c r="AB48" i="73"/>
  <c r="AC51" i="73" l="1"/>
  <c r="AB49" i="73"/>
  <c r="AB50" i="73" l="1"/>
  <c r="AC52" i="73"/>
  <c r="AB51" i="73" s="1"/>
  <c r="V29" i="73" l="1"/>
  <c r="X29" i="73" s="1"/>
  <c r="V42" i="73" l="1"/>
  <c r="X42" i="73" s="1"/>
  <c r="V38" i="73"/>
  <c r="X38" i="73" s="1"/>
  <c r="V45" i="73"/>
  <c r="X45" i="73" s="1"/>
  <c r="V41" i="73"/>
  <c r="X41" i="73" s="1"/>
  <c r="V44" i="73"/>
  <c r="X44" i="73" s="1"/>
  <c r="V40" i="73"/>
  <c r="X40" i="73" s="1"/>
  <c r="V43" i="73"/>
  <c r="X43" i="73" s="1"/>
  <c r="V39" i="73"/>
  <c r="X39" i="73" s="1"/>
  <c r="V19" i="73"/>
  <c r="X19" i="73" s="1"/>
  <c r="V37" i="73"/>
  <c r="X37" i="73" s="1"/>
  <c r="V34" i="73"/>
  <c r="X34" i="73" s="1"/>
  <c r="V35" i="73"/>
  <c r="X35" i="73" s="1"/>
  <c r="V36" i="73"/>
  <c r="X36" i="73" s="1"/>
  <c r="V31" i="73"/>
  <c r="X31" i="73" s="1"/>
  <c r="V32" i="73"/>
  <c r="X32" i="73" s="1"/>
  <c r="V33" i="73"/>
  <c r="X33" i="73" s="1"/>
  <c r="V30" i="73"/>
  <c r="X30" i="73" s="1"/>
  <c r="V24" i="73"/>
  <c r="X24" i="73" s="1"/>
  <c r="V26" i="73"/>
  <c r="X26" i="73" s="1"/>
  <c r="V22" i="73"/>
  <c r="X22" i="73" s="1"/>
  <c r="V27" i="73"/>
  <c r="X27" i="73" s="1"/>
  <c r="V23" i="73"/>
  <c r="X23" i="73" s="1"/>
  <c r="V28" i="73"/>
  <c r="X28" i="73" s="1"/>
  <c r="V25" i="73"/>
  <c r="X25" i="73" s="1"/>
  <c r="R38" i="73" l="1"/>
  <c r="S38" i="73" s="1"/>
  <c r="T38" i="73" s="1"/>
  <c r="R30" i="73"/>
  <c r="S30" i="73" s="1"/>
  <c r="T30" i="73" s="1"/>
  <c r="R22" i="73"/>
  <c r="S22" i="73" s="1"/>
  <c r="T22" i="73" s="1"/>
  <c r="X18" i="73"/>
  <c r="V16" i="73"/>
  <c r="X16" i="73" s="1"/>
  <c r="V20" i="73"/>
  <c r="X20" i="73" s="1"/>
  <c r="V14" i="73"/>
  <c r="X14" i="73" s="1"/>
  <c r="V17" i="73"/>
  <c r="X17" i="73" s="1"/>
  <c r="V15" i="73"/>
  <c r="X15" i="73" s="1"/>
  <c r="X21" i="73"/>
  <c r="R14" i="73" l="1"/>
  <c r="Y30" i="73"/>
  <c r="Y38" i="73"/>
  <c r="Y22" i="73"/>
  <c r="V12" i="73"/>
  <c r="X12" i="73" s="1"/>
  <c r="V8" i="73"/>
  <c r="X8" i="73" s="1"/>
  <c r="V10" i="73"/>
  <c r="X10" i="73" s="1"/>
  <c r="V6" i="73"/>
  <c r="X6" i="73" s="1"/>
  <c r="V9" i="73"/>
  <c r="X9" i="73" s="1"/>
  <c r="V13" i="73"/>
  <c r="X13" i="73" s="1"/>
  <c r="V7" i="73"/>
  <c r="X7" i="73" s="1"/>
  <c r="V11" i="73"/>
  <c r="X11" i="73" s="1"/>
  <c r="R6" i="73" l="1"/>
  <c r="S6" i="73" s="1"/>
  <c r="T6" i="73" s="1"/>
  <c r="S14" i="73"/>
  <c r="T14" i="73" s="1"/>
  <c r="Y14" i="73"/>
  <c r="T2" i="73" l="1"/>
  <c r="U2" i="73"/>
  <c r="Y6" i="73"/>
  <c r="I4" i="5" l="1"/>
  <c r="J4" i="5"/>
  <c r="K4" i="5"/>
  <c r="L4" i="5"/>
  <c r="H4" i="5"/>
  <c r="G4" i="5"/>
</calcChain>
</file>

<file path=xl/comments1.xml><?xml version="1.0" encoding="utf-8"?>
<comments xmlns="http://schemas.openxmlformats.org/spreadsheetml/2006/main">
  <authors>
    <author>diemhang.nguyen@lge.com</author>
    <author>diemhang.nguyen</author>
  </authors>
  <commentList>
    <comment ref="J16" authorId="0" shapeId="0">
      <text>
        <r>
          <rPr>
            <b/>
            <sz val="9"/>
            <color indexed="81"/>
            <rFont val="Tahoma"/>
            <family val="2"/>
          </rPr>
          <t>diemhang.nguyen@lge.com:</t>
        </r>
        <r>
          <rPr>
            <sz val="9"/>
            <color indexed="81"/>
            <rFont val="Tahoma"/>
            <family val="2"/>
          </rPr>
          <t xml:space="preserve">
change formular (target - actual)</t>
        </r>
      </text>
    </comment>
    <comment ref="J19" authorId="0" shapeId="0">
      <text>
        <r>
          <rPr>
            <b/>
            <sz val="9"/>
            <color indexed="81"/>
            <rFont val="Tahoma"/>
            <family val="2"/>
          </rPr>
          <t>diemhang.nguyen@lge.com:</t>
        </r>
        <r>
          <rPr>
            <sz val="9"/>
            <color indexed="81"/>
            <rFont val="Tahoma"/>
            <family val="2"/>
          </rPr>
          <t xml:space="preserve">
change formular (target - actual)</t>
        </r>
      </text>
    </comment>
    <comment ref="C40" authorId="1" shapeId="0">
      <text>
        <r>
          <rPr>
            <b/>
            <sz val="9"/>
            <color indexed="81"/>
            <rFont val="Tahoma"/>
            <family val="2"/>
          </rPr>
          <t>diemhang.nguyen:</t>
        </r>
        <r>
          <rPr>
            <sz val="9"/>
            <color indexed="81"/>
            <rFont val="Tahoma"/>
            <family val="2"/>
          </rPr>
          <t xml:space="preserve">
Second project</t>
        </r>
      </text>
    </comment>
    <comment ref="C64" authorId="1" shapeId="0">
      <text>
        <r>
          <rPr>
            <b/>
            <sz val="9"/>
            <color indexed="81"/>
            <rFont val="Tahoma"/>
            <family val="2"/>
          </rPr>
          <t>Third project</t>
        </r>
      </text>
    </comment>
    <comment ref="C82" authorId="1" shapeId="0">
      <text>
        <r>
          <rPr>
            <b/>
            <sz val="9"/>
            <color indexed="81"/>
            <rFont val="Tahoma"/>
            <family val="2"/>
          </rPr>
          <t>Forth project</t>
        </r>
      </text>
    </comment>
  </commentList>
</comments>
</file>

<file path=xl/comments2.xml><?xml version="1.0" encoding="utf-8"?>
<comments xmlns="http://schemas.openxmlformats.org/spreadsheetml/2006/main">
  <authors>
    <author>linh.truong</author>
  </authors>
  <commentList>
    <comment ref="J3" authorId="0" shapeId="0">
      <text>
        <r>
          <rPr>
            <b/>
            <sz val="9"/>
            <color indexed="81"/>
            <rFont val="Tahoma"/>
            <family val="2"/>
          </rPr>
          <t>linh.truong:</t>
        </r>
        <r>
          <rPr>
            <sz val="9"/>
            <color indexed="81"/>
            <rFont val="Tahoma"/>
            <family val="2"/>
          </rPr>
          <t xml:space="preserve">
Thay thế bằng : Create TCs productivity (Overall)</t>
        </r>
      </text>
    </comment>
    <comment ref="M3" authorId="0" shapeId="0">
      <text>
        <r>
          <rPr>
            <b/>
            <sz val="9"/>
            <color indexed="81"/>
            <rFont val="Tahoma"/>
            <family val="2"/>
          </rPr>
          <t>linh.truong:</t>
        </r>
        <r>
          <rPr>
            <sz val="9"/>
            <color indexed="81"/>
            <rFont val="Tahoma"/>
            <family val="2"/>
          </rPr>
          <t xml:space="preserve">
Thay thế Bằng : Personal Manual test productivity (Overall)</t>
        </r>
      </text>
    </comment>
    <comment ref="Y3" authorId="0" shapeId="0">
      <text>
        <r>
          <rPr>
            <b/>
            <sz val="9"/>
            <color indexed="81"/>
            <rFont val="Tahoma"/>
            <family val="2"/>
          </rPr>
          <t>linh.truong:
Thay thế bằng: Project Manual test productivity (Overall)</t>
        </r>
      </text>
    </comment>
    <comment ref="AK3" authorId="0" shapeId="0">
      <text>
        <r>
          <rPr>
            <b/>
            <sz val="9"/>
            <color indexed="81"/>
            <rFont val="Tahoma"/>
            <family val="2"/>
          </rPr>
          <t>linh.truong:
Thay bằng Project Process Compliance &amp;  Outcome Quality Score</t>
        </r>
        <r>
          <rPr>
            <sz val="9"/>
            <color indexed="81"/>
            <rFont val="Tahoma"/>
            <family val="2"/>
          </rPr>
          <t xml:space="preserve">
</t>
        </r>
      </text>
    </comment>
    <comment ref="AQ3" authorId="0" shapeId="0">
      <text>
        <r>
          <rPr>
            <b/>
            <sz val="9"/>
            <color indexed="81"/>
            <rFont val="Tahoma"/>
            <family val="2"/>
          </rPr>
          <t>linh.truong:</t>
        </r>
        <r>
          <rPr>
            <sz val="9"/>
            <color indexed="81"/>
            <rFont val="Tahoma"/>
            <family val="2"/>
          </rPr>
          <t xml:space="preserve">
Thay bằng : True Defect Rate</t>
        </r>
      </text>
    </comment>
    <comment ref="BX3" authorId="0" shapeId="0">
      <text>
        <r>
          <rPr>
            <b/>
            <sz val="9"/>
            <color indexed="81"/>
            <rFont val="Tahoma"/>
            <family val="2"/>
          </rPr>
          <t>linh.truong:</t>
        </r>
        <r>
          <rPr>
            <sz val="9"/>
            <color indexed="81"/>
            <rFont val="Tahoma"/>
            <family val="2"/>
          </rPr>
          <t xml:space="preserve">
Thay bằng CBL incrementation Rate</t>
        </r>
      </text>
    </comment>
    <comment ref="DE3" authorId="0" shapeId="0">
      <text>
        <r>
          <rPr>
            <b/>
            <sz val="9"/>
            <color indexed="81"/>
            <rFont val="Tahoma"/>
            <family val="2"/>
          </rPr>
          <t>linh.truong:</t>
        </r>
        <r>
          <rPr>
            <sz val="9"/>
            <color indexed="81"/>
            <rFont val="Tahoma"/>
            <family val="2"/>
          </rPr>
          <t xml:space="preserve">
Thay thế bằng : Create TCs productivity (Overall)</t>
        </r>
      </text>
    </comment>
    <comment ref="DH3" authorId="0" shapeId="0">
      <text>
        <r>
          <rPr>
            <b/>
            <sz val="9"/>
            <color indexed="81"/>
            <rFont val="Tahoma"/>
            <family val="2"/>
          </rPr>
          <t>linh.truong:</t>
        </r>
        <r>
          <rPr>
            <sz val="9"/>
            <color indexed="81"/>
            <rFont val="Tahoma"/>
            <family val="2"/>
          </rPr>
          <t xml:space="preserve">
Thay thế Bằng : Personal Manual test productivity (Overall)</t>
        </r>
      </text>
    </comment>
    <comment ref="DT3" authorId="0" shapeId="0">
      <text>
        <r>
          <rPr>
            <b/>
            <sz val="9"/>
            <color indexed="81"/>
            <rFont val="Tahoma"/>
            <family val="2"/>
          </rPr>
          <t>linh.truong:
Thay thế bằng: Project Manual test productivity (Overall)</t>
        </r>
      </text>
    </comment>
    <comment ref="EL3" authorId="0" shapeId="0">
      <text>
        <r>
          <rPr>
            <b/>
            <sz val="9"/>
            <color indexed="81"/>
            <rFont val="Tahoma"/>
            <family val="2"/>
          </rPr>
          <t>linh.truong:</t>
        </r>
        <r>
          <rPr>
            <sz val="9"/>
            <color indexed="81"/>
            <rFont val="Tahoma"/>
            <family val="2"/>
          </rPr>
          <t xml:space="preserve">
Thay bằng : True Defect Rate</t>
        </r>
      </text>
    </comment>
    <comment ref="FY3" authorId="0" shapeId="0">
      <text>
        <r>
          <rPr>
            <b/>
            <sz val="9"/>
            <color indexed="81"/>
            <rFont val="Tahoma"/>
            <family val="2"/>
          </rPr>
          <t>linh.truong:</t>
        </r>
        <r>
          <rPr>
            <sz val="9"/>
            <color indexed="81"/>
            <rFont val="Tahoma"/>
            <family val="2"/>
          </rPr>
          <t xml:space="preserve">
Thay thế bằng : Create TCs productivity (Overall)</t>
        </r>
      </text>
    </comment>
    <comment ref="GB3" authorId="0" shapeId="0">
      <text>
        <r>
          <rPr>
            <b/>
            <sz val="9"/>
            <color indexed="81"/>
            <rFont val="Tahoma"/>
            <family val="2"/>
          </rPr>
          <t>linh.truong:</t>
        </r>
        <r>
          <rPr>
            <sz val="9"/>
            <color indexed="81"/>
            <rFont val="Tahoma"/>
            <family val="2"/>
          </rPr>
          <t xml:space="preserve">
Thay thế Bằng : Personal Manual test productivity (Overall)</t>
        </r>
      </text>
    </comment>
    <comment ref="GN3" authorId="0" shapeId="0">
      <text>
        <r>
          <rPr>
            <b/>
            <sz val="9"/>
            <color indexed="81"/>
            <rFont val="Tahoma"/>
            <family val="2"/>
          </rPr>
          <t>linh.truong:
Thay thế bằng: Project Manual test productivity (Overall)</t>
        </r>
      </text>
    </comment>
    <comment ref="HF3" authorId="0" shapeId="0">
      <text>
        <r>
          <rPr>
            <b/>
            <sz val="9"/>
            <color indexed="81"/>
            <rFont val="Tahoma"/>
            <family val="2"/>
          </rPr>
          <t>linh.truong:</t>
        </r>
        <r>
          <rPr>
            <sz val="9"/>
            <color indexed="81"/>
            <rFont val="Tahoma"/>
            <family val="2"/>
          </rPr>
          <t xml:space="preserve">
Thay bằng : True Defect Rate</t>
        </r>
      </text>
    </comment>
    <comment ref="IA3" authorId="0" shapeId="0">
      <text>
        <r>
          <rPr>
            <b/>
            <sz val="9"/>
            <color indexed="81"/>
            <rFont val="Tahoma"/>
            <family val="2"/>
          </rPr>
          <t>linh.truong:</t>
        </r>
        <r>
          <rPr>
            <sz val="9"/>
            <color indexed="81"/>
            <rFont val="Tahoma"/>
            <family val="2"/>
          </rPr>
          <t xml:space="preserve">
Thay thế bằng : Create TCs productivity (Overall)</t>
        </r>
      </text>
    </comment>
    <comment ref="ID3" authorId="0" shapeId="0">
      <text>
        <r>
          <rPr>
            <b/>
            <sz val="9"/>
            <color indexed="81"/>
            <rFont val="Tahoma"/>
            <family val="2"/>
          </rPr>
          <t>linh.truong:</t>
        </r>
        <r>
          <rPr>
            <sz val="9"/>
            <color indexed="81"/>
            <rFont val="Tahoma"/>
            <family val="2"/>
          </rPr>
          <t xml:space="preserve">
Thay thế Bằng : Personal Manual test productivity (Overall)</t>
        </r>
      </text>
    </comment>
    <comment ref="IP3" authorId="0" shapeId="0">
      <text>
        <r>
          <rPr>
            <b/>
            <sz val="9"/>
            <color indexed="81"/>
            <rFont val="Tahoma"/>
            <family val="2"/>
          </rPr>
          <t>linh.truong:
Thay thế bằng: Project Manual test productivity (Overall)</t>
        </r>
      </text>
    </comment>
    <comment ref="JH3" authorId="0" shapeId="0">
      <text>
        <r>
          <rPr>
            <b/>
            <sz val="9"/>
            <color indexed="81"/>
            <rFont val="Tahoma"/>
            <family val="2"/>
          </rPr>
          <t>linh.truong:</t>
        </r>
        <r>
          <rPr>
            <sz val="9"/>
            <color indexed="81"/>
            <rFont val="Tahoma"/>
            <family val="2"/>
          </rPr>
          <t xml:space="preserve">
Thay bằng : True Defect Rate</t>
        </r>
      </text>
    </comment>
  </commentList>
</comments>
</file>

<file path=xl/comments3.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S5" authorId="0" shapeId="0">
      <text>
        <r>
          <rPr>
            <b/>
            <sz val="9"/>
            <color indexed="81"/>
            <rFont val="Tahoma"/>
            <family val="2"/>
          </rPr>
          <t>diemhang.nguyen@lge.com:</t>
        </r>
        <r>
          <rPr>
            <sz val="9"/>
            <color indexed="81"/>
            <rFont val="Tahoma"/>
            <family val="2"/>
          </rPr>
          <t xml:space="preserve">
Adjust target from Test Leader to Senior</t>
        </r>
      </text>
    </comment>
    <comment ref="AN11" authorId="1" shapeId="0">
      <text>
        <r>
          <rPr>
            <b/>
            <sz val="9"/>
            <color indexed="81"/>
            <rFont val="Tahoma"/>
            <family val="2"/>
          </rPr>
          <t>diemhang.nguyen:</t>
        </r>
        <r>
          <rPr>
            <sz val="9"/>
            <color indexed="81"/>
            <rFont val="Tahoma"/>
            <family val="2"/>
          </rPr>
          <t xml:space="preserve">
adjust to match goal on SSO (Total personal should be 25%)</t>
        </r>
      </text>
    </comment>
    <comment ref="AO11" authorId="1" shapeId="0">
      <text>
        <r>
          <rPr>
            <b/>
            <sz val="9"/>
            <color indexed="81"/>
            <rFont val="Tahoma"/>
            <family val="2"/>
          </rPr>
          <t>diemhang.nguyen:</t>
        </r>
        <r>
          <rPr>
            <sz val="9"/>
            <color indexed="81"/>
            <rFont val="Tahoma"/>
            <family val="2"/>
          </rPr>
          <t xml:space="preserve">
adjust to match goal on SSO (Total personal should be 25%)</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6" authorId="0" shapeId="0">
      <text>
        <r>
          <rPr>
            <b/>
            <sz val="9"/>
            <color indexed="81"/>
            <rFont val="Tahoma"/>
            <family val="2"/>
          </rPr>
          <t>diemhang.nguyen@lge.com:</t>
        </r>
        <r>
          <rPr>
            <sz val="9"/>
            <color indexed="81"/>
            <rFont val="Tahoma"/>
            <family val="2"/>
          </rPr>
          <t xml:space="preserve">
Apply for Type 4 project. If Type 1, devide to 3.1 and 3.2</t>
        </r>
      </text>
    </comment>
    <comment ref="BE29" authorId="1" shapeId="0">
      <text>
        <r>
          <rPr>
            <b/>
            <sz val="9"/>
            <color indexed="81"/>
            <rFont val="Tahoma"/>
            <family val="2"/>
          </rPr>
          <t>diemhang.nguyen:</t>
        </r>
        <r>
          <rPr>
            <sz val="9"/>
            <color indexed="81"/>
            <rFont val="Tahoma"/>
            <family val="2"/>
          </rPr>
          <t xml:space="preserve">
CA task</t>
        </r>
      </text>
    </comment>
    <comment ref="BO29" authorId="1" shapeId="0">
      <text>
        <r>
          <rPr>
            <b/>
            <sz val="9"/>
            <color indexed="81"/>
            <rFont val="Tahoma"/>
            <family val="2"/>
          </rPr>
          <t>diemhang.nguyen:</t>
        </r>
        <r>
          <rPr>
            <sz val="9"/>
            <color indexed="81"/>
            <rFont val="Tahoma"/>
            <family val="2"/>
          </rPr>
          <t xml:space="preserve">
Review handbook</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 ref="BO30" authorId="1" shapeId="0">
      <text>
        <r>
          <rPr>
            <b/>
            <sz val="9"/>
            <color indexed="81"/>
            <rFont val="Tahoma"/>
            <family val="2"/>
          </rPr>
          <t>diemhang.nguyen:</t>
        </r>
        <r>
          <rPr>
            <sz val="9"/>
            <color indexed="81"/>
            <rFont val="Tahoma"/>
            <family val="2"/>
          </rPr>
          <t xml:space="preserve">
80% passed foundation</t>
        </r>
      </text>
    </comment>
  </commentList>
</comments>
</file>

<file path=xl/comments4.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S5" authorId="0" shapeId="0">
      <text>
        <r>
          <rPr>
            <b/>
            <sz val="9"/>
            <color indexed="81"/>
            <rFont val="Tahoma"/>
            <family val="2"/>
          </rPr>
          <t>diemhang.nguyen@lge.com:</t>
        </r>
        <r>
          <rPr>
            <sz val="9"/>
            <color indexed="81"/>
            <rFont val="Tahoma"/>
            <family val="2"/>
          </rPr>
          <t xml:space="preserve">
Adjust target from Test Leader to Senior</t>
        </r>
      </text>
    </comment>
    <comment ref="AG10" authorId="1" shapeId="0">
      <text>
        <r>
          <rPr>
            <b/>
            <sz val="9"/>
            <color indexed="81"/>
            <rFont val="Tahoma"/>
            <family val="2"/>
          </rPr>
          <t>diemhang.nguyen:</t>
        </r>
        <r>
          <rPr>
            <sz val="9"/>
            <color indexed="81"/>
            <rFont val="Tahoma"/>
            <family val="2"/>
          </rPr>
          <t xml:space="preserve">
Don't have data?</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8" authorId="0" shapeId="0">
      <text>
        <r>
          <rPr>
            <b/>
            <sz val="9"/>
            <color indexed="81"/>
            <rFont val="Tahoma"/>
            <family val="2"/>
          </rPr>
          <t>diemhang.nguyen@lge.com:</t>
        </r>
        <r>
          <rPr>
            <sz val="9"/>
            <color indexed="81"/>
            <rFont val="Tahoma"/>
            <family val="2"/>
          </rPr>
          <t xml:space="preserve">
Apply for Type 4 project. If Type 1, devide to 3.1 and 3.2</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List>
</comments>
</file>

<file path=xl/comments5.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8" authorId="0" shapeId="0">
      <text>
        <r>
          <rPr>
            <b/>
            <sz val="9"/>
            <color indexed="81"/>
            <rFont val="Tahoma"/>
            <family val="2"/>
          </rPr>
          <t>diemhang.nguyen@lge.com:</t>
        </r>
        <r>
          <rPr>
            <sz val="9"/>
            <color indexed="81"/>
            <rFont val="Tahoma"/>
            <family val="2"/>
          </rPr>
          <t xml:space="preserve">
Apply for Type 4 project. If Type 1, devide to 3.1 and 3.2</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List>
</comments>
</file>

<file path=xl/comments6.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8" authorId="0" shapeId="0">
      <text>
        <r>
          <rPr>
            <b/>
            <sz val="9"/>
            <color indexed="81"/>
            <rFont val="Tahoma"/>
            <family val="2"/>
          </rPr>
          <t>diemhang.nguyen@lge.com:</t>
        </r>
        <r>
          <rPr>
            <sz val="9"/>
            <color indexed="81"/>
            <rFont val="Tahoma"/>
            <family val="2"/>
          </rPr>
          <t xml:space="preserve">
Apply for Type 4 project. If Type 1, devide to 3.1 and 3.2</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List>
</comments>
</file>

<file path=xl/sharedStrings.xml><?xml version="1.0" encoding="utf-8"?>
<sst xmlns="http://schemas.openxmlformats.org/spreadsheetml/2006/main" count="1664" uniqueCount="377">
  <si>
    <t>No.</t>
  </si>
  <si>
    <t>Target</t>
  </si>
  <si>
    <t>Remark</t>
  </si>
  <si>
    <t>Number of  test cases executed per day</t>
  </si>
  <si>
    <t>Peer review TC productivity</t>
  </si>
  <si>
    <t>Number of peer reviewed test cases executed per day</t>
  </si>
  <si>
    <t>Sampling review TCs</t>
  </si>
  <si>
    <t>Number of  Sampling reviewed test cases executed per day</t>
  </si>
  <si>
    <t>Jan</t>
  </si>
  <si>
    <t>Feb</t>
  </si>
  <si>
    <t>Mar</t>
  </si>
  <si>
    <t>Apr</t>
  </si>
  <si>
    <t>May</t>
  </si>
  <si>
    <t>Jun</t>
  </si>
  <si>
    <t>Aug</t>
  </si>
  <si>
    <t>Sep</t>
  </si>
  <si>
    <t>Oct</t>
  </si>
  <si>
    <t>Nov</t>
  </si>
  <si>
    <t>Dec</t>
  </si>
  <si>
    <t>[VW-MIB3_AVN]</t>
  </si>
  <si>
    <t>Manual test_Focused productivity</t>
  </si>
  <si>
    <t>Manual test_Overall productivity</t>
  </si>
  <si>
    <t>Working day standard</t>
  </si>
  <si>
    <t>Create TCs Focused productivity</t>
  </si>
  <si>
    <t>Create TCs Overall productivity</t>
  </si>
  <si>
    <t>Update TC productivity</t>
  </si>
  <si>
    <t>Number of updated test cases per day</t>
  </si>
  <si>
    <t>Cross review executed TC productivity</t>
  </si>
  <si>
    <t>Number of Cross review executed TC per day</t>
  </si>
  <si>
    <t>Turnover rate</t>
  </si>
  <si>
    <t>Project Name</t>
  </si>
  <si>
    <t>July</t>
  </si>
  <si>
    <t>Company</t>
  </si>
  <si>
    <t>Vietnam(DCV)</t>
  </si>
  <si>
    <t>Common</t>
  </si>
  <si>
    <t>Productivity</t>
  </si>
  <si>
    <t>Item</t>
  </si>
  <si>
    <t>KPI Target by Project</t>
  </si>
  <si>
    <t>Peer review comment rate</t>
  </si>
  <si>
    <t>Sampling review test result comment rate</t>
  </si>
  <si>
    <t>Sampling review TC comment rate</t>
  </si>
  <si>
    <t>Sampling review rate</t>
  </si>
  <si>
    <t>Invalid bug rate</t>
  </si>
  <si>
    <t>Not A Bug rate</t>
  </si>
  <si>
    <t>Member Name</t>
  </si>
  <si>
    <t>Project Label</t>
  </si>
  <si>
    <t>Defect coverage</t>
  </si>
  <si>
    <t>HQ Comment rate</t>
  </si>
  <si>
    <t>On time delivery</t>
  </si>
  <si>
    <t>English skill</t>
  </si>
  <si>
    <t>Communication/Iteamwork skill</t>
  </si>
  <si>
    <t>Problem solving/decision making</t>
  </si>
  <si>
    <t>Responsibility</t>
  </si>
  <si>
    <t>ISTQB</t>
  </si>
  <si>
    <t>Handbook exam</t>
  </si>
  <si>
    <t>Team contribution (V-Task)</t>
  </si>
  <si>
    <t>Part</t>
  </si>
  <si>
    <t>Score</t>
  </si>
  <si>
    <t>nhung2.hoang@lge.com</t>
  </si>
  <si>
    <t>cuong.tran@lge.com</t>
  </si>
  <si>
    <t>bich2.do@lge.com</t>
  </si>
  <si>
    <t>hoangphong.nguyen@lge.com</t>
  </si>
  <si>
    <t>thuynga.nguyen@lge.com</t>
  </si>
  <si>
    <t>anh.to@lge.com</t>
  </si>
  <si>
    <t>trang2.le@lge.com</t>
  </si>
  <si>
    <t>thao.dang@lge.com</t>
  </si>
  <si>
    <t>quyen.nguyen@lge.com</t>
  </si>
  <si>
    <t>kimoanh.nguyen@lge.com</t>
  </si>
  <si>
    <t>nguyet2.nguyen@lge.com</t>
  </si>
  <si>
    <t>thuy1.le@lge.com</t>
  </si>
  <si>
    <t>thuy2.pham@lge.com</t>
  </si>
  <si>
    <t>lan.hoang@lge.com</t>
  </si>
  <si>
    <t>phuong1.nguyen@lge.com</t>
  </si>
  <si>
    <t>y.vu@lge.com</t>
  </si>
  <si>
    <t>lan.nguyen@lge.com</t>
  </si>
  <si>
    <t>Tran Manh Cuong</t>
  </si>
  <si>
    <t>Nguyen Minh Quyen</t>
  </si>
  <si>
    <t>Nguyen Thi Nguyet</t>
  </si>
  <si>
    <t>Nguyen Thi Lan</t>
  </si>
  <si>
    <t>Vu Thi Y</t>
  </si>
  <si>
    <t>Pham Thi Thuy</t>
  </si>
  <si>
    <t>Do Thi Ngoc Bich</t>
  </si>
  <si>
    <t>Nguyen Thi Phuong</t>
  </si>
  <si>
    <t>Le Thi Trang</t>
  </si>
  <si>
    <t>Nguyen Kim Oanh</t>
  </si>
  <si>
    <t>Dang Phuong Thao</t>
  </si>
  <si>
    <t>Le Thu Thuy</t>
  </si>
  <si>
    <t>Nguyen Thuy Nga</t>
  </si>
  <si>
    <t>Nguyen Hoang Phong</t>
  </si>
  <si>
    <t>Hoang Thi Lan</t>
  </si>
  <si>
    <t>To Thi Van Anh</t>
  </si>
  <si>
    <t>Hoang Thi Nhung</t>
  </si>
  <si>
    <t>Cuong.tran@lge.com</t>
  </si>
  <si>
    <t>Thuy1.le@lge.com</t>
  </si>
  <si>
    <t>Lan.nguyen@lge.com</t>
  </si>
  <si>
    <t>Trang2.le@lge.com</t>
  </si>
  <si>
    <t>Phuong1.nguyen@lge.com</t>
  </si>
  <si>
    <t>Lan.hoang@lge.com</t>
  </si>
  <si>
    <t>Kimoanh.nguyen@lge.com</t>
  </si>
  <si>
    <t>Name of evaluee</t>
  </si>
  <si>
    <t>Access code</t>
  </si>
  <si>
    <t xml:space="preserve">Link </t>
  </si>
  <si>
    <t>Name of evaluator</t>
  </si>
  <si>
    <t>Evaluator's Email</t>
  </si>
  <si>
    <t>Evaluator Role</t>
  </si>
  <si>
    <t>Picked by</t>
  </si>
  <si>
    <t>ANH TO</t>
  </si>
  <si>
    <t>vt2_anhtovan</t>
  </si>
  <si>
    <t>https://www.ksvpro.vn/c/vt2-VAnh.html</t>
  </si>
  <si>
    <t>Same Project</t>
  </si>
  <si>
    <t>Evaluee</t>
  </si>
  <si>
    <t>BICH DO</t>
  </si>
  <si>
    <t>vt2_bngocdo</t>
  </si>
  <si>
    <t>https://www.ksvpro.vn/c/vt2_bichdo.html</t>
  </si>
  <si>
    <t>Diff Project</t>
  </si>
  <si>
    <t>CUONG TRAN</t>
  </si>
  <si>
    <t>vt2_cgmanh</t>
  </si>
  <si>
    <t>https://www.ksvpro.vn/c/cuongtran.html</t>
  </si>
  <si>
    <t>LAN HOANG</t>
  </si>
  <si>
    <t>vt2_lanh</t>
  </si>
  <si>
    <t>https://www.ksvpro.vn/c/lanhoang.html</t>
  </si>
  <si>
    <t>LAN NGUYEN</t>
  </si>
  <si>
    <t>vt2</t>
  </si>
  <si>
    <t>vt2_lanng</t>
  </si>
  <si>
    <t>NGA THUY NGUYEN</t>
  </si>
  <si>
    <t>NGUYET NGUYEN</t>
  </si>
  <si>
    <t>NHUNG HOANG</t>
  </si>
  <si>
    <t>OANH NGUYEN</t>
  </si>
  <si>
    <t>Thuy2.pham@lge.com</t>
  </si>
  <si>
    <t>PHONG NGUYEN</t>
  </si>
  <si>
    <t>Nguyen Thuy Vi</t>
  </si>
  <si>
    <t>vi2.nguyen@lge.com</t>
  </si>
  <si>
    <t>PHUC TRUONG</t>
  </si>
  <si>
    <t>PHUONG NGUYEN</t>
  </si>
  <si>
    <t>QUYEN NGUYEN</t>
  </si>
  <si>
    <t>THAO DANG</t>
  </si>
  <si>
    <t>LE THU THUY</t>
  </si>
  <si>
    <t>Thuynga.nguyen@lge.com</t>
  </si>
  <si>
    <t>THUY PHAM</t>
  </si>
  <si>
    <t>TRANG LE</t>
  </si>
  <si>
    <t>Y VU</t>
  </si>
  <si>
    <t>Test Leader</t>
  </si>
  <si>
    <t xml:space="preserve">Thuy2.pham@lge.com </t>
  </si>
  <si>
    <t>Anh.to@lge.com</t>
  </si>
  <si>
    <t>Part Leader</t>
  </si>
  <si>
    <t>Actual</t>
  </si>
  <si>
    <t>Quality</t>
  </si>
  <si>
    <t>% scale</t>
  </si>
  <si>
    <t>Mark scale</t>
  </si>
  <si>
    <t>Min</t>
  </si>
  <si>
    <t>Max</t>
  </si>
  <si>
    <t>Final Performance</t>
  </si>
  <si>
    <t>%Passed</t>
  </si>
  <si>
    <t># Actual=Target</t>
  </si>
  <si>
    <t># Actual&gt;Target (&lt;=10%)</t>
  </si>
  <si>
    <t># Actual&gt;Target (&gt;10% &lt;= 20%)</t>
  </si>
  <si>
    <t># Actual&gt;Target (&gt;20  &lt;= 30%)</t>
  </si>
  <si>
    <t># Actual&gt;Target (30%)</t>
  </si>
  <si>
    <t># Failed (&gt;30%)</t>
  </si>
  <si>
    <t>Task type</t>
  </si>
  <si>
    <t>Deviation</t>
  </si>
  <si>
    <t>*Removed Test Leader</t>
  </si>
  <si>
    <t>No. Activity</t>
  </si>
  <si>
    <t>Weight</t>
  </si>
  <si>
    <t>Activities</t>
  </si>
  <si>
    <t># Failed (&lt;=10%)</t>
  </si>
  <si>
    <t># Failed (&gt;10 &lt;=30%)</t>
  </si>
  <si>
    <t>Task Type Category</t>
  </si>
  <si>
    <r>
      <t xml:space="preserve">Explaination </t>
    </r>
    <r>
      <rPr>
        <sz val="11"/>
        <color theme="1"/>
        <rFont val="Calibri"/>
        <family val="2"/>
        <scheme val="minor"/>
      </rPr>
      <t>(if any)</t>
    </r>
  </si>
  <si>
    <t xml:space="preserve">Number of test cases created per day ( exclude investigate, peer review and update test case) </t>
  </si>
  <si>
    <t>SW Coverage</t>
  </si>
  <si>
    <t>Sampling review TCs productivity</t>
  </si>
  <si>
    <t>Sampling review TC rate</t>
  </si>
  <si>
    <t>Sampling test result rate</t>
  </si>
  <si>
    <t>Defect comments rate</t>
  </si>
  <si>
    <t>Test result comments rate</t>
  </si>
  <si>
    <t>Number of sampling reviewed TC/ Total TC</t>
  </si>
  <si>
    <t>Number of sampling reviewed test result/ Total executed TC</t>
  </si>
  <si>
    <t>Column Index</t>
  </si>
  <si>
    <t>Test Leader's Project Productivity</t>
  </si>
  <si>
    <t>TL_P_Sampling review TCs productivity</t>
  </si>
  <si>
    <t>Ontime Delivery</t>
  </si>
  <si>
    <t>Apply to VT team</t>
  </si>
  <si>
    <t>Team contribution (V-Task): Ontime Delivery</t>
  </si>
  <si>
    <t>Team contribution (V-Task): Apply to VT</t>
  </si>
  <si>
    <t>Test Leader's productivity</t>
  </si>
  <si>
    <t>Sampling review test result productivity</t>
  </si>
  <si>
    <t>Second Project</t>
  </si>
  <si>
    <t>TL_P_Sampling review test result productivity</t>
  </si>
  <si>
    <t>Second project</t>
  </si>
  <si>
    <t>Others (IT/Security/GA…)</t>
  </si>
  <si>
    <t>Monitor turn off electrical status</t>
  </si>
  <si>
    <t>Support VLM system</t>
  </si>
  <si>
    <t>Create and manage ACC lgepartner</t>
  </si>
  <si>
    <t>Create and update IT guideline documents</t>
  </si>
  <si>
    <t>Exact Score</t>
  </si>
  <si>
    <t>Round_up(Score)</t>
  </si>
  <si>
    <t xml:space="preserve">Members pass ISTQB foundation certificate </t>
  </si>
  <si>
    <t>Training for new member</t>
  </si>
  <si>
    <t>Support HR and GA, Labor task</t>
  </si>
  <si>
    <t>Record</t>
  </si>
  <si>
    <t>Work responsibility</t>
  </si>
  <si>
    <t>Problem solving</t>
  </si>
  <si>
    <t>Teamwork &amp; contribution for company</t>
  </si>
  <si>
    <t>Diff</t>
  </si>
  <si>
    <t>How does he/she attend group meetings regularly and arrives on time and well prepared</t>
  </si>
  <si>
    <t>How does he/she ready to contribute meaningful to discussions and team work</t>
  </si>
  <si>
    <t>How does he/she complete group assignments on time</t>
  </si>
  <si>
    <t>How does he/she prepare work in a quality manner</t>
  </si>
  <si>
    <t>How does he/she demonstrate a cooperative and supportive attitude</t>
  </si>
  <si>
    <t>How does he/she contribute significantly to the success of the project</t>
  </si>
  <si>
    <t>Final Mark</t>
  </si>
  <si>
    <t>While facing with problem, he/she is willing to look for different multiple solutions /ideas</t>
  </si>
  <si>
    <t>While facing with problem he/she tries to investigate root cause before asking for support</t>
  </si>
  <si>
    <t>After solving problem, he/she has plan to prevent the same problem in the future</t>
  </si>
  <si>
    <t xml:space="preserve"> How important are his/her contributions to the team's work</t>
  </si>
  <si>
    <t>Your opinion about the member under evaluation for his/her working performance</t>
  </si>
  <si>
    <t>How does he/she contribute for sharing technical knowledge for others effectively</t>
  </si>
  <si>
    <t>How enthusiastic does he/she in join common company activities</t>
  </si>
  <si>
    <t>How does he/she give out idea (creative and can apply to practical work</t>
  </si>
  <si>
    <t>Competitive productivity</t>
  </si>
  <si>
    <t>SW Test Coverage</t>
  </si>
  <si>
    <t>First Project</t>
  </si>
  <si>
    <t>Member Data</t>
  </si>
  <si>
    <t>ST AVN</t>
  </si>
  <si>
    <t>Junior</t>
  </si>
  <si>
    <t>Senior</t>
  </si>
  <si>
    <t>Group</t>
  </si>
  <si>
    <t>Type</t>
  </si>
  <si>
    <t>Goal Name</t>
  </si>
  <si>
    <t>KPI Name</t>
  </si>
  <si>
    <t>2018' VT average</t>
  </si>
  <si>
    <t>2019' Project Target</t>
  </si>
  <si>
    <t>2019' Project Actual</t>
  </si>
  <si>
    <t>weight</t>
  </si>
  <si>
    <t>Commited weight</t>
  </si>
  <si>
    <t>Commited data</t>
  </si>
  <si>
    <t>Actual data</t>
  </si>
  <si>
    <t>Personal</t>
  </si>
  <si>
    <t>1.1 Writing TC performance</t>
  </si>
  <si>
    <t>1.2 Test execution performance</t>
  </si>
  <si>
    <t>2.1 Writing TC quality</t>
  </si>
  <si>
    <t>Sampling Review TC Rate</t>
  </si>
  <si>
    <t>2.2 Test quality</t>
  </si>
  <si>
    <t>Software Test Coverage</t>
  </si>
  <si>
    <t>Project</t>
  </si>
  <si>
    <t>Delivery</t>
  </si>
  <si>
    <t>2.3 Delivery on-time</t>
  </si>
  <si>
    <t>3.1. Writing TC performance</t>
  </si>
  <si>
    <t>Project_Create TCs productivity</t>
  </si>
  <si>
    <t>3.2 Test execution performance</t>
  </si>
  <si>
    <t>Project_Manual test productivity</t>
  </si>
  <si>
    <t xml:space="preserve">3.3 Test quality </t>
  </si>
  <si>
    <t>Project_Software Test Coverage</t>
  </si>
  <si>
    <t>Project_Invalid bug rate</t>
  </si>
  <si>
    <t>Work Effeciency</t>
  </si>
  <si>
    <t>3.4 Work Effeciency</t>
  </si>
  <si>
    <t>DCV TC Coverage</t>
  </si>
  <si>
    <t>Other</t>
  </si>
  <si>
    <t>Team contribution (V-Task/Extra Task such as GA/CA/IT...)</t>
  </si>
  <si>
    <t>4.1/4/2…</t>
  </si>
  <si>
    <t>Team contribution</t>
  </si>
  <si>
    <t>5.2 ISTQB</t>
  </si>
  <si>
    <t>5.3 Handbook exam</t>
  </si>
  <si>
    <t>360 Degree</t>
  </si>
  <si>
    <t xml:space="preserve">6.1 Work Responsibility </t>
  </si>
  <si>
    <t xml:space="preserve">Work Responsibility </t>
  </si>
  <si>
    <t>6.2 Problem Solving</t>
  </si>
  <si>
    <t>Problem Solving</t>
  </si>
  <si>
    <t>6.3 Team Work and Company Contribution</t>
  </si>
  <si>
    <t>Team Work and Company Contribution</t>
  </si>
  <si>
    <t>N/A</t>
  </si>
  <si>
    <t>Have contribution activity, ontime delivery</t>
  </si>
  <si>
    <t>85% passed foundation</t>
  </si>
  <si>
    <t>80% Passed in the 1st round</t>
  </si>
  <si>
    <t>Final Score</t>
  </si>
  <si>
    <t>How enthusiatically does he/she support other members (not only internal team/project but whole company)</t>
  </si>
  <si>
    <t>How friendly does he/she treat with other members</t>
  </si>
  <si>
    <t/>
  </si>
  <si>
    <t>Defect Comment Rate</t>
  </si>
  <si>
    <t>360 Degree Review</t>
  </si>
  <si>
    <t>Other supporting activities</t>
  </si>
  <si>
    <t>I -</t>
  </si>
  <si>
    <t>Document Information</t>
  </si>
  <si>
    <t>Issuing authority</t>
    <phoneticPr fontId="0" type="noConversion"/>
  </si>
  <si>
    <t>Purpose</t>
  </si>
  <si>
    <t>Status of document</t>
    <phoneticPr fontId="0" type="noConversion"/>
  </si>
  <si>
    <r>
      <rPr>
        <b/>
        <sz val="10"/>
        <color theme="1"/>
        <rFont val="Arial"/>
        <family val="2"/>
      </rPr>
      <t>Making</t>
    </r>
    <r>
      <rPr>
        <sz val="10"/>
        <color theme="1"/>
        <rFont val="Arial"/>
        <family val="2"/>
      </rPr>
      <t>/ Approved / Released</t>
    </r>
  </si>
  <si>
    <t>II -</t>
  </si>
  <si>
    <t>Revision History</t>
  </si>
  <si>
    <t>Verion</t>
  </si>
  <si>
    <t>Date</t>
  </si>
  <si>
    <t>Comment</t>
  </si>
  <si>
    <t>Author</t>
  </si>
  <si>
    <t>v1.1</t>
  </si>
  <si>
    <r>
      <rPr>
        <b/>
        <i/>
        <u/>
        <sz val="10"/>
        <color indexed="8"/>
        <rFont val="Arial"/>
        <family val="2"/>
      </rPr>
      <t xml:space="preserve">NOTICE: </t>
    </r>
    <r>
      <rPr>
        <i/>
        <sz val="10"/>
        <color indexed="8"/>
        <rFont val="Arial"/>
        <family val="2"/>
      </rPr>
      <t xml:space="preserve">
Information contained in this document is classified LG Confidential Proprietary. No person outside the LG Group shall have access to the information contained in this document unless business needs dictate, otherwise. It is the responsibility of the person knowing the information contained in this document to ensure confidentiality of information contained in it and preventing unauthorized access to this document at all times.</t>
    </r>
  </si>
  <si>
    <t>diemhang.nguyen</t>
  </si>
  <si>
    <t>Initial version</t>
  </si>
  <si>
    <t>v2.0</t>
  </si>
  <si>
    <t>Update for 2019 KPI indexes</t>
  </si>
  <si>
    <t>Evaluation Calculation Fomular</t>
  </si>
  <si>
    <t>- Manage member Goals (KPI indexes, weight)
- Manage actual data
- Using fomular for checking final perfomence of the year for member</t>
  </si>
  <si>
    <t>Personal Manual test productivity (Overall)</t>
  </si>
  <si>
    <t>Create TCs productivity (Overall)</t>
  </si>
  <si>
    <t>Project Manual test productivity (Overall)</t>
  </si>
  <si>
    <t>Test Leader Name</t>
  </si>
  <si>
    <t>Process Compliance &amp;  Outcome Quality Score</t>
  </si>
  <si>
    <t>Project Index_Leader</t>
  </si>
  <si>
    <t>True Defect Rate</t>
  </si>
  <si>
    <t>CBL Score Incremental Rate</t>
  </si>
  <si>
    <t>3.3.1 Test quality</t>
  </si>
  <si>
    <t>3.5.Process Compliance</t>
  </si>
  <si>
    <t>Project Create TC productivity (Overall)</t>
  </si>
  <si>
    <t>DCV_VT2_Part3</t>
  </si>
  <si>
    <t>IVI DCV - Validation Team 2 - Part3</t>
  </si>
  <si>
    <t>[Radio_Precertification]</t>
  </si>
  <si>
    <t>[Cluster_FCT]</t>
  </si>
  <si>
    <t>[Bluetooth_Wifi]</t>
  </si>
  <si>
    <t>[FCT_AACPML]</t>
  </si>
  <si>
    <t>[FCT_Update]</t>
  </si>
  <si>
    <t>ANH THI VAN TO anh.to</t>
  </si>
  <si>
    <t>ANH THI VAN TRAN anh2.tran</t>
  </si>
  <si>
    <t>HUYEN THU NGUYEN huyen2.nguyen</t>
  </si>
  <si>
    <t>MAI THI PHUONG LE mai.le</t>
  </si>
  <si>
    <t>CHINH THI HA TRAN chinh.tran</t>
  </si>
  <si>
    <t>PHUONG THI NGUYEN phuong1.nguyen</t>
  </si>
  <si>
    <t>NA THI THANH NGUYEN thanhna.nguyen</t>
  </si>
  <si>
    <t>THANH DINH NGUYEN thanh5.nguyen</t>
  </si>
  <si>
    <t>KHANH THI MAI HA khanh.ha</t>
  </si>
  <si>
    <t>HIEN THI TRAN hien.tran</t>
  </si>
  <si>
    <t>CUONG KHANH TRUONG cuong.truong</t>
  </si>
  <si>
    <t>THUY BICH DANG thuy1.dang</t>
  </si>
  <si>
    <t>DUONG VAN NGUYEN duong4.nguyen</t>
  </si>
  <si>
    <t>SWT AVN</t>
  </si>
  <si>
    <t>2020' Project Actual</t>
  </si>
  <si>
    <t>2020' Project Target</t>
  </si>
  <si>
    <t>2019' VT average</t>
  </si>
  <si>
    <t>Anh Tran</t>
  </si>
  <si>
    <t>Huyen Nguyen</t>
  </si>
  <si>
    <t>Mai Le</t>
  </si>
  <si>
    <t>Anh To</t>
  </si>
  <si>
    <t>Hien Tran</t>
  </si>
  <si>
    <t>Khanh Ha</t>
  </si>
  <si>
    <t>Na Nguyen</t>
  </si>
  <si>
    <t>Chinh Tran</t>
  </si>
  <si>
    <t>Phuong Nguyen</t>
  </si>
  <si>
    <t>Cuong Truong</t>
  </si>
  <si>
    <t>Thuy Dang</t>
  </si>
  <si>
    <t>Duong Nguyen</t>
  </si>
  <si>
    <t>Thanh Nguyen</t>
  </si>
  <si>
    <t>English</t>
  </si>
  <si>
    <t>RADIO</t>
  </si>
  <si>
    <t>BTWIFI</t>
  </si>
  <si>
    <t>Cluster</t>
  </si>
  <si>
    <t>AACP</t>
  </si>
  <si>
    <t>UPDATE</t>
  </si>
  <si>
    <t>Official coverage: 5%</t>
  </si>
  <si>
    <t>Pass rate coverage 5%</t>
  </si>
  <si>
    <t xml:space="preserve">Na Nguyen </t>
  </si>
  <si>
    <t>1% pass rate</t>
  </si>
  <si>
    <t>Third Project</t>
  </si>
  <si>
    <t>Na</t>
  </si>
  <si>
    <t>Phuong</t>
  </si>
  <si>
    <t>Chinh</t>
  </si>
  <si>
    <t>Cuong</t>
  </si>
  <si>
    <t>project 1</t>
  </si>
  <si>
    <t>project 3</t>
  </si>
  <si>
    <t>project 4</t>
  </si>
  <si>
    <t>project 2</t>
  </si>
  <si>
    <t>English Skill</t>
  </si>
  <si>
    <t>Forth Project</t>
  </si>
  <si>
    <t>ISTQB_xxx</t>
  </si>
  <si>
    <t>e</t>
  </si>
  <si>
    <t>c</t>
  </si>
  <si>
    <r>
      <t> </t>
    </r>
    <r>
      <rPr>
        <sz val="11"/>
        <color rgb="FF1F497D"/>
        <rFont val="Calibri"/>
        <family val="2"/>
      </rPr>
      <t>4</t>
    </r>
  </si>
  <si>
    <t> 4</t>
  </si>
  <si>
    <t> 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</si>
</sst>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
    <numFmt numFmtId="166" formatCode="0.0_ "/>
  </numFmts>
  <fonts count="69">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0"/>
      <color theme="1"/>
      <name val="Arial"/>
      <family val="2"/>
    </font>
    <font>
      <sz val="10"/>
      <color theme="1"/>
      <name val="Arial"/>
      <family val="2"/>
    </font>
    <font>
      <i/>
      <sz val="10"/>
      <color rgb="FF000000"/>
      <name val="Arial"/>
      <family val="2"/>
    </font>
    <font>
      <sz val="10"/>
      <color rgb="FF000000"/>
      <name val="Arial"/>
      <family val="2"/>
    </font>
    <font>
      <sz val="11"/>
      <color rgb="FF000000"/>
      <name val="Arial"/>
      <family val="2"/>
    </font>
    <font>
      <b/>
      <sz val="11"/>
      <color rgb="FF000000"/>
      <name val="Arial"/>
      <family val="2"/>
    </font>
    <font>
      <sz val="11"/>
      <color theme="1"/>
      <name val="Calibri"/>
      <family val="2"/>
      <charset val="129"/>
      <scheme val="minor"/>
    </font>
    <font>
      <sz val="10"/>
      <name val="Arial"/>
      <family val="2"/>
    </font>
    <font>
      <sz val="11"/>
      <name val="돋움"/>
      <family val="3"/>
      <charset val="129"/>
    </font>
    <font>
      <sz val="10"/>
      <color theme="5" tint="-0.249977111117893"/>
      <name val="Arial"/>
      <family val="2"/>
    </font>
    <font>
      <b/>
      <sz val="9"/>
      <color theme="1"/>
      <name val="Arial"/>
      <family val="2"/>
    </font>
    <font>
      <sz val="11"/>
      <color indexed="8"/>
      <name val="Calibri"/>
      <family val="2"/>
      <scheme val="minor"/>
    </font>
    <font>
      <b/>
      <sz val="11"/>
      <name val="Calibri"/>
      <family val="2"/>
      <scheme val="minor"/>
    </font>
    <font>
      <b/>
      <sz val="10"/>
      <color rgb="FF000000"/>
      <name val="Arial"/>
      <family val="2"/>
    </font>
    <font>
      <b/>
      <sz val="9"/>
      <color indexed="81"/>
      <name val="Tahoma"/>
      <family val="2"/>
    </font>
    <font>
      <sz val="9"/>
      <color indexed="81"/>
      <name val="Tahoma"/>
      <family val="2"/>
    </font>
    <font>
      <sz val="11"/>
      <color rgb="FF000000"/>
      <name val="Calibri"/>
      <family val="2"/>
    </font>
    <font>
      <b/>
      <sz val="11"/>
      <color indexed="8"/>
      <name val="Calibri"/>
      <family val="2"/>
      <scheme val="minor"/>
    </font>
    <font>
      <sz val="11"/>
      <name val="Calibri"/>
      <family val="2"/>
      <scheme val="minor"/>
    </font>
    <font>
      <b/>
      <sz val="14"/>
      <color theme="1"/>
      <name val="Calibri"/>
      <family val="2"/>
      <scheme val="minor"/>
    </font>
    <font>
      <b/>
      <sz val="14"/>
      <color rgb="FFC00000"/>
      <name val="Calibri"/>
      <family val="2"/>
      <scheme val="minor"/>
    </font>
    <font>
      <sz val="9"/>
      <color theme="1"/>
      <name val="Calibri"/>
      <family val="2"/>
      <scheme val="minor"/>
    </font>
    <font>
      <b/>
      <sz val="15"/>
      <color theme="1"/>
      <name val="Calibri"/>
      <family val="2"/>
      <scheme val="minor"/>
    </font>
    <font>
      <b/>
      <sz val="12"/>
      <color rgb="FF000000"/>
      <name val="Calibri"/>
      <family val="2"/>
    </font>
    <font>
      <b/>
      <sz val="11"/>
      <color rgb="FF000000"/>
      <name val="Calibri"/>
      <family val="2"/>
    </font>
    <font>
      <b/>
      <sz val="13"/>
      <color rgb="FF000000"/>
      <name val="Calibri"/>
      <family val="2"/>
    </font>
    <font>
      <sz val="11"/>
      <name val="Calibri"/>
      <family val="2"/>
    </font>
    <font>
      <b/>
      <sz val="11"/>
      <color rgb="FFC00000"/>
      <name val="Calibri"/>
      <family val="2"/>
      <scheme val="minor"/>
    </font>
    <font>
      <b/>
      <sz val="12"/>
      <color theme="0"/>
      <name val="Calibri"/>
      <family val="2"/>
      <scheme val="minor"/>
    </font>
    <font>
      <b/>
      <sz val="8"/>
      <color theme="1"/>
      <name val="Arial"/>
      <family val="2"/>
    </font>
    <font>
      <sz val="8"/>
      <color theme="1"/>
      <name val="Calibri"/>
      <family val="2"/>
      <scheme val="minor"/>
    </font>
    <font>
      <sz val="10"/>
      <color rgb="FF0070C0"/>
      <name val="Arial"/>
      <family val="2"/>
    </font>
    <font>
      <sz val="10"/>
      <color rgb="FFFF0000"/>
      <name val="Arial"/>
      <family val="2"/>
    </font>
    <font>
      <b/>
      <sz val="10"/>
      <color theme="0" tint="-0.34998626667073579"/>
      <name val="Arial"/>
      <family val="2"/>
    </font>
    <font>
      <b/>
      <sz val="9"/>
      <color theme="0" tint="-0.34998626667073579"/>
      <name val="Arial"/>
      <family val="2"/>
    </font>
    <font>
      <sz val="11"/>
      <color theme="1"/>
      <name val="Arial"/>
      <family val="2"/>
    </font>
    <font>
      <sz val="11"/>
      <name val="Arial"/>
      <family val="2"/>
    </font>
    <font>
      <b/>
      <sz val="10"/>
      <name val="Arial"/>
      <family val="2"/>
    </font>
    <font>
      <b/>
      <sz val="9"/>
      <name val="Arial"/>
      <family val="2"/>
    </font>
    <font>
      <sz val="11"/>
      <color theme="1"/>
      <name val="Calibri"/>
      <family val="3"/>
      <charset val="129"/>
      <scheme val="minor"/>
    </font>
    <font>
      <b/>
      <sz val="24"/>
      <color theme="1" tint="0.34998626667073579"/>
      <name val="Arial"/>
      <family val="2"/>
    </font>
    <font>
      <sz val="11"/>
      <color theme="1" tint="0.34998626667073579"/>
      <name val="Arial"/>
      <family val="2"/>
    </font>
    <font>
      <b/>
      <sz val="14"/>
      <color theme="1" tint="0.34998626667073579"/>
      <name val="Arial"/>
      <family val="2"/>
    </font>
    <font>
      <sz val="14"/>
      <color theme="1" tint="0.34998626667073579"/>
      <name val="Arial"/>
      <family val="2"/>
    </font>
    <font>
      <b/>
      <sz val="13"/>
      <color theme="1"/>
      <name val="Arial"/>
      <family val="2"/>
    </font>
    <font>
      <i/>
      <sz val="10"/>
      <color theme="1"/>
      <name val="Arial"/>
      <family val="2"/>
    </font>
    <font>
      <b/>
      <i/>
      <u/>
      <sz val="10"/>
      <color indexed="8"/>
      <name val="Arial"/>
      <family val="2"/>
    </font>
    <font>
      <i/>
      <sz val="10"/>
      <color indexed="8"/>
      <name val="Arial"/>
      <family val="2"/>
    </font>
    <font>
      <i/>
      <sz val="10"/>
      <name val="Arial"/>
      <family val="2"/>
    </font>
    <font>
      <sz val="11"/>
      <color rgb="FF1F497D"/>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rgb="FFFFC000"/>
        <bgColor indexed="64"/>
      </patternFill>
    </fill>
    <fill>
      <patternFill patternType="solid">
        <fgColor rgb="FF00B0F0"/>
        <bgColor indexed="64"/>
      </patternFill>
    </fill>
    <fill>
      <patternFill patternType="solid">
        <fgColor theme="9"/>
        <bgColor indexed="64"/>
      </patternFill>
    </fill>
    <fill>
      <patternFill patternType="solid">
        <fgColor theme="4"/>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right style="dashed">
        <color indexed="64"/>
      </right>
      <top style="dashed">
        <color indexed="64"/>
      </top>
      <bottom style="dashed">
        <color indexed="64"/>
      </bottom>
      <diagonal/>
    </border>
    <border>
      <left/>
      <right style="thin">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thin">
        <color rgb="FF333333"/>
      </right>
      <top/>
      <bottom style="dotted">
        <color indexed="64"/>
      </bottom>
      <diagonal/>
    </border>
    <border>
      <left style="thin">
        <color rgb="FF333333"/>
      </left>
      <right style="thin">
        <color rgb="FF333333"/>
      </right>
      <top/>
      <bottom style="dotted">
        <color indexed="64"/>
      </bottom>
      <diagonal/>
    </border>
    <border>
      <left style="thin">
        <color rgb="FF333333"/>
      </left>
      <right/>
      <top/>
      <bottom style="dotted">
        <color indexed="64"/>
      </bottom>
      <diagonal/>
    </border>
    <border>
      <left/>
      <right style="thin">
        <color rgb="FF333333"/>
      </right>
      <top/>
      <bottom style="thin">
        <color rgb="FF333333"/>
      </bottom>
      <diagonal/>
    </border>
    <border>
      <left style="thin">
        <color rgb="FF333333"/>
      </left>
      <right style="thin">
        <color rgb="FF333333"/>
      </right>
      <top/>
      <bottom style="thin">
        <color rgb="FF333333"/>
      </bottom>
      <diagonal/>
    </border>
    <border>
      <left style="thin">
        <color rgb="FF333333"/>
      </left>
      <right/>
      <top/>
      <bottom style="thin">
        <color rgb="FF333333"/>
      </bottom>
      <diagonal/>
    </border>
    <border>
      <left/>
      <right style="medium">
        <color indexed="64"/>
      </right>
      <top/>
      <bottom style="medium">
        <color indexed="64"/>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9" fontId="1" fillId="0" borderId="0" applyFont="0" applyFill="0" applyBorder="0" applyAlignment="0" applyProtection="0"/>
    <xf numFmtId="0" fontId="25" fillId="0" borderId="0">
      <alignment vertical="center"/>
    </xf>
    <xf numFmtId="0" fontId="27" fillId="0" borderId="0">
      <alignment vertical="center"/>
    </xf>
    <xf numFmtId="0" fontId="27" fillId="0" borderId="0">
      <alignment vertical="center"/>
    </xf>
    <xf numFmtId="0" fontId="30" fillId="0" borderId="0"/>
    <xf numFmtId="0" fontId="58" fillId="0" borderId="0">
      <alignment vertical="center"/>
    </xf>
  </cellStyleXfs>
  <cellXfs count="425">
    <xf numFmtId="0" fontId="0" fillId="0" borderId="0" xfId="0"/>
    <xf numFmtId="0" fontId="19" fillId="0" borderId="0" xfId="0" applyFont="1" applyBorder="1" applyAlignment="1">
      <alignment vertical="center"/>
    </xf>
    <xf numFmtId="0" fontId="20" fillId="0" borderId="0" xfId="0" applyFont="1" applyBorder="1" applyAlignment="1">
      <alignment vertical="center"/>
    </xf>
    <xf numFmtId="0" fontId="20" fillId="0" borderId="0" xfId="0" applyFont="1" applyBorder="1" applyAlignment="1">
      <alignment horizontal="center" vertical="center"/>
    </xf>
    <xf numFmtId="0" fontId="20" fillId="0" borderId="10" xfId="0" applyFont="1" applyBorder="1" applyAlignment="1">
      <alignment horizontal="center" vertical="center"/>
    </xf>
    <xf numFmtId="0" fontId="0" fillId="0" borderId="10" xfId="0" applyBorder="1"/>
    <xf numFmtId="0" fontId="0" fillId="0" borderId="10" xfId="0" applyBorder="1" applyAlignment="1">
      <alignment horizontal="center"/>
    </xf>
    <xf numFmtId="165" fontId="0" fillId="0" borderId="10" xfId="0" applyNumberFormat="1" applyBorder="1"/>
    <xf numFmtId="0" fontId="20" fillId="0" borderId="10" xfId="0" applyFont="1" applyBorder="1" applyAlignment="1">
      <alignment vertical="center"/>
    </xf>
    <xf numFmtId="0" fontId="20" fillId="38" borderId="10" xfId="0" applyFont="1" applyFill="1" applyBorder="1" applyAlignment="1">
      <alignment horizontal="center" vertical="center"/>
    </xf>
    <xf numFmtId="0" fontId="20" fillId="38" borderId="10" xfId="0" applyFont="1" applyFill="1" applyBorder="1" applyAlignment="1">
      <alignment vertical="center"/>
    </xf>
    <xf numFmtId="0" fontId="21" fillId="0" borderId="10" xfId="0" applyFont="1" applyFill="1" applyBorder="1" applyAlignment="1">
      <alignment vertical="center" wrapText="1"/>
    </xf>
    <xf numFmtId="2" fontId="21" fillId="0" borderId="10" xfId="0" applyNumberFormat="1" applyFont="1" applyFill="1" applyBorder="1" applyAlignment="1">
      <alignment vertical="center" wrapText="1"/>
    </xf>
    <xf numFmtId="0" fontId="19" fillId="38" borderId="10" xfId="0" applyFont="1" applyFill="1" applyBorder="1" applyAlignment="1">
      <alignment horizontal="center"/>
    </xf>
    <xf numFmtId="0" fontId="20" fillId="35" borderId="10" xfId="0" applyFont="1" applyFill="1" applyBorder="1" applyAlignment="1">
      <alignment vertical="center"/>
    </xf>
    <xf numFmtId="0" fontId="20" fillId="39" borderId="10" xfId="0" applyFont="1" applyFill="1" applyBorder="1" applyAlignment="1">
      <alignment vertical="center"/>
    </xf>
    <xf numFmtId="0" fontId="24" fillId="0" borderId="0" xfId="0" applyFont="1" applyFill="1" applyBorder="1" applyAlignment="1">
      <alignment horizontal="center" vertical="top" wrapText="1"/>
    </xf>
    <xf numFmtId="0" fontId="19" fillId="0" borderId="0" xfId="0" applyFont="1" applyFill="1" applyBorder="1" applyAlignment="1">
      <alignment horizontal="center"/>
    </xf>
    <xf numFmtId="0" fontId="0" fillId="0" borderId="0" xfId="0" applyAlignment="1">
      <alignment horizontal="center"/>
    </xf>
    <xf numFmtId="0" fontId="23" fillId="0" borderId="10" xfId="0" applyFont="1" applyBorder="1" applyAlignment="1">
      <alignment vertical="top" wrapText="1"/>
    </xf>
    <xf numFmtId="0" fontId="0" fillId="0" borderId="10" xfId="0" applyBorder="1" applyAlignment="1">
      <alignment horizontal="center" vertical="center"/>
    </xf>
    <xf numFmtId="0" fontId="19" fillId="0" borderId="17" xfId="0" applyFont="1" applyBorder="1" applyAlignment="1">
      <alignment horizontal="center" vertical="center"/>
    </xf>
    <xf numFmtId="0" fontId="19" fillId="38" borderId="10" xfId="0" applyFont="1" applyFill="1" applyBorder="1" applyAlignment="1">
      <alignment horizontal="center" vertical="center"/>
    </xf>
    <xf numFmtId="0" fontId="19" fillId="38" borderId="10" xfId="0" applyFont="1" applyFill="1" applyBorder="1" applyAlignment="1">
      <alignment horizontal="center" vertical="center"/>
    </xf>
    <xf numFmtId="0" fontId="22" fillId="0" borderId="10" xfId="0" applyFont="1" applyFill="1" applyBorder="1" applyAlignment="1">
      <alignment horizontal="center" vertical="top" wrapText="1"/>
    </xf>
    <xf numFmtId="0" fontId="20" fillId="0" borderId="10" xfId="0" applyFont="1" applyFill="1" applyBorder="1" applyAlignment="1">
      <alignment horizontal="center"/>
    </xf>
    <xf numFmtId="0" fontId="36" fillId="34" borderId="10" xfId="47" applyFont="1" applyFill="1" applyBorder="1" applyAlignment="1">
      <alignment horizontal="center"/>
    </xf>
    <xf numFmtId="49" fontId="36" fillId="34" borderId="10" xfId="47" applyNumberFormat="1" applyFont="1" applyFill="1" applyBorder="1" applyAlignment="1">
      <alignment horizontal="center"/>
    </xf>
    <xf numFmtId="0" fontId="36" fillId="34" borderId="10" xfId="47" applyFont="1" applyFill="1" applyBorder="1" applyAlignment="1">
      <alignment horizontal="center" vertical="center"/>
    </xf>
    <xf numFmtId="0" fontId="30" fillId="0" borderId="0" xfId="47"/>
    <xf numFmtId="0" fontId="30" fillId="0" borderId="10" xfId="47" applyBorder="1" applyAlignment="1">
      <alignment horizontal="center" vertical="center"/>
    </xf>
    <xf numFmtId="0" fontId="30" fillId="0" borderId="10" xfId="47" applyBorder="1"/>
    <xf numFmtId="49" fontId="30" fillId="0" borderId="10" xfId="47" applyNumberFormat="1" applyBorder="1"/>
    <xf numFmtId="0" fontId="37" fillId="0" borderId="10" xfId="42" applyFont="1" applyBorder="1" applyAlignment="1">
      <alignment horizontal="center" vertical="center" wrapText="1"/>
    </xf>
    <xf numFmtId="49" fontId="18" fillId="0" borderId="10" xfId="42" applyNumberFormat="1" applyBorder="1"/>
    <xf numFmtId="49" fontId="30" fillId="0" borderId="0" xfId="47" applyNumberFormat="1"/>
    <xf numFmtId="0" fontId="30" fillId="0" borderId="0" xfId="47" applyAlignment="1">
      <alignment horizontal="center" vertical="center"/>
    </xf>
    <xf numFmtId="0" fontId="31" fillId="34" borderId="10" xfId="47" applyFont="1" applyFill="1" applyBorder="1" applyAlignment="1">
      <alignment horizontal="center"/>
    </xf>
    <xf numFmtId="0" fontId="37" fillId="0" borderId="0" xfId="47" applyFont="1"/>
    <xf numFmtId="0" fontId="0" fillId="0" borderId="0" xfId="0" applyAlignment="1">
      <alignment wrapText="1"/>
    </xf>
    <xf numFmtId="0" fontId="0" fillId="35" borderId="10" xfId="0" applyFill="1" applyBorder="1"/>
    <xf numFmtId="0" fontId="19" fillId="38" borderId="10" xfId="0" applyFont="1" applyFill="1" applyBorder="1" applyAlignment="1">
      <alignment horizontal="center" vertical="center"/>
    </xf>
    <xf numFmtId="0" fontId="20" fillId="0" borderId="0" xfId="0" applyFont="1"/>
    <xf numFmtId="10" fontId="19" fillId="38" borderId="10" xfId="0" applyNumberFormat="1" applyFont="1" applyFill="1" applyBorder="1" applyAlignment="1">
      <alignment horizontal="center" vertical="center"/>
    </xf>
    <xf numFmtId="10" fontId="20" fillId="41" borderId="10" xfId="0" applyNumberFormat="1" applyFont="1" applyFill="1" applyBorder="1"/>
    <xf numFmtId="165" fontId="20" fillId="41" borderId="10" xfId="0" applyNumberFormat="1" applyFont="1" applyFill="1" applyBorder="1" applyAlignment="1">
      <alignment horizontal="center" vertical="center"/>
    </xf>
    <xf numFmtId="10" fontId="20" fillId="0" borderId="10" xfId="0" applyNumberFormat="1" applyFont="1" applyBorder="1" applyAlignment="1">
      <alignment wrapText="1"/>
    </xf>
    <xf numFmtId="165" fontId="20" fillId="0" borderId="10" xfId="0" applyNumberFormat="1" applyFont="1" applyBorder="1" applyAlignment="1">
      <alignment horizontal="center" vertical="center" wrapText="1"/>
    </xf>
    <xf numFmtId="10" fontId="20" fillId="0" borderId="10" xfId="0" applyNumberFormat="1" applyFont="1" applyBorder="1"/>
    <xf numFmtId="165" fontId="20" fillId="0" borderId="10" xfId="0" applyNumberFormat="1" applyFont="1" applyBorder="1" applyAlignment="1">
      <alignment horizontal="center" vertical="center"/>
    </xf>
    <xf numFmtId="0" fontId="0" fillId="0" borderId="0" xfId="0" applyBorder="1"/>
    <xf numFmtId="10" fontId="0" fillId="0" borderId="0" xfId="0" applyNumberFormat="1" applyBorder="1"/>
    <xf numFmtId="10" fontId="20" fillId="40" borderId="10" xfId="0" applyNumberFormat="1" applyFont="1" applyFill="1" applyBorder="1"/>
    <xf numFmtId="165" fontId="20" fillId="40" borderId="10" xfId="0" applyNumberFormat="1" applyFont="1" applyFill="1" applyBorder="1" applyAlignment="1">
      <alignment horizontal="center" vertical="center"/>
    </xf>
    <xf numFmtId="0" fontId="14" fillId="0" borderId="0" xfId="47" applyFont="1"/>
    <xf numFmtId="0" fontId="19" fillId="37" borderId="10" xfId="0" applyFont="1" applyFill="1" applyBorder="1" applyAlignment="1">
      <alignment horizontal="left" vertical="center"/>
    </xf>
    <xf numFmtId="0" fontId="16" fillId="0" borderId="0" xfId="0" applyFont="1" applyFill="1" applyBorder="1"/>
    <xf numFmtId="10" fontId="16" fillId="0" borderId="0" xfId="0" applyNumberFormat="1" applyFont="1" applyFill="1" applyBorder="1"/>
    <xf numFmtId="0" fontId="16" fillId="42" borderId="10" xfId="0" applyFont="1" applyFill="1" applyBorder="1" applyAlignment="1">
      <alignment horizontal="center"/>
    </xf>
    <xf numFmtId="10" fontId="16" fillId="42" borderId="10" xfId="0" applyNumberFormat="1" applyFont="1" applyFill="1" applyBorder="1" applyAlignment="1">
      <alignment horizontal="center"/>
    </xf>
    <xf numFmtId="0" fontId="0" fillId="0" borderId="0" xfId="0" applyBorder="1" applyAlignment="1">
      <alignment wrapText="1"/>
    </xf>
    <xf numFmtId="0" fontId="19" fillId="40" borderId="17" xfId="0" applyFont="1" applyFill="1" applyBorder="1" applyAlignment="1">
      <alignment horizontal="center" vertical="center"/>
    </xf>
    <xf numFmtId="0" fontId="0" fillId="43" borderId="10" xfId="0" applyFill="1" applyBorder="1"/>
    <xf numFmtId="0" fontId="0" fillId="43" borderId="10" xfId="0" applyFill="1" applyBorder="1" applyAlignment="1">
      <alignment wrapText="1"/>
    </xf>
    <xf numFmtId="10" fontId="0" fillId="43" borderId="10" xfId="0" applyNumberFormat="1" applyFill="1" applyBorder="1"/>
    <xf numFmtId="0" fontId="0" fillId="37" borderId="10" xfId="0" applyFill="1" applyBorder="1"/>
    <xf numFmtId="9" fontId="0" fillId="43" borderId="10" xfId="43" applyFont="1" applyFill="1" applyBorder="1" applyAlignment="1">
      <alignment horizontal="center"/>
    </xf>
    <xf numFmtId="0" fontId="19" fillId="40" borderId="10" xfId="0" applyFont="1" applyFill="1" applyBorder="1" applyAlignment="1">
      <alignment horizontal="left" vertical="center"/>
    </xf>
    <xf numFmtId="0" fontId="0" fillId="40" borderId="10" xfId="0" applyFill="1" applyBorder="1"/>
    <xf numFmtId="0" fontId="19" fillId="35" borderId="10" xfId="0" applyFont="1" applyFill="1" applyBorder="1" applyAlignment="1">
      <alignment horizontal="left" vertical="center"/>
    </xf>
    <xf numFmtId="0" fontId="19" fillId="44" borderId="10" xfId="0" applyFont="1" applyFill="1" applyBorder="1" applyAlignment="1">
      <alignment horizontal="left" vertical="center"/>
    </xf>
    <xf numFmtId="0" fontId="0" fillId="44" borderId="10" xfId="0" applyFill="1" applyBorder="1"/>
    <xf numFmtId="0" fontId="20" fillId="0" borderId="10" xfId="0" applyFont="1" applyBorder="1"/>
    <xf numFmtId="0" fontId="20" fillId="0" borderId="10" xfId="0" applyFont="1" applyBorder="1" applyAlignment="1">
      <alignment wrapText="1"/>
    </xf>
    <xf numFmtId="0" fontId="16" fillId="38" borderId="10" xfId="0" applyFont="1" applyFill="1" applyBorder="1" applyAlignment="1">
      <alignment horizontal="center" vertical="center"/>
    </xf>
    <xf numFmtId="9" fontId="0" fillId="0" borderId="0" xfId="0" applyNumberFormat="1"/>
    <xf numFmtId="2" fontId="16" fillId="38" borderId="10" xfId="0" applyNumberFormat="1" applyFont="1" applyFill="1" applyBorder="1" applyAlignment="1">
      <alignment horizontal="center" vertical="center"/>
    </xf>
    <xf numFmtId="2" fontId="0" fillId="0" borderId="0" xfId="0" applyNumberFormat="1"/>
    <xf numFmtId="0" fontId="40" fillId="0" borderId="0" xfId="0" applyFont="1"/>
    <xf numFmtId="0" fontId="29" fillId="35" borderId="10" xfId="0" applyFont="1" applyFill="1" applyBorder="1" applyAlignment="1">
      <alignment horizontal="center" vertical="center" wrapText="1"/>
    </xf>
    <xf numFmtId="2" fontId="29" fillId="35" borderId="10" xfId="0" applyNumberFormat="1" applyFont="1" applyFill="1" applyBorder="1" applyAlignment="1">
      <alignment horizontal="center" vertical="center" wrapText="1"/>
    </xf>
    <xf numFmtId="0" fontId="29" fillId="40" borderId="10" xfId="0" applyFont="1" applyFill="1" applyBorder="1" applyAlignment="1">
      <alignment horizontal="center" vertical="center" wrapText="1"/>
    </xf>
    <xf numFmtId="0" fontId="29" fillId="37" borderId="10" xfId="0" applyFont="1" applyFill="1" applyBorder="1" applyAlignment="1">
      <alignment horizontal="center" vertical="center" wrapText="1"/>
    </xf>
    <xf numFmtId="0" fontId="29" fillId="45" borderId="10" xfId="0" applyFont="1" applyFill="1" applyBorder="1" applyAlignment="1">
      <alignment horizontal="center" vertical="center" wrapText="1"/>
    </xf>
    <xf numFmtId="2" fontId="29" fillId="45" borderId="10" xfId="0" applyNumberFormat="1" applyFont="1" applyFill="1" applyBorder="1" applyAlignment="1">
      <alignment horizontal="center" vertical="center" wrapText="1"/>
    </xf>
    <xf numFmtId="0" fontId="20" fillId="44" borderId="10" xfId="0" applyFont="1" applyFill="1" applyBorder="1" applyAlignment="1">
      <alignment wrapText="1"/>
    </xf>
    <xf numFmtId="0" fontId="20" fillId="44" borderId="10" xfId="0" applyFont="1" applyFill="1" applyBorder="1"/>
    <xf numFmtId="0" fontId="20" fillId="0" borderId="10" xfId="0" applyFont="1" applyFill="1" applyBorder="1" applyAlignment="1">
      <alignment wrapText="1"/>
    </xf>
    <xf numFmtId="0" fontId="20" fillId="0" borderId="10" xfId="0" applyFont="1" applyFill="1" applyBorder="1"/>
    <xf numFmtId="10" fontId="20" fillId="0" borderId="10" xfId="43" applyNumberFormat="1" applyFont="1" applyFill="1" applyBorder="1"/>
    <xf numFmtId="2" fontId="20" fillId="0" borderId="10" xfId="43" applyNumberFormat="1" applyFont="1" applyFill="1" applyBorder="1"/>
    <xf numFmtId="9" fontId="20" fillId="0" borderId="10" xfId="43" applyFont="1" applyFill="1" applyBorder="1" applyAlignment="1">
      <alignment horizontal="center"/>
    </xf>
    <xf numFmtId="0" fontId="29" fillId="43" borderId="10" xfId="0" applyFont="1" applyFill="1" applyBorder="1" applyAlignment="1">
      <alignment horizontal="center" vertical="center" wrapText="1"/>
    </xf>
    <xf numFmtId="0" fontId="0" fillId="0" borderId="10" xfId="0" applyBorder="1" applyAlignment="1">
      <alignment wrapText="1"/>
    </xf>
    <xf numFmtId="9" fontId="0" fillId="0" borderId="10" xfId="43" applyNumberFormat="1" applyFont="1" applyFill="1" applyBorder="1"/>
    <xf numFmtId="2" fontId="0" fillId="0" borderId="10" xfId="43" applyNumberFormat="1" applyFont="1" applyFill="1" applyBorder="1"/>
    <xf numFmtId="9" fontId="0" fillId="0" borderId="10" xfId="0" applyNumberFormat="1" applyFill="1" applyBorder="1"/>
    <xf numFmtId="3" fontId="0" fillId="0" borderId="10" xfId="0" applyNumberFormat="1" applyFill="1" applyBorder="1"/>
    <xf numFmtId="0" fontId="26" fillId="44" borderId="10" xfId="0" applyFont="1" applyFill="1" applyBorder="1" applyAlignment="1">
      <alignment wrapText="1"/>
    </xf>
    <xf numFmtId="9" fontId="0" fillId="0" borderId="0" xfId="0" applyNumberFormat="1" applyAlignment="1">
      <alignment horizontal="center"/>
    </xf>
    <xf numFmtId="0" fontId="42" fillId="43" borderId="10" xfId="0" applyFont="1" applyFill="1" applyBorder="1" applyAlignment="1">
      <alignment horizontal="center" wrapText="1"/>
    </xf>
    <xf numFmtId="0" fontId="0" fillId="0" borderId="10" xfId="0" applyBorder="1" applyAlignment="1">
      <alignment horizontal="left" vertical="center"/>
    </xf>
    <xf numFmtId="0" fontId="35" fillId="37" borderId="10" xfId="0" applyFont="1" applyFill="1" applyBorder="1" applyAlignment="1">
      <alignment horizontal="center" vertical="center"/>
    </xf>
    <xf numFmtId="0" fontId="35" fillId="37" borderId="10" xfId="0" applyFont="1" applyFill="1" applyBorder="1" applyAlignment="1">
      <alignment horizontal="center" vertical="center" wrapText="1"/>
    </xf>
    <xf numFmtId="0" fontId="0" fillId="43" borderId="10" xfId="0" applyFill="1" applyBorder="1" applyAlignment="1">
      <alignment horizontal="left" vertical="center" wrapText="1"/>
    </xf>
    <xf numFmtId="0" fontId="43" fillId="43" borderId="10" xfId="0" applyFont="1" applyFill="1" applyBorder="1" applyAlignment="1">
      <alignment horizontal="center" vertical="center" wrapText="1"/>
    </xf>
    <xf numFmtId="0" fontId="0" fillId="33" borderId="10" xfId="0" applyFill="1" applyBorder="1" applyAlignment="1">
      <alignment horizontal="left" vertical="center" wrapText="1"/>
    </xf>
    <xf numFmtId="0" fontId="43" fillId="33" borderId="10" xfId="0" applyFont="1" applyFill="1" applyBorder="1" applyAlignment="1">
      <alignment horizontal="center" vertical="center" wrapText="1"/>
    </xf>
    <xf numFmtId="0" fontId="0" fillId="47" borderId="10" xfId="0" applyFill="1" applyBorder="1" applyAlignment="1">
      <alignment horizontal="left" vertical="center" wrapText="1"/>
    </xf>
    <xf numFmtId="0" fontId="43" fillId="47" borderId="10" xfId="0" applyFont="1" applyFill="1" applyBorder="1" applyAlignment="1">
      <alignment horizontal="left" vertical="center" wrapText="1"/>
    </xf>
    <xf numFmtId="0" fontId="37" fillId="0" borderId="10" xfId="47" applyFont="1" applyFill="1" applyBorder="1" applyAlignment="1">
      <alignment vertical="center"/>
    </xf>
    <xf numFmtId="0" fontId="37" fillId="0" borderId="10" xfId="47" applyFont="1" applyFill="1" applyBorder="1" applyAlignment="1">
      <alignment horizontal="center" vertical="center"/>
    </xf>
    <xf numFmtId="0" fontId="37" fillId="0" borderId="10" xfId="47" applyFont="1" applyFill="1" applyBorder="1" applyAlignment="1">
      <alignment horizontal="center" vertical="center" wrapText="1"/>
    </xf>
    <xf numFmtId="165" fontId="0" fillId="0" borderId="10" xfId="0" applyNumberFormat="1" applyBorder="1" applyAlignment="1">
      <alignment horizontal="center"/>
    </xf>
    <xf numFmtId="165" fontId="43" fillId="43" borderId="10" xfId="0" applyNumberFormat="1" applyFont="1" applyFill="1" applyBorder="1" applyAlignment="1">
      <alignment horizontal="center"/>
    </xf>
    <xf numFmtId="165" fontId="43" fillId="33" borderId="10" xfId="0" applyNumberFormat="1" applyFont="1" applyFill="1" applyBorder="1" applyAlignment="1">
      <alignment horizontal="center"/>
    </xf>
    <xf numFmtId="165" fontId="0" fillId="47" borderId="10" xfId="0" applyNumberFormat="1" applyFill="1" applyBorder="1" applyAlignment="1">
      <alignment horizontal="center"/>
    </xf>
    <xf numFmtId="0" fontId="45" fillId="0" borderId="10" xfId="0" applyFont="1" applyFill="1" applyBorder="1" applyAlignment="1">
      <alignment vertical="center"/>
    </xf>
    <xf numFmtId="0" fontId="37" fillId="0" borderId="10" xfId="47" applyFont="1" applyFill="1" applyBorder="1" applyAlignment="1"/>
    <xf numFmtId="9" fontId="0" fillId="0" borderId="0" xfId="43" applyFont="1"/>
    <xf numFmtId="0" fontId="19" fillId="48" borderId="10" xfId="0" applyFont="1" applyFill="1" applyBorder="1" applyAlignment="1">
      <alignment horizontal="left" vertical="center"/>
    </xf>
    <xf numFmtId="0" fontId="0" fillId="48" borderId="10" xfId="0" applyFill="1" applyBorder="1"/>
    <xf numFmtId="10" fontId="20" fillId="44" borderId="10" xfId="43" applyNumberFormat="1" applyFont="1" applyFill="1" applyBorder="1"/>
    <xf numFmtId="2" fontId="20" fillId="44" borderId="10" xfId="43" applyNumberFormat="1" applyFont="1" applyFill="1" applyBorder="1"/>
    <xf numFmtId="9" fontId="0" fillId="0" borderId="10" xfId="43" applyFont="1" applyFill="1" applyBorder="1"/>
    <xf numFmtId="0" fontId="38" fillId="0" borderId="22" xfId="0" applyFont="1" applyBorder="1" applyAlignment="1">
      <alignment horizontal="center"/>
    </xf>
    <xf numFmtId="2" fontId="39" fillId="0" borderId="19" xfId="0" applyNumberFormat="1" applyFont="1" applyBorder="1"/>
    <xf numFmtId="0" fontId="19" fillId="38" borderId="10" xfId="0" applyFont="1" applyFill="1" applyBorder="1" applyAlignment="1">
      <alignment horizontal="center" vertical="center"/>
    </xf>
    <xf numFmtId="0" fontId="19" fillId="38" borderId="10" xfId="0" applyFont="1" applyFill="1" applyBorder="1" applyAlignment="1">
      <alignment horizontal="center" vertical="center"/>
    </xf>
    <xf numFmtId="2" fontId="21" fillId="37" borderId="10" xfId="0" applyNumberFormat="1" applyFont="1" applyFill="1" applyBorder="1" applyAlignment="1">
      <alignment vertical="center" wrapText="1"/>
    </xf>
    <xf numFmtId="0" fontId="20" fillId="37" borderId="10" xfId="0" applyFont="1" applyFill="1" applyBorder="1" applyAlignment="1">
      <alignment vertical="center"/>
    </xf>
    <xf numFmtId="0" fontId="20" fillId="37" borderId="10" xfId="0" applyFont="1" applyFill="1" applyBorder="1" applyAlignment="1">
      <alignment horizontal="center" vertical="center"/>
    </xf>
    <xf numFmtId="0" fontId="21" fillId="37" borderId="10" xfId="0" applyFont="1" applyFill="1" applyBorder="1" applyAlignment="1">
      <alignment vertical="center" wrapText="1"/>
    </xf>
    <xf numFmtId="0" fontId="20" fillId="0" borderId="10" xfId="0" applyFont="1" applyFill="1" applyBorder="1" applyAlignment="1">
      <alignment horizontal="center" vertical="center"/>
    </xf>
    <xf numFmtId="9" fontId="20" fillId="39" borderId="10" xfId="43" applyFont="1" applyFill="1" applyBorder="1" applyAlignment="1">
      <alignment horizontal="center" vertical="center"/>
    </xf>
    <xf numFmtId="9" fontId="20" fillId="35" borderId="10" xfId="43" applyFont="1" applyFill="1" applyBorder="1" applyAlignment="1">
      <alignment horizontal="center" vertical="center"/>
    </xf>
    <xf numFmtId="9" fontId="28" fillId="35" borderId="10" xfId="43" applyFont="1" applyFill="1" applyBorder="1" applyAlignment="1">
      <alignment horizontal="center" vertical="center"/>
    </xf>
    <xf numFmtId="9" fontId="20" fillId="37" borderId="10" xfId="43" applyFont="1" applyFill="1" applyBorder="1" applyAlignment="1">
      <alignment horizontal="center" vertical="center"/>
    </xf>
    <xf numFmtId="0" fontId="46" fillId="0" borderId="19" xfId="0" applyFont="1" applyBorder="1"/>
    <xf numFmtId="0" fontId="48" fillId="34" borderId="10" xfId="0" applyFont="1" applyFill="1" applyBorder="1" applyAlignment="1">
      <alignment horizontal="center" vertical="center"/>
    </xf>
    <xf numFmtId="0" fontId="49" fillId="42" borderId="10" xfId="0" applyFont="1" applyFill="1" applyBorder="1" applyAlignment="1">
      <alignment horizontal="center" vertical="center"/>
    </xf>
    <xf numFmtId="0" fontId="49" fillId="42" borderId="10" xfId="0" applyFont="1" applyFill="1" applyBorder="1" applyAlignment="1">
      <alignment horizontal="center" vertical="center" wrapText="1"/>
    </xf>
    <xf numFmtId="0" fontId="19" fillId="34" borderId="10" xfId="0" applyFont="1" applyFill="1" applyBorder="1" applyAlignment="1">
      <alignment horizontal="center" vertical="center"/>
    </xf>
    <xf numFmtId="0" fontId="19" fillId="35" borderId="10" xfId="0" applyFont="1" applyFill="1" applyBorder="1" applyAlignment="1">
      <alignment horizontal="center" vertical="center"/>
    </xf>
    <xf numFmtId="9" fontId="16" fillId="42" borderId="10" xfId="43" applyFont="1" applyFill="1" applyBorder="1" applyAlignment="1">
      <alignment horizontal="center"/>
    </xf>
    <xf numFmtId="9" fontId="31" fillId="42" borderId="10" xfId="43" applyFont="1" applyFill="1" applyBorder="1" applyAlignment="1">
      <alignment horizontal="center"/>
    </xf>
    <xf numFmtId="1" fontId="20" fillId="0" borderId="10" xfId="0" applyNumberFormat="1" applyFont="1" applyBorder="1" applyAlignment="1">
      <alignment horizontal="center" vertical="center" wrapText="1"/>
    </xf>
    <xf numFmtId="3" fontId="0" fillId="38" borderId="10" xfId="0" applyNumberFormat="1" applyFill="1" applyBorder="1" applyAlignment="1">
      <alignment horizontal="center"/>
    </xf>
    <xf numFmtId="9" fontId="0" fillId="38" borderId="10" xfId="43" applyFont="1" applyFill="1" applyBorder="1" applyAlignment="1">
      <alignment horizontal="center"/>
    </xf>
    <xf numFmtId="3" fontId="0" fillId="39" borderId="10" xfId="0" applyNumberFormat="1" applyFill="1" applyBorder="1" applyAlignment="1">
      <alignment horizontal="center"/>
    </xf>
    <xf numFmtId="3" fontId="0" fillId="0" borderId="10" xfId="0" applyNumberFormat="1" applyFill="1" applyBorder="1" applyAlignment="1">
      <alignment horizontal="center"/>
    </xf>
    <xf numFmtId="0" fontId="20" fillId="37" borderId="10" xfId="0" applyFont="1" applyFill="1" applyBorder="1" applyAlignment="1">
      <alignment horizontal="left" vertical="center"/>
    </xf>
    <xf numFmtId="0" fontId="22" fillId="37" borderId="10" xfId="0" applyFont="1" applyFill="1" applyBorder="1" applyAlignment="1">
      <alignment vertical="center" wrapText="1"/>
    </xf>
    <xf numFmtId="9" fontId="0" fillId="39" borderId="10" xfId="43" applyFont="1" applyFill="1" applyBorder="1" applyAlignment="1">
      <alignment horizontal="center"/>
    </xf>
    <xf numFmtId="0" fontId="20" fillId="37" borderId="12" xfId="0" applyFont="1" applyFill="1" applyBorder="1" applyAlignment="1">
      <alignment horizontal="left" vertical="center"/>
    </xf>
    <xf numFmtId="0" fontId="50" fillId="37" borderId="10" xfId="0" applyFont="1" applyFill="1" applyBorder="1" applyAlignment="1">
      <alignment horizontal="left"/>
    </xf>
    <xf numFmtId="0" fontId="20" fillId="35" borderId="10" xfId="0" applyFont="1" applyFill="1" applyBorder="1" applyAlignment="1">
      <alignment horizontal="center" vertical="center" wrapText="1"/>
    </xf>
    <xf numFmtId="0" fontId="20" fillId="35" borderId="10" xfId="0" applyFont="1" applyFill="1" applyBorder="1" applyAlignment="1">
      <alignment horizontal="left" vertical="center"/>
    </xf>
    <xf numFmtId="9" fontId="1" fillId="38" borderId="10" xfId="43" applyFont="1" applyFill="1" applyBorder="1" applyAlignment="1">
      <alignment horizontal="center"/>
    </xf>
    <xf numFmtId="9" fontId="1" fillId="39" borderId="10" xfId="43" applyFont="1" applyFill="1" applyBorder="1" applyAlignment="1">
      <alignment horizontal="center"/>
    </xf>
    <xf numFmtId="3" fontId="1" fillId="39" borderId="10" xfId="0" applyNumberFormat="1" applyFont="1" applyFill="1" applyBorder="1" applyAlignment="1">
      <alignment horizontal="center"/>
    </xf>
    <xf numFmtId="0" fontId="50" fillId="35" borderId="10" xfId="0" applyFont="1" applyFill="1" applyBorder="1" applyAlignment="1">
      <alignment horizontal="left" vertical="center"/>
    </xf>
    <xf numFmtId="9" fontId="20" fillId="0" borderId="10" xfId="43" applyFont="1" applyBorder="1" applyAlignment="1">
      <alignment horizontal="center" vertical="center"/>
    </xf>
    <xf numFmtId="9" fontId="20" fillId="0" borderId="10" xfId="43" applyFont="1" applyBorder="1" applyAlignment="1">
      <alignment horizontal="center" vertical="center" wrapText="1"/>
    </xf>
    <xf numFmtId="0" fontId="20" fillId="44" borderId="10" xfId="0" applyFont="1" applyFill="1" applyBorder="1" applyAlignment="1">
      <alignment horizontal="center" vertical="center" wrapText="1"/>
    </xf>
    <xf numFmtId="0" fontId="20" fillId="44" borderId="10" xfId="0" applyFont="1" applyFill="1" applyBorder="1" applyAlignment="1">
      <alignment horizontal="left" vertical="center" wrapText="1"/>
    </xf>
    <xf numFmtId="0" fontId="20" fillId="44" borderId="10" xfId="0" applyFont="1" applyFill="1" applyBorder="1" applyAlignment="1">
      <alignment vertical="center" wrapText="1"/>
    </xf>
    <xf numFmtId="3" fontId="0" fillId="39" borderId="16" xfId="0" applyNumberFormat="1" applyFill="1" applyBorder="1" applyAlignment="1">
      <alignment horizontal="center"/>
    </xf>
    <xf numFmtId="3" fontId="0" fillId="39" borderId="16" xfId="0" applyNumberFormat="1" applyFill="1" applyBorder="1" applyAlignment="1">
      <alignment horizontal="center" wrapText="1"/>
    </xf>
    <xf numFmtId="3" fontId="0" fillId="38" borderId="10" xfId="0" applyNumberFormat="1" applyFill="1" applyBorder="1" applyAlignment="1">
      <alignment horizontal="center" vertical="center"/>
    </xf>
    <xf numFmtId="9" fontId="0" fillId="38" borderId="10" xfId="43" applyFont="1" applyFill="1" applyBorder="1" applyAlignment="1">
      <alignment horizontal="center" vertical="center"/>
    </xf>
    <xf numFmtId="3" fontId="0" fillId="0" borderId="10" xfId="0" applyNumberFormat="1" applyFill="1" applyBorder="1" applyAlignment="1">
      <alignment horizontal="center" vertical="center"/>
    </xf>
    <xf numFmtId="3" fontId="0" fillId="39" borderId="10" xfId="0" applyNumberFormat="1" applyFill="1" applyBorder="1" applyAlignment="1">
      <alignment horizontal="center" vertical="center"/>
    </xf>
    <xf numFmtId="0" fontId="35" fillId="50" borderId="10" xfId="0" applyFont="1" applyFill="1" applyBorder="1" applyAlignment="1">
      <alignment horizontal="center" vertical="center"/>
    </xf>
    <xf numFmtId="3" fontId="0" fillId="39" borderId="16" xfId="0" applyNumberFormat="1" applyFill="1" applyBorder="1" applyAlignment="1">
      <alignment horizontal="center" vertical="center"/>
    </xf>
    <xf numFmtId="0" fontId="20" fillId="44" borderId="10" xfId="0" applyFont="1" applyFill="1" applyBorder="1" applyAlignment="1">
      <alignment horizontal="left" vertical="center"/>
    </xf>
    <xf numFmtId="0" fontId="20" fillId="37" borderId="10" xfId="0" applyFont="1" applyFill="1" applyBorder="1" applyAlignment="1">
      <alignment horizontal="center"/>
    </xf>
    <xf numFmtId="0" fontId="20" fillId="39" borderId="10" xfId="0" applyFont="1" applyFill="1" applyBorder="1" applyAlignment="1">
      <alignment horizontal="center"/>
    </xf>
    <xf numFmtId="10" fontId="16" fillId="40" borderId="10" xfId="0" applyNumberFormat="1" applyFont="1" applyFill="1" applyBorder="1" applyAlignment="1">
      <alignment horizontal="center"/>
    </xf>
    <xf numFmtId="0" fontId="19" fillId="34" borderId="10" xfId="0" applyFont="1" applyFill="1" applyBorder="1" applyAlignment="1">
      <alignment horizontal="center" vertical="center"/>
    </xf>
    <xf numFmtId="0" fontId="20" fillId="44" borderId="10" xfId="0" applyFont="1" applyFill="1" applyBorder="1" applyAlignment="1">
      <alignment horizontal="center" vertical="center" wrapText="1"/>
    </xf>
    <xf numFmtId="0" fontId="20" fillId="37" borderId="10" xfId="0" applyFont="1" applyFill="1" applyBorder="1" applyAlignment="1">
      <alignment horizontal="left" vertical="center"/>
    </xf>
    <xf numFmtId="0" fontId="0" fillId="0" borderId="0" xfId="0" applyBorder="1" applyAlignment="1">
      <alignment horizontal="center"/>
    </xf>
    <xf numFmtId="0" fontId="16" fillId="38" borderId="0" xfId="0" applyFont="1" applyFill="1" applyBorder="1" applyAlignment="1">
      <alignment horizontal="center" vertical="center"/>
    </xf>
    <xf numFmtId="9" fontId="0" fillId="0" borderId="0" xfId="0" applyNumberFormat="1" applyBorder="1"/>
    <xf numFmtId="0" fontId="0" fillId="36" borderId="10" xfId="0" applyFill="1" applyBorder="1"/>
    <xf numFmtId="0" fontId="51" fillId="37" borderId="10" xfId="0" applyFont="1" applyFill="1" applyBorder="1" applyAlignment="1">
      <alignment horizontal="left"/>
    </xf>
    <xf numFmtId="1" fontId="0" fillId="0" borderId="10" xfId="43" applyNumberFormat="1" applyFont="1" applyFill="1" applyBorder="1" applyAlignment="1">
      <alignment horizontal="center"/>
    </xf>
    <xf numFmtId="0" fontId="53" fillId="35" borderId="10" xfId="0" applyFont="1" applyFill="1" applyBorder="1" applyAlignment="1">
      <alignment horizontal="center" vertical="center" wrapText="1"/>
    </xf>
    <xf numFmtId="2" fontId="53" fillId="35" borderId="10" xfId="0" applyNumberFormat="1" applyFont="1" applyFill="1" applyBorder="1" applyAlignment="1">
      <alignment horizontal="center" vertical="center" wrapText="1"/>
    </xf>
    <xf numFmtId="0" fontId="53" fillId="40" borderId="10" xfId="0" applyFont="1" applyFill="1" applyBorder="1" applyAlignment="1">
      <alignment horizontal="center" vertical="center" wrapText="1"/>
    </xf>
    <xf numFmtId="9" fontId="0" fillId="0" borderId="10" xfId="43" applyFont="1" applyFill="1" applyBorder="1" applyAlignment="1">
      <alignment horizontal="center"/>
    </xf>
    <xf numFmtId="0" fontId="55" fillId="0" borderId="10" xfId="0" applyFont="1" applyBorder="1" applyAlignment="1">
      <alignment vertical="top" wrapText="1"/>
    </xf>
    <xf numFmtId="3" fontId="1" fillId="0" borderId="10" xfId="0" applyNumberFormat="1" applyFont="1" applyFill="1" applyBorder="1" applyAlignment="1">
      <alignment horizontal="center"/>
    </xf>
    <xf numFmtId="9" fontId="1" fillId="0" borderId="10" xfId="43" applyFont="1" applyFill="1" applyBorder="1" applyAlignment="1">
      <alignment horizontal="center"/>
    </xf>
    <xf numFmtId="1" fontId="0" fillId="0" borderId="0" xfId="0" applyNumberFormat="1" applyBorder="1"/>
    <xf numFmtId="0" fontId="57" fillId="35" borderId="10" xfId="0" applyFont="1" applyFill="1" applyBorder="1" applyAlignment="1">
      <alignment horizontal="center" vertical="center" wrapText="1"/>
    </xf>
    <xf numFmtId="2" fontId="57" fillId="35" borderId="10" xfId="0" applyNumberFormat="1" applyFont="1" applyFill="1" applyBorder="1" applyAlignment="1">
      <alignment horizontal="center" vertical="center" wrapText="1"/>
    </xf>
    <xf numFmtId="0" fontId="54" fillId="0" borderId="0" xfId="48" applyFont="1">
      <alignment vertical="center"/>
    </xf>
    <xf numFmtId="166" fontId="63" fillId="0" borderId="0" xfId="48" applyNumberFormat="1" applyFont="1">
      <alignment vertical="center"/>
    </xf>
    <xf numFmtId="14" fontId="54" fillId="0" borderId="0" xfId="48" applyNumberFormat="1" applyFont="1">
      <alignment vertical="center"/>
    </xf>
    <xf numFmtId="166" fontId="32" fillId="52" borderId="23" xfId="48" applyNumberFormat="1" applyFont="1" applyFill="1" applyBorder="1" applyAlignment="1">
      <alignment horizontal="center" vertical="center" wrapText="1"/>
    </xf>
    <xf numFmtId="14" fontId="32" fillId="52" borderId="23" xfId="48" applyNumberFormat="1" applyFont="1" applyFill="1" applyBorder="1" applyAlignment="1">
      <alignment horizontal="center" vertical="center" wrapText="1"/>
    </xf>
    <xf numFmtId="0" fontId="32" fillId="52" borderId="24" xfId="48" applyFont="1" applyFill="1" applyBorder="1" applyAlignment="1">
      <alignment horizontal="center" vertical="center" wrapText="1"/>
    </xf>
    <xf numFmtId="0" fontId="32" fillId="52" borderId="25" xfId="48" applyFont="1" applyFill="1" applyBorder="1" applyAlignment="1">
      <alignment horizontal="center" vertical="center" wrapText="1"/>
    </xf>
    <xf numFmtId="166" fontId="26" fillId="0" borderId="26" xfId="48" applyNumberFormat="1" applyFont="1" applyBorder="1" applyAlignment="1">
      <alignment horizontal="center" vertical="center" wrapText="1"/>
    </xf>
    <xf numFmtId="14" fontId="26" fillId="0" borderId="26" xfId="48" applyNumberFormat="1" applyFont="1" applyBorder="1" applyAlignment="1">
      <alignment horizontal="center" vertical="center" wrapText="1"/>
    </xf>
    <xf numFmtId="0" fontId="26" fillId="0" borderId="27" xfId="48" applyFont="1" applyBorder="1" applyAlignment="1">
      <alignment horizontal="left" vertical="center" wrapText="1"/>
    </xf>
    <xf numFmtId="0" fontId="26" fillId="0" borderId="28" xfId="48" applyFont="1" applyBorder="1" applyAlignment="1">
      <alignment horizontal="center" vertical="center" wrapText="1"/>
    </xf>
    <xf numFmtId="166" fontId="22" fillId="0" borderId="26" xfId="48" applyNumberFormat="1" applyFont="1" applyBorder="1" applyAlignment="1">
      <alignment horizontal="center" vertical="center" wrapText="1"/>
    </xf>
    <xf numFmtId="14" fontId="22" fillId="0" borderId="26" xfId="48" applyNumberFormat="1" applyFont="1" applyBorder="1" applyAlignment="1">
      <alignment horizontal="center" vertical="center" wrapText="1"/>
    </xf>
    <xf numFmtId="0" fontId="22" fillId="0" borderId="27" xfId="48" applyFont="1" applyBorder="1" applyAlignment="1">
      <alignment horizontal="left" vertical="center" wrapText="1"/>
    </xf>
    <xf numFmtId="0" fontId="22" fillId="0" borderId="28" xfId="48" applyFont="1" applyBorder="1" applyAlignment="1">
      <alignment horizontal="center" vertical="center" wrapText="1"/>
    </xf>
    <xf numFmtId="14" fontId="22" fillId="0" borderId="26" xfId="48" applyNumberFormat="1" applyFont="1" applyBorder="1" applyAlignment="1">
      <alignment horizontal="center" vertical="top" wrapText="1"/>
    </xf>
    <xf numFmtId="0" fontId="22" fillId="0" borderId="27" xfId="48" applyFont="1" applyBorder="1" applyAlignment="1">
      <alignment horizontal="left" vertical="top" wrapText="1"/>
    </xf>
    <xf numFmtId="0" fontId="22" fillId="0" borderId="28" xfId="48" applyFont="1" applyBorder="1" applyAlignment="1">
      <alignment horizontal="center" vertical="top" wrapText="1"/>
    </xf>
    <xf numFmtId="166" fontId="22" fillId="0" borderId="29" xfId="48" applyNumberFormat="1" applyFont="1" applyBorder="1" applyAlignment="1">
      <alignment horizontal="center" vertical="center" wrapText="1"/>
    </xf>
    <xf numFmtId="14" fontId="22" fillId="0" borderId="29" xfId="48" applyNumberFormat="1" applyFont="1" applyBorder="1" applyAlignment="1">
      <alignment horizontal="center" vertical="top" wrapText="1"/>
    </xf>
    <xf numFmtId="0" fontId="22" fillId="0" borderId="30" xfId="48" applyFont="1" applyBorder="1" applyAlignment="1">
      <alignment horizontal="left" vertical="top" wrapText="1"/>
    </xf>
    <xf numFmtId="0" fontId="22" fillId="0" borderId="31" xfId="48" applyFont="1" applyBorder="1" applyAlignment="1">
      <alignment horizontal="center" vertical="top" wrapText="1"/>
    </xf>
    <xf numFmtId="0" fontId="22" fillId="0" borderId="31" xfId="48" applyFont="1" applyBorder="1" applyAlignment="1">
      <alignment horizontal="center" vertical="center" wrapText="1"/>
    </xf>
    <xf numFmtId="166" fontId="22" fillId="0" borderId="0" xfId="48" applyNumberFormat="1" applyFont="1" applyBorder="1" applyAlignment="1">
      <alignment horizontal="center" vertical="center" wrapText="1"/>
    </xf>
    <xf numFmtId="14" fontId="22" fillId="0" borderId="0" xfId="48" applyNumberFormat="1" applyFont="1" applyBorder="1" applyAlignment="1">
      <alignment horizontal="center" vertical="top" wrapText="1"/>
    </xf>
    <xf numFmtId="0" fontId="22" fillId="0" borderId="0" xfId="48" applyFont="1" applyBorder="1" applyAlignment="1">
      <alignment horizontal="center" vertical="top" wrapText="1"/>
    </xf>
    <xf numFmtId="0" fontId="22" fillId="0" borderId="0" xfId="48" applyFont="1" applyBorder="1" applyAlignment="1">
      <alignment horizontal="center" vertical="center" wrapText="1"/>
    </xf>
    <xf numFmtId="166" fontId="54" fillId="0" borderId="0" xfId="48" applyNumberFormat="1" applyFont="1">
      <alignment vertical="center"/>
    </xf>
    <xf numFmtId="0" fontId="20" fillId="35" borderId="13" xfId="0" applyFont="1" applyFill="1" applyBorder="1" applyAlignment="1">
      <alignment horizontal="center" vertical="center" wrapText="1"/>
    </xf>
    <xf numFmtId="0" fontId="20" fillId="35" borderId="13" xfId="0" applyFont="1" applyFill="1" applyBorder="1" applyAlignment="1">
      <alignment horizontal="left" vertical="center"/>
    </xf>
    <xf numFmtId="0" fontId="20" fillId="51" borderId="10" xfId="0" applyFont="1" applyFill="1" applyBorder="1" applyAlignment="1">
      <alignment vertical="center"/>
    </xf>
    <xf numFmtId="0" fontId="20" fillId="51" borderId="10" xfId="0" applyFont="1" applyFill="1" applyBorder="1" applyAlignment="1">
      <alignment wrapText="1"/>
    </xf>
    <xf numFmtId="0" fontId="50" fillId="51" borderId="10" xfId="0" applyFont="1" applyFill="1" applyBorder="1" applyAlignment="1">
      <alignment horizontal="left" vertical="center"/>
    </xf>
    <xf numFmtId="0" fontId="50" fillId="51" borderId="10" xfId="0" applyFont="1" applyFill="1" applyBorder="1" applyAlignment="1">
      <alignment horizontal="left" vertical="top"/>
    </xf>
    <xf numFmtId="9" fontId="0" fillId="39" borderId="16" xfId="43" applyFont="1" applyFill="1" applyBorder="1" applyAlignment="1">
      <alignment horizontal="center"/>
    </xf>
    <xf numFmtId="0" fontId="20" fillId="51" borderId="10" xfId="0" applyFont="1" applyFill="1" applyBorder="1" applyAlignment="1">
      <alignment horizontal="left" vertical="center" wrapText="1"/>
    </xf>
    <xf numFmtId="0" fontId="20" fillId="51" borderId="10" xfId="0" applyFont="1" applyFill="1" applyBorder="1"/>
    <xf numFmtId="0" fontId="20" fillId="51" borderId="10" xfId="0" applyFont="1" applyFill="1" applyBorder="1" applyAlignment="1">
      <alignment horizontal="left" vertical="center"/>
    </xf>
    <xf numFmtId="0" fontId="0" fillId="51" borderId="10" xfId="0" applyFill="1" applyBorder="1"/>
    <xf numFmtId="0" fontId="19" fillId="34" borderId="10" xfId="0" applyFont="1" applyFill="1" applyBorder="1" applyAlignment="1">
      <alignment horizontal="center" vertical="center"/>
    </xf>
    <xf numFmtId="0" fontId="20" fillId="44" borderId="10" xfId="0" applyFont="1" applyFill="1" applyBorder="1" applyAlignment="1">
      <alignment horizontal="center" vertical="center" wrapText="1"/>
    </xf>
    <xf numFmtId="0" fontId="20" fillId="37" borderId="10" xfId="0" applyFont="1" applyFill="1" applyBorder="1" applyAlignment="1">
      <alignment horizontal="left" vertical="center"/>
    </xf>
    <xf numFmtId="0" fontId="20" fillId="35" borderId="13" xfId="0" applyFont="1" applyFill="1" applyBorder="1" applyAlignment="1">
      <alignment horizontal="center" vertical="center" wrapText="1"/>
    </xf>
    <xf numFmtId="0" fontId="20" fillId="35" borderId="13" xfId="0" applyFont="1" applyFill="1" applyBorder="1" applyAlignment="1">
      <alignment horizontal="left" vertical="center"/>
    </xf>
    <xf numFmtId="2" fontId="0" fillId="0" borderId="10" xfId="0" applyNumberFormat="1" applyBorder="1"/>
    <xf numFmtId="0" fontId="20" fillId="33" borderId="10" xfId="0" applyFont="1" applyFill="1" applyBorder="1" applyAlignment="1">
      <alignment horizontal="center"/>
    </xf>
    <xf numFmtId="0" fontId="20" fillId="53" borderId="10" xfId="0" applyFont="1" applyFill="1" applyBorder="1" applyAlignment="1">
      <alignment horizontal="center"/>
    </xf>
    <xf numFmtId="9" fontId="0" fillId="0" borderId="10" xfId="0" applyNumberFormat="1" applyBorder="1"/>
    <xf numFmtId="0" fontId="0" fillId="39" borderId="10" xfId="43" applyNumberFormat="1" applyFont="1" applyFill="1" applyBorder="1" applyAlignment="1">
      <alignment horizontal="center"/>
    </xf>
    <xf numFmtId="0" fontId="0" fillId="0" borderId="10" xfId="43" applyNumberFormat="1" applyFont="1" applyFill="1" applyBorder="1"/>
    <xf numFmtId="0" fontId="55" fillId="51" borderId="10" xfId="0" applyFont="1" applyFill="1" applyBorder="1" applyAlignment="1">
      <alignment vertical="top" wrapText="1"/>
    </xf>
    <xf numFmtId="0" fontId="0" fillId="39" borderId="10" xfId="0" applyNumberFormat="1" applyFill="1" applyBorder="1" applyAlignment="1">
      <alignment horizontal="center"/>
    </xf>
    <xf numFmtId="0" fontId="0" fillId="39" borderId="16" xfId="43" applyNumberFormat="1" applyFont="1" applyFill="1" applyBorder="1" applyAlignment="1">
      <alignment horizontal="center"/>
    </xf>
    <xf numFmtId="0" fontId="16" fillId="38" borderId="10" xfId="0" applyNumberFormat="1" applyFont="1" applyFill="1" applyBorder="1" applyAlignment="1">
      <alignment horizontal="center" vertical="center"/>
    </xf>
    <xf numFmtId="0" fontId="67" fillId="0" borderId="10" xfId="0" applyFont="1" applyFill="1" applyBorder="1" applyAlignment="1">
      <alignment horizontal="left" vertical="center"/>
    </xf>
    <xf numFmtId="9" fontId="0" fillId="39" borderId="10" xfId="43" applyNumberFormat="1" applyFont="1" applyFill="1" applyBorder="1" applyAlignment="1">
      <alignment horizontal="center"/>
    </xf>
    <xf numFmtId="3" fontId="0" fillId="51" borderId="10" xfId="0" applyNumberFormat="1" applyFill="1" applyBorder="1" applyAlignment="1">
      <alignment horizontal="center"/>
    </xf>
    <xf numFmtId="0" fontId="35" fillId="51" borderId="10" xfId="0" applyFont="1" applyFill="1" applyBorder="1" applyAlignment="1">
      <alignment horizontal="center" vertical="center"/>
    </xf>
    <xf numFmtId="3" fontId="0" fillId="51" borderId="16" xfId="0" applyNumberFormat="1" applyFill="1" applyBorder="1" applyAlignment="1">
      <alignment horizontal="center" vertical="center"/>
    </xf>
    <xf numFmtId="3" fontId="0" fillId="51" borderId="16" xfId="0" applyNumberFormat="1" applyFill="1" applyBorder="1" applyAlignment="1">
      <alignment horizontal="center"/>
    </xf>
    <xf numFmtId="3" fontId="0" fillId="51" borderId="10" xfId="0" applyNumberFormat="1" applyFill="1" applyBorder="1" applyAlignment="1">
      <alignment horizontal="center" vertical="center"/>
    </xf>
    <xf numFmtId="0" fontId="0" fillId="56" borderId="0" xfId="0" applyFill="1"/>
    <xf numFmtId="0" fontId="68" fillId="51" borderId="32" xfId="0" applyFont="1" applyFill="1" applyBorder="1" applyAlignment="1">
      <alignment horizontal="center" vertical="center"/>
    </xf>
    <xf numFmtId="0" fontId="35" fillId="50" borderId="32" xfId="0" applyFont="1" applyFill="1" applyBorder="1" applyAlignment="1">
      <alignment horizontal="center" vertical="center"/>
    </xf>
    <xf numFmtId="0" fontId="35" fillId="51" borderId="32" xfId="0" applyFont="1" applyFill="1" applyBorder="1" applyAlignment="1">
      <alignment horizontal="center" vertical="center"/>
    </xf>
    <xf numFmtId="166" fontId="19" fillId="52" borderId="15" xfId="48" applyNumberFormat="1" applyFont="1" applyFill="1" applyBorder="1" applyAlignment="1">
      <alignment horizontal="left" vertical="center"/>
    </xf>
    <xf numFmtId="0" fontId="20" fillId="39" borderId="15" xfId="48" applyFont="1" applyFill="1" applyBorder="1" applyAlignment="1">
      <alignment horizontal="center" vertical="center" wrapText="1"/>
    </xf>
    <xf numFmtId="0" fontId="20" fillId="39" borderId="15" xfId="48" applyFont="1" applyFill="1" applyBorder="1" applyAlignment="1">
      <alignment horizontal="center" vertical="center"/>
    </xf>
    <xf numFmtId="166" fontId="64" fillId="48" borderId="0" xfId="48" applyNumberFormat="1" applyFont="1" applyFill="1" applyAlignment="1">
      <alignment horizontal="center" vertical="center" wrapText="1"/>
    </xf>
    <xf numFmtId="166" fontId="59" fillId="0" borderId="0" xfId="48" applyNumberFormat="1" applyFont="1" applyAlignment="1">
      <alignment horizontal="center" vertical="center"/>
    </xf>
    <xf numFmtId="166" fontId="60" fillId="0" borderId="0" xfId="48" applyNumberFormat="1" applyFont="1" applyAlignment="1">
      <alignment horizontal="center" vertical="center"/>
    </xf>
    <xf numFmtId="166" fontId="61" fillId="0" borderId="0" xfId="48" applyNumberFormat="1" applyFont="1" applyAlignment="1">
      <alignment horizontal="center" vertical="center"/>
    </xf>
    <xf numFmtId="166" fontId="62" fillId="0" borderId="0" xfId="48" applyNumberFormat="1" applyFont="1" applyAlignment="1">
      <alignment horizontal="center" vertical="center"/>
    </xf>
    <xf numFmtId="0" fontId="19" fillId="39" borderId="15" xfId="48" applyFont="1" applyFill="1" applyBorder="1" applyAlignment="1">
      <alignment horizontal="center" vertical="center"/>
    </xf>
    <xf numFmtId="0" fontId="26" fillId="39" borderId="15" xfId="48" quotePrefix="1" applyFont="1" applyFill="1" applyBorder="1" applyAlignment="1">
      <alignment horizontal="left" vertical="center" wrapText="1"/>
    </xf>
    <xf numFmtId="0" fontId="26" fillId="39" borderId="15" xfId="48" applyFont="1" applyFill="1" applyBorder="1" applyAlignment="1">
      <alignment horizontal="left" vertical="center"/>
    </xf>
    <xf numFmtId="0" fontId="19" fillId="0" borderId="0" xfId="0" applyFont="1" applyFill="1" applyBorder="1" applyAlignment="1">
      <alignment horizontal="center" vertical="center"/>
    </xf>
    <xf numFmtId="0" fontId="19" fillId="38" borderId="10" xfId="0" applyFont="1" applyFill="1" applyBorder="1" applyAlignment="1">
      <alignment horizontal="center" vertical="center"/>
    </xf>
    <xf numFmtId="0" fontId="20" fillId="0" borderId="14" xfId="0" applyFont="1" applyBorder="1" applyAlignment="1">
      <alignment horizontal="center" vertical="center"/>
    </xf>
    <xf numFmtId="0" fontId="20" fillId="0" borderId="15" xfId="0" applyFont="1" applyBorder="1" applyAlignment="1">
      <alignment horizontal="center" vertical="center"/>
    </xf>
    <xf numFmtId="0" fontId="20" fillId="0" borderId="16" xfId="0" applyFont="1" applyBorder="1" applyAlignment="1">
      <alignment horizontal="center" vertical="center"/>
    </xf>
    <xf numFmtId="0" fontId="16" fillId="35" borderId="11" xfId="0" applyFont="1" applyFill="1" applyBorder="1" applyAlignment="1">
      <alignment horizontal="center" vertical="center"/>
    </xf>
    <xf numFmtId="0" fontId="16" fillId="35" borderId="12" xfId="0" applyFont="1" applyFill="1" applyBorder="1" applyAlignment="1">
      <alignment horizontal="center" vertical="center"/>
    </xf>
    <xf numFmtId="0" fontId="16" fillId="35" borderId="13" xfId="0" applyFont="1" applyFill="1" applyBorder="1" applyAlignment="1">
      <alignment horizontal="center" vertical="center"/>
    </xf>
    <xf numFmtId="0" fontId="16" fillId="44" borderId="11" xfId="0" applyFont="1" applyFill="1" applyBorder="1" applyAlignment="1">
      <alignment horizontal="center" vertical="center"/>
    </xf>
    <xf numFmtId="0" fontId="16" fillId="44" borderId="12" xfId="0" applyFont="1" applyFill="1" applyBorder="1" applyAlignment="1">
      <alignment horizontal="center" vertical="center"/>
    </xf>
    <xf numFmtId="0" fontId="16" fillId="44" borderId="13" xfId="0" applyFont="1" applyFill="1" applyBorder="1" applyAlignment="1">
      <alignment horizontal="center" vertical="center"/>
    </xf>
    <xf numFmtId="0" fontId="16" fillId="37" borderId="11" xfId="0" applyFont="1" applyFill="1" applyBorder="1" applyAlignment="1">
      <alignment horizontal="center" vertical="center"/>
    </xf>
    <xf numFmtId="0" fontId="16" fillId="37" borderId="12" xfId="0" applyFont="1" applyFill="1" applyBorder="1" applyAlignment="1">
      <alignment horizontal="center" vertical="center"/>
    </xf>
    <xf numFmtId="0" fontId="16" fillId="37" borderId="13" xfId="0" applyFont="1" applyFill="1" applyBorder="1" applyAlignment="1">
      <alignment horizontal="center" vertical="center"/>
    </xf>
    <xf numFmtId="0" fontId="16" fillId="40" borderId="11" xfId="0" applyFont="1" applyFill="1" applyBorder="1" applyAlignment="1">
      <alignment horizontal="center" vertical="center"/>
    </xf>
    <xf numFmtId="0" fontId="16" fillId="40" borderId="12" xfId="0" applyFont="1" applyFill="1" applyBorder="1" applyAlignment="1">
      <alignment horizontal="center" vertical="center"/>
    </xf>
    <xf numFmtId="0" fontId="16" fillId="40" borderId="13" xfId="0" applyFont="1" applyFill="1" applyBorder="1" applyAlignment="1">
      <alignment horizontal="center" vertical="center"/>
    </xf>
    <xf numFmtId="9" fontId="16" fillId="48" borderId="11" xfId="43" applyFont="1" applyFill="1" applyBorder="1" applyAlignment="1">
      <alignment horizontal="center" vertical="center"/>
    </xf>
    <xf numFmtId="9" fontId="16" fillId="48" borderId="12" xfId="43" applyFont="1" applyFill="1" applyBorder="1" applyAlignment="1">
      <alignment horizontal="center" vertical="center"/>
    </xf>
    <xf numFmtId="9" fontId="16" fillId="48" borderId="13" xfId="43" applyFont="1" applyFill="1" applyBorder="1" applyAlignment="1">
      <alignment horizontal="center" vertical="center"/>
    </xf>
    <xf numFmtId="164" fontId="16" fillId="48" borderId="11" xfId="43" applyNumberFormat="1" applyFont="1" applyFill="1" applyBorder="1" applyAlignment="1">
      <alignment horizontal="center" vertical="center"/>
    </xf>
    <xf numFmtId="164" fontId="16" fillId="48" borderId="12" xfId="43" applyNumberFormat="1" applyFont="1" applyFill="1" applyBorder="1" applyAlignment="1">
      <alignment horizontal="center" vertical="center"/>
    </xf>
    <xf numFmtId="164" fontId="16" fillId="48" borderId="13" xfId="43" applyNumberFormat="1" applyFont="1" applyFill="1" applyBorder="1" applyAlignment="1">
      <alignment horizontal="center" vertical="center"/>
    </xf>
    <xf numFmtId="0" fontId="16" fillId="48" borderId="11" xfId="0" applyFont="1" applyFill="1" applyBorder="1" applyAlignment="1">
      <alignment horizontal="center" vertical="center"/>
    </xf>
    <xf numFmtId="0" fontId="16" fillId="48" borderId="12" xfId="0" applyFont="1" applyFill="1" applyBorder="1" applyAlignment="1">
      <alignment horizontal="center" vertical="center"/>
    </xf>
    <xf numFmtId="0" fontId="16" fillId="48" borderId="13" xfId="0" applyFont="1" applyFill="1" applyBorder="1" applyAlignment="1">
      <alignment horizontal="center" vertical="center"/>
    </xf>
    <xf numFmtId="0" fontId="16" fillId="48" borderId="10" xfId="0" applyFont="1" applyFill="1" applyBorder="1" applyAlignment="1">
      <alignment horizontal="center" vertical="center"/>
    </xf>
    <xf numFmtId="10" fontId="19" fillId="38" borderId="10" xfId="0" applyNumberFormat="1" applyFont="1" applyFill="1" applyBorder="1" applyAlignment="1">
      <alignment horizontal="center" vertical="center"/>
    </xf>
    <xf numFmtId="164" fontId="16" fillId="40" borderId="11" xfId="43" applyNumberFormat="1" applyFont="1" applyFill="1" applyBorder="1" applyAlignment="1">
      <alignment horizontal="center" vertical="center"/>
    </xf>
    <xf numFmtId="164" fontId="16" fillId="40" borderId="12" xfId="43" applyNumberFormat="1" applyFont="1" applyFill="1" applyBorder="1" applyAlignment="1">
      <alignment horizontal="center" vertical="center"/>
    </xf>
    <xf numFmtId="164" fontId="16" fillId="40" borderId="13" xfId="43" applyNumberFormat="1" applyFont="1" applyFill="1" applyBorder="1" applyAlignment="1">
      <alignment horizontal="center" vertical="center"/>
    </xf>
    <xf numFmtId="0" fontId="38" fillId="0" borderId="20" xfId="0" applyFont="1" applyBorder="1" applyAlignment="1">
      <alignment horizontal="center"/>
    </xf>
    <xf numFmtId="0" fontId="38" fillId="0" borderId="21" xfId="0" applyFont="1" applyBorder="1" applyAlignment="1">
      <alignment horizontal="center"/>
    </xf>
    <xf numFmtId="0" fontId="38" fillId="0" borderId="22" xfId="0" applyFont="1" applyBorder="1" applyAlignment="1">
      <alignment horizontal="center"/>
    </xf>
    <xf numFmtId="0" fontId="16" fillId="40" borderId="10" xfId="0" applyFont="1" applyFill="1" applyBorder="1" applyAlignment="1">
      <alignment horizontal="center" vertical="center"/>
    </xf>
    <xf numFmtId="9" fontId="16" fillId="44" borderId="11" xfId="43" applyFont="1" applyFill="1" applyBorder="1" applyAlignment="1">
      <alignment horizontal="center" vertical="center"/>
    </xf>
    <xf numFmtId="9" fontId="16" fillId="44" borderId="12" xfId="43" applyFont="1" applyFill="1" applyBorder="1" applyAlignment="1">
      <alignment horizontal="center" vertical="center"/>
    </xf>
    <xf numFmtId="9" fontId="16" fillId="44" borderId="13" xfId="43" applyFont="1" applyFill="1" applyBorder="1" applyAlignment="1">
      <alignment horizontal="center" vertical="center"/>
    </xf>
    <xf numFmtId="9" fontId="16" fillId="37" borderId="11" xfId="43" applyFont="1" applyFill="1" applyBorder="1" applyAlignment="1">
      <alignment horizontal="center" vertical="center"/>
    </xf>
    <xf numFmtId="9" fontId="16" fillId="37" borderId="12" xfId="43" applyFont="1" applyFill="1" applyBorder="1" applyAlignment="1">
      <alignment horizontal="center" vertical="center"/>
    </xf>
    <xf numFmtId="9" fontId="16" fillId="37" borderId="13" xfId="43" applyFont="1" applyFill="1" applyBorder="1" applyAlignment="1">
      <alignment horizontal="center" vertical="center"/>
    </xf>
    <xf numFmtId="9" fontId="16" fillId="40" borderId="11" xfId="43" applyFont="1" applyFill="1" applyBorder="1" applyAlignment="1">
      <alignment horizontal="center" vertical="center"/>
    </xf>
    <xf numFmtId="9" fontId="16" fillId="40" borderId="12" xfId="43" applyFont="1" applyFill="1" applyBorder="1" applyAlignment="1">
      <alignment horizontal="center" vertical="center"/>
    </xf>
    <xf numFmtId="9" fontId="16" fillId="40" borderId="13" xfId="43" applyFont="1" applyFill="1" applyBorder="1" applyAlignment="1">
      <alignment horizontal="center" vertical="center"/>
    </xf>
    <xf numFmtId="0" fontId="16" fillId="35" borderId="10" xfId="0" applyFont="1" applyFill="1" applyBorder="1" applyAlignment="1">
      <alignment horizontal="center" vertical="center"/>
    </xf>
    <xf numFmtId="0" fontId="16" fillId="44" borderId="10" xfId="0" applyFont="1" applyFill="1" applyBorder="1" applyAlignment="1">
      <alignment horizontal="center" vertical="center"/>
    </xf>
    <xf numFmtId="0" fontId="16" fillId="51" borderId="10" xfId="0" applyFont="1" applyFill="1" applyBorder="1" applyAlignment="1">
      <alignment horizontal="center" vertical="center"/>
    </xf>
    <xf numFmtId="164" fontId="16" fillId="37" borderId="11" xfId="43" applyNumberFormat="1" applyFont="1" applyFill="1" applyBorder="1" applyAlignment="1">
      <alignment horizontal="center" vertical="center"/>
    </xf>
    <xf numFmtId="164" fontId="16" fillId="37" borderId="12" xfId="43" applyNumberFormat="1" applyFont="1" applyFill="1" applyBorder="1" applyAlignment="1">
      <alignment horizontal="center" vertical="center"/>
    </xf>
    <xf numFmtId="164" fontId="16" fillId="37" borderId="13" xfId="43" applyNumberFormat="1" applyFont="1" applyFill="1" applyBorder="1" applyAlignment="1">
      <alignment horizontal="center" vertical="center"/>
    </xf>
    <xf numFmtId="9" fontId="16" fillId="35" borderId="11" xfId="43" applyFont="1" applyFill="1" applyBorder="1" applyAlignment="1">
      <alignment horizontal="center" vertical="center"/>
    </xf>
    <xf numFmtId="9" fontId="16" fillId="35" borderId="12" xfId="43" applyFont="1" applyFill="1" applyBorder="1" applyAlignment="1">
      <alignment horizontal="center" vertical="center"/>
    </xf>
    <xf numFmtId="9" fontId="16" fillId="35" borderId="13" xfId="43" applyFont="1" applyFill="1" applyBorder="1" applyAlignment="1">
      <alignment horizontal="center" vertical="center"/>
    </xf>
    <xf numFmtId="164" fontId="16" fillId="35" borderId="11" xfId="43" applyNumberFormat="1" applyFont="1" applyFill="1" applyBorder="1" applyAlignment="1">
      <alignment horizontal="center" vertical="center"/>
    </xf>
    <xf numFmtId="164" fontId="16" fillId="35" borderId="12" xfId="43" applyNumberFormat="1" applyFont="1" applyFill="1" applyBorder="1" applyAlignment="1">
      <alignment horizontal="center" vertical="center"/>
    </xf>
    <xf numFmtId="164" fontId="16" fillId="35" borderId="13" xfId="43" applyNumberFormat="1" applyFont="1" applyFill="1" applyBorder="1" applyAlignment="1">
      <alignment horizontal="center" vertical="center"/>
    </xf>
    <xf numFmtId="164" fontId="16" fillId="44" borderId="11" xfId="43" applyNumberFormat="1" applyFont="1" applyFill="1" applyBorder="1" applyAlignment="1">
      <alignment horizontal="center" vertical="center"/>
    </xf>
    <xf numFmtId="164" fontId="16" fillId="44" borderId="12" xfId="43" applyNumberFormat="1" applyFont="1" applyFill="1" applyBorder="1" applyAlignment="1">
      <alignment horizontal="center" vertical="center"/>
    </xf>
    <xf numFmtId="164" fontId="16" fillId="44" borderId="13" xfId="43" applyNumberFormat="1" applyFont="1" applyFill="1" applyBorder="1" applyAlignment="1">
      <alignment horizontal="center" vertical="center"/>
    </xf>
    <xf numFmtId="0" fontId="30" fillId="0" borderId="10" xfId="47" applyBorder="1" applyAlignment="1">
      <alignment horizontal="center" vertical="center"/>
    </xf>
    <xf numFmtId="0" fontId="19" fillId="40" borderId="14" xfId="0" applyFont="1" applyFill="1" applyBorder="1" applyAlignment="1">
      <alignment horizontal="center" vertical="center" wrapText="1"/>
    </xf>
    <xf numFmtId="0" fontId="19" fillId="40" borderId="15" xfId="0" applyFont="1" applyFill="1" applyBorder="1" applyAlignment="1">
      <alignment horizontal="center" vertical="center" wrapText="1"/>
    </xf>
    <xf numFmtId="0" fontId="19" fillId="40" borderId="16" xfId="0" applyFont="1" applyFill="1" applyBorder="1" applyAlignment="1">
      <alignment horizontal="center" vertical="center" wrapText="1"/>
    </xf>
    <xf numFmtId="0" fontId="56" fillId="40" borderId="14" xfId="0" applyFont="1" applyFill="1" applyBorder="1" applyAlignment="1">
      <alignment horizontal="center" vertical="center" wrapText="1"/>
    </xf>
    <xf numFmtId="0" fontId="56" fillId="40" borderId="15" xfId="0" applyFont="1" applyFill="1" applyBorder="1" applyAlignment="1">
      <alignment horizontal="center" vertical="center" wrapText="1"/>
    </xf>
    <xf numFmtId="0" fontId="56" fillId="40" borderId="16" xfId="0" applyFont="1" applyFill="1" applyBorder="1" applyAlignment="1">
      <alignment horizontal="center" vertical="center" wrapText="1"/>
    </xf>
    <xf numFmtId="0" fontId="19" fillId="51" borderId="14" xfId="0" applyFont="1" applyFill="1" applyBorder="1" applyAlignment="1">
      <alignment horizontal="center" vertical="center" wrapText="1"/>
    </xf>
    <xf numFmtId="0" fontId="19" fillId="51" borderId="15" xfId="0" applyFont="1" applyFill="1" applyBorder="1" applyAlignment="1">
      <alignment horizontal="center" vertical="center" wrapText="1"/>
    </xf>
    <xf numFmtId="0" fontId="19" fillId="51" borderId="16" xfId="0" applyFont="1" applyFill="1" applyBorder="1" applyAlignment="1">
      <alignment horizontal="center" vertical="center" wrapText="1"/>
    </xf>
    <xf numFmtId="0" fontId="16" fillId="37" borderId="14" xfId="0" applyFont="1" applyFill="1" applyBorder="1" applyAlignment="1">
      <alignment horizontal="center" vertical="center"/>
    </xf>
    <xf numFmtId="0" fontId="16" fillId="37" borderId="15" xfId="0" applyFont="1" applyFill="1" applyBorder="1" applyAlignment="1">
      <alignment horizontal="center" vertical="center"/>
    </xf>
    <xf numFmtId="0" fontId="19" fillId="37" borderId="14" xfId="0" applyFont="1" applyFill="1" applyBorder="1" applyAlignment="1">
      <alignment horizontal="center" vertical="center" wrapText="1"/>
    </xf>
    <xf numFmtId="0" fontId="19" fillId="37" borderId="15" xfId="0" applyFont="1" applyFill="1" applyBorder="1" applyAlignment="1">
      <alignment horizontal="center" vertical="center" wrapText="1"/>
    </xf>
    <xf numFmtId="0" fontId="19" fillId="37" borderId="16" xfId="0" applyFont="1" applyFill="1" applyBorder="1" applyAlignment="1">
      <alignment horizontal="center" vertical="center" wrapText="1"/>
    </xf>
    <xf numFmtId="0" fontId="19" fillId="43" borderId="14" xfId="0" applyFont="1" applyFill="1" applyBorder="1" applyAlignment="1">
      <alignment horizontal="center" vertical="center" wrapText="1"/>
    </xf>
    <xf numFmtId="0" fontId="19" fillId="43" borderId="15" xfId="0" applyFont="1" applyFill="1" applyBorder="1" applyAlignment="1">
      <alignment horizontal="center" vertical="center" wrapText="1"/>
    </xf>
    <xf numFmtId="0" fontId="19" fillId="43" borderId="16" xfId="0" applyFont="1" applyFill="1" applyBorder="1" applyAlignment="1">
      <alignment horizontal="center" vertical="center" wrapText="1"/>
    </xf>
    <xf numFmtId="0" fontId="16" fillId="35" borderId="14" xfId="0" applyFont="1" applyFill="1" applyBorder="1" applyAlignment="1">
      <alignment horizontal="center" vertical="center"/>
    </xf>
    <xf numFmtId="0" fontId="16" fillId="35" borderId="15" xfId="0" applyFont="1" applyFill="1" applyBorder="1" applyAlignment="1">
      <alignment horizontal="center" vertical="center"/>
    </xf>
    <xf numFmtId="0" fontId="16" fillId="35" borderId="16" xfId="0" applyFont="1" applyFill="1" applyBorder="1" applyAlignment="1">
      <alignment horizontal="center" vertical="center"/>
    </xf>
    <xf numFmtId="0" fontId="56" fillId="35" borderId="14" xfId="0" applyFont="1" applyFill="1" applyBorder="1" applyAlignment="1">
      <alignment horizontal="center" vertical="center" wrapText="1"/>
    </xf>
    <xf numFmtId="0" fontId="56" fillId="35" borderId="15" xfId="0" applyFont="1" applyFill="1" applyBorder="1" applyAlignment="1">
      <alignment horizontal="center" vertical="center" wrapText="1"/>
    </xf>
    <xf numFmtId="0" fontId="56" fillId="35" borderId="16" xfId="0" applyFont="1" applyFill="1" applyBorder="1" applyAlignment="1">
      <alignment horizontal="center" vertical="center" wrapText="1"/>
    </xf>
    <xf numFmtId="0" fontId="16" fillId="37" borderId="16" xfId="0" applyFont="1" applyFill="1" applyBorder="1" applyAlignment="1">
      <alignment horizontal="center" vertical="center"/>
    </xf>
    <xf numFmtId="0" fontId="16" fillId="43" borderId="10" xfId="0" applyFont="1" applyFill="1" applyBorder="1" applyAlignment="1">
      <alignment horizontal="center" vertical="center"/>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16" fillId="45" borderId="14" xfId="0" applyFont="1" applyFill="1" applyBorder="1" applyAlignment="1">
      <alignment horizontal="center" vertical="center"/>
    </xf>
    <xf numFmtId="0" fontId="16" fillId="45" borderId="15" xfId="0" applyFont="1" applyFill="1" applyBorder="1" applyAlignment="1">
      <alignment horizontal="center" vertical="center"/>
    </xf>
    <xf numFmtId="0" fontId="19" fillId="35" borderId="10" xfId="0" applyFont="1" applyFill="1" applyBorder="1" applyAlignment="1">
      <alignment horizontal="center" vertical="center" wrapText="1"/>
    </xf>
    <xf numFmtId="0" fontId="19" fillId="45" borderId="14" xfId="0" applyFont="1" applyFill="1" applyBorder="1" applyAlignment="1">
      <alignment horizontal="center" vertical="center" wrapText="1"/>
    </xf>
    <xf numFmtId="0" fontId="19" fillId="45" borderId="15" xfId="0" applyFont="1" applyFill="1" applyBorder="1" applyAlignment="1">
      <alignment horizontal="center" vertical="center" wrapText="1"/>
    </xf>
    <xf numFmtId="0" fontId="19" fillId="45" borderId="16" xfId="0" applyFont="1" applyFill="1" applyBorder="1" applyAlignment="1">
      <alignment horizontal="center" vertical="center" wrapText="1"/>
    </xf>
    <xf numFmtId="0" fontId="0" fillId="35" borderId="14" xfId="0" applyFill="1" applyBorder="1" applyAlignment="1">
      <alignment horizontal="center" vertical="center"/>
    </xf>
    <xf numFmtId="0" fontId="0" fillId="35" borderId="15" xfId="0" applyFill="1" applyBorder="1" applyAlignment="1">
      <alignment horizontal="center" vertical="center"/>
    </xf>
    <xf numFmtId="0" fontId="0" fillId="35" borderId="16" xfId="0" applyFill="1" applyBorder="1" applyAlignment="1">
      <alignment horizontal="center" vertical="center"/>
    </xf>
    <xf numFmtId="0" fontId="41" fillId="46" borderId="18" xfId="0" applyFont="1" applyFill="1" applyBorder="1" applyAlignment="1">
      <alignment horizontal="center"/>
    </xf>
    <xf numFmtId="0" fontId="41" fillId="40" borderId="18" xfId="0" applyFont="1" applyFill="1" applyBorder="1" applyAlignment="1">
      <alignment horizontal="center"/>
    </xf>
    <xf numFmtId="0" fontId="16" fillId="40" borderId="14" xfId="0" applyFont="1" applyFill="1" applyBorder="1" applyAlignment="1">
      <alignment horizontal="center" vertical="center"/>
    </xf>
    <xf numFmtId="0" fontId="16" fillId="40" borderId="15" xfId="0" applyFont="1" applyFill="1" applyBorder="1" applyAlignment="1">
      <alignment horizontal="center" vertical="center"/>
    </xf>
    <xf numFmtId="0" fontId="16" fillId="40" borderId="16" xfId="0" applyFont="1" applyFill="1" applyBorder="1" applyAlignment="1">
      <alignment horizontal="center" vertical="center"/>
    </xf>
    <xf numFmtId="0" fontId="56" fillId="51" borderId="14" xfId="0" applyFont="1" applyFill="1" applyBorder="1" applyAlignment="1">
      <alignment horizontal="center" vertical="center" wrapText="1"/>
    </xf>
    <xf numFmtId="0" fontId="56" fillId="51" borderId="15" xfId="0" applyFont="1" applyFill="1" applyBorder="1" applyAlignment="1">
      <alignment horizontal="center" vertical="center" wrapText="1"/>
    </xf>
    <xf numFmtId="0" fontId="56" fillId="51" borderId="16"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16" fillId="36" borderId="10" xfId="0" applyFont="1" applyFill="1" applyBorder="1" applyAlignment="1">
      <alignment horizontal="center" vertical="center" wrapText="1"/>
    </xf>
    <xf numFmtId="0" fontId="52" fillId="40" borderId="15" xfId="0" applyFont="1" applyFill="1" applyBorder="1" applyAlignment="1">
      <alignment horizontal="center" vertical="center" wrapText="1"/>
    </xf>
    <xf numFmtId="0" fontId="52" fillId="40" borderId="16" xfId="0" applyFont="1" applyFill="1" applyBorder="1" applyAlignment="1">
      <alignment horizontal="center" vertical="center" wrapText="1"/>
    </xf>
    <xf numFmtId="0" fontId="41" fillId="54" borderId="18" xfId="0" applyFont="1" applyFill="1" applyBorder="1" applyAlignment="1">
      <alignment horizontal="center"/>
    </xf>
    <xf numFmtId="0" fontId="41" fillId="55" borderId="18" xfId="0" applyFont="1" applyFill="1" applyBorder="1" applyAlignment="1">
      <alignment horizontal="center"/>
    </xf>
    <xf numFmtId="0" fontId="19" fillId="34" borderId="10" xfId="0" applyFont="1" applyFill="1" applyBorder="1" applyAlignment="1">
      <alignment horizontal="center" vertical="center"/>
    </xf>
    <xf numFmtId="0" fontId="20" fillId="37" borderId="11" xfId="0" applyFont="1" applyFill="1" applyBorder="1" applyAlignment="1">
      <alignment horizontal="center" vertical="center"/>
    </xf>
    <xf numFmtId="0" fontId="20" fillId="37" borderId="12" xfId="0" applyFont="1" applyFill="1" applyBorder="1" applyAlignment="1">
      <alignment horizontal="center" vertical="center"/>
    </xf>
    <xf numFmtId="0" fontId="20" fillId="37" borderId="13" xfId="0" applyFont="1" applyFill="1" applyBorder="1" applyAlignment="1">
      <alignment horizontal="center" vertical="center"/>
    </xf>
    <xf numFmtId="0" fontId="47" fillId="49" borderId="0" xfId="0" applyFont="1" applyFill="1" applyAlignment="1">
      <alignment horizontal="center"/>
    </xf>
    <xf numFmtId="0" fontId="0" fillId="0" borderId="0" xfId="0" applyBorder="1" applyAlignment="1">
      <alignment horizontal="center"/>
    </xf>
    <xf numFmtId="0" fontId="23" fillId="42" borderId="14" xfId="0" applyFont="1" applyFill="1" applyBorder="1" applyAlignment="1">
      <alignment horizontal="center" vertical="center" wrapText="1"/>
    </xf>
    <xf numFmtId="0" fontId="23" fillId="42" borderId="15" xfId="0" applyFont="1" applyFill="1" applyBorder="1" applyAlignment="1">
      <alignment horizontal="center" vertical="center" wrapText="1"/>
    </xf>
    <xf numFmtId="0" fontId="23" fillId="42" borderId="16" xfId="0" applyFont="1" applyFill="1" applyBorder="1" applyAlignment="1">
      <alignment horizontal="center" vertical="center" wrapText="1"/>
    </xf>
    <xf numFmtId="0" fontId="20" fillId="44" borderId="11" xfId="0" applyFont="1" applyFill="1" applyBorder="1" applyAlignment="1">
      <alignment horizontal="center" vertical="center" wrapText="1"/>
    </xf>
    <xf numFmtId="0" fontId="20" fillId="44" borderId="12" xfId="0" applyFont="1" applyFill="1" applyBorder="1" applyAlignment="1">
      <alignment horizontal="center" vertical="center" wrapText="1"/>
    </xf>
    <xf numFmtId="0" fontId="20" fillId="44" borderId="13" xfId="0" applyFont="1" applyFill="1" applyBorder="1" applyAlignment="1">
      <alignment horizontal="center" vertical="center" wrapText="1"/>
    </xf>
    <xf numFmtId="0" fontId="20" fillId="35" borderId="11" xfId="0" applyFont="1" applyFill="1" applyBorder="1" applyAlignment="1">
      <alignment horizontal="center" vertical="center"/>
    </xf>
    <xf numFmtId="0" fontId="20" fillId="35" borderId="12" xfId="0" applyFont="1" applyFill="1" applyBorder="1" applyAlignment="1">
      <alignment horizontal="center" vertical="center"/>
    </xf>
    <xf numFmtId="0" fontId="20" fillId="35" borderId="13" xfId="0" applyFont="1" applyFill="1" applyBorder="1" applyAlignment="1">
      <alignment horizontal="center" vertical="center"/>
    </xf>
    <xf numFmtId="0" fontId="20" fillId="35" borderId="11" xfId="0" applyFont="1" applyFill="1" applyBorder="1" applyAlignment="1">
      <alignment horizontal="left" vertical="center"/>
    </xf>
    <xf numFmtId="0" fontId="20" fillId="35" borderId="13" xfId="0" applyFont="1" applyFill="1" applyBorder="1" applyAlignment="1">
      <alignment horizontal="left" vertical="center"/>
    </xf>
    <xf numFmtId="0" fontId="0" fillId="42" borderId="14" xfId="0" applyFill="1" applyBorder="1" applyAlignment="1">
      <alignment horizontal="center" vertical="center"/>
    </xf>
    <xf numFmtId="0" fontId="0" fillId="42" borderId="15" xfId="0" applyFill="1" applyBorder="1" applyAlignment="1">
      <alignment horizontal="center" vertical="center"/>
    </xf>
    <xf numFmtId="0" fontId="0" fillId="42" borderId="16" xfId="0" applyFill="1" applyBorder="1" applyAlignment="1">
      <alignment horizontal="center" vertical="center"/>
    </xf>
    <xf numFmtId="0" fontId="48" fillId="35" borderId="11" xfId="0" applyFont="1" applyFill="1" applyBorder="1" applyAlignment="1">
      <alignment horizontal="center" vertical="center" wrapText="1"/>
    </xf>
    <xf numFmtId="0" fontId="48" fillId="35" borderId="12" xfId="0" applyFont="1" applyFill="1" applyBorder="1" applyAlignment="1">
      <alignment horizontal="center" vertical="center" wrapText="1"/>
    </xf>
    <xf numFmtId="0" fontId="48" fillId="35" borderId="13" xfId="0" applyFont="1" applyFill="1" applyBorder="1" applyAlignment="1">
      <alignment horizontal="center" vertical="center" wrapText="1"/>
    </xf>
    <xf numFmtId="0" fontId="20" fillId="44" borderId="10" xfId="0" applyFont="1" applyFill="1" applyBorder="1" applyAlignment="1">
      <alignment horizontal="center" vertical="center"/>
    </xf>
    <xf numFmtId="0" fontId="20" fillId="44" borderId="10" xfId="0" applyFont="1" applyFill="1" applyBorder="1" applyAlignment="1">
      <alignment horizontal="center" vertical="center" wrapText="1"/>
    </xf>
    <xf numFmtId="0" fontId="20" fillId="37" borderId="10" xfId="0" applyFont="1" applyFill="1" applyBorder="1" applyAlignment="1">
      <alignment horizontal="center" vertical="center" wrapText="1"/>
    </xf>
    <xf numFmtId="0" fontId="20" fillId="37" borderId="10" xfId="0" applyFont="1" applyFill="1" applyBorder="1" applyAlignment="1">
      <alignment horizontal="left" vertical="center"/>
    </xf>
    <xf numFmtId="0" fontId="20" fillId="35" borderId="11" xfId="0" applyFont="1" applyFill="1" applyBorder="1" applyAlignment="1">
      <alignment horizontal="center" vertical="center" wrapText="1"/>
    </xf>
    <xf numFmtId="0" fontId="20" fillId="35" borderId="12" xfId="0" applyFont="1" applyFill="1" applyBorder="1" applyAlignment="1">
      <alignment horizontal="center" vertical="center" wrapText="1"/>
    </xf>
    <xf numFmtId="0" fontId="20" fillId="35" borderId="13" xfId="0" applyFont="1" applyFill="1" applyBorder="1" applyAlignment="1">
      <alignment horizontal="center" vertical="center" wrapText="1"/>
    </xf>
    <xf numFmtId="0" fontId="20" fillId="37" borderId="11" xfId="0" applyFont="1" applyFill="1" applyBorder="1" applyAlignment="1">
      <alignment horizontal="center" vertical="center" wrapText="1"/>
    </xf>
    <xf numFmtId="0" fontId="20" fillId="37" borderId="12" xfId="0" applyFont="1" applyFill="1" applyBorder="1" applyAlignment="1">
      <alignment horizontal="center" vertical="center" wrapText="1"/>
    </xf>
    <xf numFmtId="0" fontId="20" fillId="37" borderId="13" xfId="0" applyFont="1" applyFill="1" applyBorder="1" applyAlignment="1">
      <alignment horizontal="center" vertical="center" wrapText="1"/>
    </xf>
    <xf numFmtId="0" fontId="20" fillId="37" borderId="11" xfId="0" applyFont="1" applyFill="1" applyBorder="1" applyAlignment="1">
      <alignment horizontal="left" vertical="center"/>
    </xf>
    <xf numFmtId="0" fontId="20" fillId="37" borderId="13" xfId="0" applyFont="1" applyFill="1" applyBorder="1" applyAlignment="1">
      <alignment horizontal="left" vertical="center"/>
    </xf>
    <xf numFmtId="0" fontId="42" fillId="43" borderId="10" xfId="0" applyFont="1" applyFill="1" applyBorder="1" applyAlignment="1">
      <alignment horizontal="center" wrapText="1"/>
    </xf>
    <xf numFmtId="0" fontId="43" fillId="33" borderId="10" xfId="0" applyFont="1" applyFill="1" applyBorder="1" applyAlignment="1">
      <alignment horizontal="center" wrapText="1"/>
    </xf>
    <xf numFmtId="0" fontId="44" fillId="47" borderId="10" xfId="0" applyFont="1" applyFill="1" applyBorder="1" applyAlignment="1">
      <alignment horizontal="center" wrapText="1"/>
    </xf>
    <xf numFmtId="9" fontId="0" fillId="51" borderId="10" xfId="43" applyFont="1" applyFill="1" applyBorder="1" applyAlignment="1">
      <alignment horizontal="center"/>
    </xf>
    <xf numFmtId="0" fontId="0" fillId="51" borderId="10" xfId="43" applyNumberFormat="1" applyFont="1" applyFill="1" applyBorder="1" applyAlignment="1">
      <alignment horizontal="center"/>
    </xf>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7"/>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 name="표준 10" xfId="48"/>
    <cellStyle name="표준 2 2" xfId="45"/>
    <cellStyle name="표준 2 4" xfId="44"/>
    <cellStyle name="표준 4" xfId="46"/>
  </cellStyles>
  <dxfs count="354">
    <dxf>
      <fill>
        <patternFill>
          <bgColor rgb="FF00B0F0"/>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theme="0"/>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rgb="FFFF0000"/>
      </font>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rgb="FFFF0000"/>
      </font>
    </dxf>
    <dxf>
      <font>
        <color rgb="FFFF0000"/>
      </font>
    </dxf>
    <dxf>
      <font>
        <color rgb="FFFF0000"/>
      </font>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FF000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rgb="FFFF0000"/>
      </font>
    </dxf>
    <dxf>
      <font>
        <color rgb="FFFF0000"/>
      </font>
    </dxf>
    <dxf>
      <font>
        <color rgb="FFFF0000"/>
      </font>
    </dxf>
    <dxf>
      <font>
        <color rgb="FFFF0000"/>
      </font>
    </dxf>
    <dxf>
      <font>
        <color rgb="FFFF0000"/>
      </font>
    </dxf>
    <dxf>
      <fill>
        <patternFill>
          <bgColor rgb="FFFFFF00"/>
        </patternFill>
      </fill>
    </dxf>
    <dxf>
      <fill>
        <patternFill>
          <bgColor rgb="FFFFFF99"/>
        </patternFill>
      </fill>
    </dxf>
    <dxf>
      <font>
        <color rgb="FFFF0000"/>
      </font>
    </dxf>
    <dxf>
      <font>
        <color rgb="FFFF0000"/>
      </font>
    </dxf>
    <dxf>
      <font>
        <color rgb="FFFF0000"/>
      </font>
    </dxf>
    <dxf>
      <font>
        <color rgb="FFFF0000"/>
      </font>
    </dxf>
    <dxf>
      <font>
        <color rgb="FFFF0000"/>
      </font>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theme="0"/>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00B050"/>
      </font>
    </dxf>
    <dxf>
      <font>
        <color rgb="FF00B050"/>
      </font>
    </dxf>
    <dxf>
      <font>
        <color rgb="FF00B050"/>
      </font>
    </dxf>
    <dxf>
      <font>
        <color rgb="FF00B050"/>
      </font>
    </dxf>
    <dxf>
      <font>
        <color rgb="FF00B05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FA7C2"/>
      <color rgb="FFEB95C0"/>
      <color rgb="FFDF818E"/>
      <color rgb="FFEFA9B3"/>
      <color rgb="FFEA9AB3"/>
      <color rgb="FF99FFCC"/>
      <color rgb="FFFF9966"/>
      <color rgb="FFFFFFCC"/>
      <color rgb="FFCCE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66675</xdr:rowOff>
    </xdr:from>
    <xdr:to>
      <xdr:col>2</xdr:col>
      <xdr:colOff>590550</xdr:colOff>
      <xdr:row>3</xdr:row>
      <xdr:rowOff>19050</xdr:rowOff>
    </xdr:to>
    <xdr:pic>
      <xdr:nvPicPr>
        <xdr:cNvPr id="2" name="그림 6" descr="백색바탕.png"/>
        <xdr:cNvPicPr>
          <a:picLocks noChangeAspect="1"/>
        </xdr:cNvPicPr>
      </xdr:nvPicPr>
      <xdr:blipFill>
        <a:blip xmlns:r="http://schemas.openxmlformats.org/officeDocument/2006/relationships" r:embed="rId1" cstate="print"/>
        <a:srcRect/>
        <a:stretch>
          <a:fillRect/>
        </a:stretch>
      </xdr:blipFill>
      <xdr:spPr bwMode="auto">
        <a:xfrm>
          <a:off x="95250" y="66675"/>
          <a:ext cx="891540" cy="47815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144780</xdr:colOff>
      <xdr:row>4</xdr:row>
      <xdr:rowOff>144780</xdr:rowOff>
    </xdr:from>
    <xdr:to>
      <xdr:col>5</xdr:col>
      <xdr:colOff>1554480</xdr:colOff>
      <xdr:row>7</xdr:row>
      <xdr:rowOff>60960</xdr:rowOff>
    </xdr:to>
    <xdr:sp macro="[0]!Rectangle1_Click" textlink="">
      <xdr:nvSpPr>
        <xdr:cNvPr id="2" name="Rectangle 1"/>
        <xdr:cNvSpPr/>
      </xdr:nvSpPr>
      <xdr:spPr>
        <a:xfrm>
          <a:off x="4267200" y="990600"/>
          <a:ext cx="1409700" cy="419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VT_Team\Caring%20plan\2017\Final\Member_Results\VC%20DCV%20VT_%20KPI_Mark%20Calculation_Member_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01_VT_Team\Caring%20plan\2017\Final\Member_Results\VC%20DCV%20VT_%20KPI_Mark%20Calculation_Member_v2.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02.%20PROJECTS%20MANAGEMENT\03.%20Reports\03.%20KPI%20Review\VT2-KPI\2019%20KPI\2nd%20half\Target%20for%20H2\Part1\VT2_Part1_2019_1st%20Half%20Result%20and%202nd%20Half%20Targ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ocLe_Mark"/>
      <sheetName val="LocLe_Caring_Data"/>
      <sheetName val="ThuNguyen_Mark"/>
      <sheetName val="ThuNguyen_Caring_Data"/>
      <sheetName val="NgocDang_Mark"/>
      <sheetName val="NgocDang_Caring_Data"/>
      <sheetName val="HienQuach_Mark"/>
      <sheetName val="HienQuach_Caring_Data"/>
      <sheetName val="LyNguyen_Mark"/>
      <sheetName val="LyNguyen_Caring_Data"/>
      <sheetName val="PhuongPham_Mark"/>
      <sheetName val="PhuongPham_Caring_Data"/>
      <sheetName val="TruongDao_Mark"/>
      <sheetName val="TruongDao_Caring_Data"/>
      <sheetName val="NgoanKhuong_Mark"/>
      <sheetName val="NgoanKhuong_Caring_Data"/>
      <sheetName val="HaTo_Mark"/>
      <sheetName val="HaTo_Caring_Data"/>
      <sheetName val="ThuyLe_Mark"/>
      <sheetName val="ThuyLe_Caring_Data"/>
      <sheetName val="HanhDuong_Mark"/>
      <sheetName val="HanhDuong_Caring_Data"/>
      <sheetName val="NganDo_Mark"/>
      <sheetName val="NganDo_Caring_Data"/>
      <sheetName val="DiuLe_Mark"/>
      <sheetName val="DiuLe_Caring_Data"/>
      <sheetName val="ChiVuong_Mark"/>
      <sheetName val="ChiVuong_Caring_Data"/>
      <sheetName val="Test Leader_Mark"/>
      <sheetName val="Part Leader_Mark"/>
      <sheetName val="Reference"/>
      <sheetName val="Working_Hr_Dail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Le_Mark"/>
      <sheetName val="LocLe_Caring_Data"/>
      <sheetName val="Thu Nguyen_Mark"/>
      <sheetName val="ThuNguyen_Caring_Data"/>
      <sheetName val="NgocDang_Mark"/>
      <sheetName val="NgocDang_Caring_Data"/>
      <sheetName val="HienQuach_Mark"/>
      <sheetName val="HienQuach_Caring_Data"/>
      <sheetName val="Ly Nguyen_Mark"/>
      <sheetName val="LyNguyen_Caring_Data"/>
      <sheetName val="PhuongPham_Mark"/>
      <sheetName val="PhuongPham_Caring_Data"/>
      <sheetName val="TruongDao_Mark"/>
      <sheetName val="TruongDao_Caring_Data"/>
      <sheetName val="NgoanKhuong_Mark"/>
      <sheetName val="NgoanKhuong_Caring_Data"/>
      <sheetName val="HaTo_Mark"/>
      <sheetName val="HaTo_Caring_Data"/>
      <sheetName val="ThuyLe_Mark"/>
      <sheetName val="ThuyLe_Caring_Data"/>
      <sheetName val="NganDo_Mark"/>
      <sheetName val="NganDo_Caring_Data"/>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2019_Target_FIT_SWT"/>
      <sheetName val="2019_Target_ST"/>
      <sheetName val="Part leader_Indexes"/>
      <sheetName val="KPI_FIT_SWT_Indexes"/>
      <sheetName val="KPI_ST_Indexes"/>
      <sheetName val="Reference"/>
      <sheetName val="Data_HQWBS"/>
      <sheetName val="Summary_ICAS3_SWT"/>
      <sheetName val="Productivity_Trend_Member"/>
      <sheetName val="Productivity_Trend_Project"/>
    </sheetNames>
    <sheetDataSet>
      <sheetData sheetId="0"/>
      <sheetData sheetId="1"/>
      <sheetData sheetId="2"/>
      <sheetData sheetId="3"/>
      <sheetData sheetId="4">
        <row r="35">
          <cell r="B35" t="str">
            <v>Junior</v>
          </cell>
        </row>
      </sheetData>
      <sheetData sheetId="5">
        <row r="8">
          <cell r="D8" t="str">
            <v>Create TCs Focused productivity</v>
          </cell>
        </row>
        <row r="35">
          <cell r="B35" t="str">
            <v>Junior</v>
          </cell>
          <cell r="C35">
            <v>3</v>
          </cell>
        </row>
        <row r="36">
          <cell r="B36" t="str">
            <v>Senior</v>
          </cell>
          <cell r="C36">
            <v>4</v>
          </cell>
        </row>
        <row r="37">
          <cell r="B37" t="str">
            <v>Test Leader</v>
          </cell>
          <cell r="C37">
            <v>5</v>
          </cell>
        </row>
      </sheetData>
      <sheetData sheetId="6"/>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Thuy2.pham@lge.com" TargetMode="External"/><Relationship Id="rId13" Type="http://schemas.openxmlformats.org/officeDocument/2006/relationships/hyperlink" Target="mailto:Thuynga.nguyen@lge.com" TargetMode="External"/><Relationship Id="rId18" Type="http://schemas.openxmlformats.org/officeDocument/2006/relationships/hyperlink" Target="mailto:Thuy2.pham@lge.com" TargetMode="External"/><Relationship Id="rId26" Type="http://schemas.openxmlformats.org/officeDocument/2006/relationships/hyperlink" Target="mailto:Lan.nguyen@lge.com" TargetMode="External"/><Relationship Id="rId3" Type="http://schemas.openxmlformats.org/officeDocument/2006/relationships/hyperlink" Target="mailto:Lan.hoang@lge.com" TargetMode="External"/><Relationship Id="rId21" Type="http://schemas.openxmlformats.org/officeDocument/2006/relationships/hyperlink" Target="mailto:hoangphong.nguyen@lge.com" TargetMode="External"/><Relationship Id="rId7" Type="http://schemas.openxmlformats.org/officeDocument/2006/relationships/hyperlink" Target="mailto:Kimoanh.nguyen@lge.com" TargetMode="External"/><Relationship Id="rId12" Type="http://schemas.openxmlformats.org/officeDocument/2006/relationships/hyperlink" Target="mailto:Phuong1.nguyen@lge.com" TargetMode="External"/><Relationship Id="rId17" Type="http://schemas.openxmlformats.org/officeDocument/2006/relationships/hyperlink" Target="mailto:kimoanh.nguyen@lge.com" TargetMode="External"/><Relationship Id="rId25" Type="http://schemas.openxmlformats.org/officeDocument/2006/relationships/hyperlink" Target="mailto:Phuong1.nguyen@lge.com" TargetMode="External"/><Relationship Id="rId2" Type="http://schemas.openxmlformats.org/officeDocument/2006/relationships/hyperlink" Target="https://www.ksvpro.vn/c/cuongtran.html" TargetMode="External"/><Relationship Id="rId16" Type="http://schemas.openxmlformats.org/officeDocument/2006/relationships/hyperlink" Target="mailto:kimoanh.nguyen@lge.com" TargetMode="External"/><Relationship Id="rId20" Type="http://schemas.openxmlformats.org/officeDocument/2006/relationships/hyperlink" Target="mailto:Anh.to@lge.com" TargetMode="External"/><Relationship Id="rId29" Type="http://schemas.openxmlformats.org/officeDocument/2006/relationships/hyperlink" Target="mailto:Thuynga.nguyen@lge.com" TargetMode="External"/><Relationship Id="rId1" Type="http://schemas.openxmlformats.org/officeDocument/2006/relationships/hyperlink" Target="https://www.ksvpro.vn/c/vt2_bichdo.html" TargetMode="External"/><Relationship Id="rId6" Type="http://schemas.openxmlformats.org/officeDocument/2006/relationships/hyperlink" Target="mailto:Thuy1.le@lge.com" TargetMode="External"/><Relationship Id="rId11" Type="http://schemas.openxmlformats.org/officeDocument/2006/relationships/hyperlink" Target="mailto:Kimoanh.nguyen@lge.com" TargetMode="External"/><Relationship Id="rId24" Type="http://schemas.openxmlformats.org/officeDocument/2006/relationships/hyperlink" Target="mailto:Lan.nguyen@lge.com" TargetMode="External"/><Relationship Id="rId5" Type="http://schemas.openxmlformats.org/officeDocument/2006/relationships/hyperlink" Target="mailto:Cuong.tran@lge.com" TargetMode="External"/><Relationship Id="rId15" Type="http://schemas.openxmlformats.org/officeDocument/2006/relationships/hyperlink" Target="mailto:kimoanh.nguyen@lge.com" TargetMode="External"/><Relationship Id="rId23" Type="http://schemas.openxmlformats.org/officeDocument/2006/relationships/hyperlink" Target="mailto:Lan.nguyen@lge.com" TargetMode="External"/><Relationship Id="rId28" Type="http://schemas.openxmlformats.org/officeDocument/2006/relationships/hyperlink" Target="mailto:Lan.hoang@lge.com" TargetMode="External"/><Relationship Id="rId10" Type="http://schemas.openxmlformats.org/officeDocument/2006/relationships/hyperlink" Target="mailto:Trang2.le@lge.com" TargetMode="External"/><Relationship Id="rId19" Type="http://schemas.openxmlformats.org/officeDocument/2006/relationships/hyperlink" Target="mailto:nguyet2.nguyen@lge.com" TargetMode="External"/><Relationship Id="rId31" Type="http://schemas.openxmlformats.org/officeDocument/2006/relationships/printerSettings" Target="../printerSettings/printerSettings4.bin"/><Relationship Id="rId4" Type="http://schemas.openxmlformats.org/officeDocument/2006/relationships/hyperlink" Target="mailto:Lan.nguyen@lge.com" TargetMode="External"/><Relationship Id="rId9" Type="http://schemas.openxmlformats.org/officeDocument/2006/relationships/hyperlink" Target="mailto:vi2.nguyen@lge.com" TargetMode="External"/><Relationship Id="rId14" Type="http://schemas.openxmlformats.org/officeDocument/2006/relationships/hyperlink" Target="mailto:Lan.nguyen@lge.com" TargetMode="External"/><Relationship Id="rId22" Type="http://schemas.openxmlformats.org/officeDocument/2006/relationships/hyperlink" Target="mailto:Lan.nguyen@lge.com" TargetMode="External"/><Relationship Id="rId27" Type="http://schemas.openxmlformats.org/officeDocument/2006/relationships/hyperlink" Target="mailto:Lan.nguyen@lge.com" TargetMode="External"/><Relationship Id="rId30" Type="http://schemas.openxmlformats.org/officeDocument/2006/relationships/hyperlink" Target="mailto:hoangphong.nguyen@lge.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4:G47"/>
  <sheetViews>
    <sheetView showGridLines="0" zoomScaleNormal="100" workbookViewId="0">
      <selection activeCell="D38" sqref="D38"/>
    </sheetView>
  </sheetViews>
  <sheetFormatPr defaultColWidth="9" defaultRowHeight="13.8"/>
  <cols>
    <col min="1" max="2" width="2.88671875" style="198" customWidth="1"/>
    <col min="3" max="3" width="11.33203125" style="225" customWidth="1"/>
    <col min="4" max="4" width="11.33203125" style="200" customWidth="1"/>
    <col min="5" max="5" width="59.88671875" style="198" customWidth="1"/>
    <col min="6" max="6" width="18.88671875" style="198" customWidth="1"/>
    <col min="7" max="7" width="19.109375" style="198" customWidth="1"/>
    <col min="8" max="16384" width="9" style="198"/>
  </cols>
  <sheetData>
    <row r="4" spans="2:7">
      <c r="C4" s="267" t="s">
        <v>313</v>
      </c>
      <c r="D4" s="268"/>
      <c r="E4" s="268"/>
      <c r="F4" s="268"/>
      <c r="G4" s="268"/>
    </row>
    <row r="5" spans="2:7">
      <c r="C5" s="268"/>
      <c r="D5" s="268"/>
      <c r="E5" s="268"/>
      <c r="F5" s="268"/>
      <c r="G5" s="268"/>
    </row>
    <row r="6" spans="2:7">
      <c r="C6" s="268"/>
      <c r="D6" s="268"/>
      <c r="E6" s="268"/>
      <c r="F6" s="268"/>
      <c r="G6" s="268"/>
    </row>
    <row r="7" spans="2:7" ht="27.9" customHeight="1">
      <c r="C7" s="269" t="s">
        <v>300</v>
      </c>
      <c r="D7" s="270"/>
      <c r="E7" s="270"/>
      <c r="F7" s="270"/>
      <c r="G7" s="270"/>
    </row>
    <row r="8" spans="2:7" ht="23.25" customHeight="1">
      <c r="B8" s="199" t="s">
        <v>282</v>
      </c>
      <c r="C8" s="199" t="s">
        <v>283</v>
      </c>
    </row>
    <row r="9" spans="2:7">
      <c r="C9" s="263" t="s">
        <v>284</v>
      </c>
      <c r="D9" s="263"/>
      <c r="E9" s="271" t="s">
        <v>314</v>
      </c>
      <c r="F9" s="271"/>
      <c r="G9" s="271"/>
    </row>
    <row r="10" spans="2:7" ht="43.5" customHeight="1">
      <c r="C10" s="263" t="s">
        <v>285</v>
      </c>
      <c r="D10" s="263"/>
      <c r="E10" s="272" t="s">
        <v>301</v>
      </c>
      <c r="F10" s="273"/>
      <c r="G10" s="273"/>
    </row>
    <row r="11" spans="2:7">
      <c r="C11" s="263" t="s">
        <v>286</v>
      </c>
      <c r="D11" s="263"/>
      <c r="E11" s="264" t="s">
        <v>287</v>
      </c>
      <c r="F11" s="265"/>
      <c r="G11" s="265"/>
    </row>
    <row r="13" spans="2:7" ht="23.25" customHeight="1">
      <c r="B13" s="199" t="s">
        <v>288</v>
      </c>
      <c r="C13" s="199" t="s">
        <v>289</v>
      </c>
    </row>
    <row r="14" spans="2:7">
      <c r="C14" s="201" t="s">
        <v>290</v>
      </c>
      <c r="D14" s="202" t="s">
        <v>291</v>
      </c>
      <c r="E14" s="203" t="s">
        <v>292</v>
      </c>
      <c r="F14" s="204" t="s">
        <v>293</v>
      </c>
      <c r="G14" s="204" t="s">
        <v>2</v>
      </c>
    </row>
    <row r="15" spans="2:7">
      <c r="C15" s="205" t="s">
        <v>294</v>
      </c>
      <c r="D15" s="206">
        <v>43141</v>
      </c>
      <c r="E15" s="207" t="s">
        <v>297</v>
      </c>
      <c r="F15" s="208" t="s">
        <v>296</v>
      </c>
      <c r="G15" s="208"/>
    </row>
    <row r="16" spans="2:7">
      <c r="C16" s="205" t="s">
        <v>298</v>
      </c>
      <c r="D16" s="206">
        <v>43476</v>
      </c>
      <c r="E16" s="207" t="s">
        <v>299</v>
      </c>
      <c r="F16" s="208" t="s">
        <v>296</v>
      </c>
      <c r="G16" s="208"/>
    </row>
    <row r="17" spans="3:7">
      <c r="C17" s="205"/>
      <c r="D17" s="206"/>
      <c r="E17" s="207"/>
      <c r="F17" s="208"/>
      <c r="G17" s="208"/>
    </row>
    <row r="18" spans="3:7">
      <c r="C18" s="209"/>
      <c r="D18" s="210"/>
      <c r="E18" s="211"/>
      <c r="F18" s="212"/>
      <c r="G18" s="212"/>
    </row>
    <row r="19" spans="3:7">
      <c r="C19" s="209"/>
      <c r="D19" s="210"/>
      <c r="E19" s="211"/>
      <c r="F19" s="212"/>
      <c r="G19" s="212"/>
    </row>
    <row r="20" spans="3:7">
      <c r="C20" s="209"/>
      <c r="D20" s="210"/>
      <c r="E20" s="211"/>
      <c r="F20" s="212"/>
      <c r="G20" s="212"/>
    </row>
    <row r="21" spans="3:7">
      <c r="C21" s="209"/>
      <c r="D21" s="210"/>
      <c r="E21" s="211"/>
      <c r="F21" s="212"/>
      <c r="G21" s="212"/>
    </row>
    <row r="22" spans="3:7">
      <c r="C22" s="209"/>
      <c r="D22" s="210"/>
      <c r="E22" s="211"/>
      <c r="F22" s="212"/>
      <c r="G22" s="212"/>
    </row>
    <row r="23" spans="3:7">
      <c r="C23" s="209"/>
      <c r="D23" s="210"/>
      <c r="E23" s="211"/>
      <c r="F23" s="212"/>
      <c r="G23" s="212"/>
    </row>
    <row r="24" spans="3:7">
      <c r="C24" s="209"/>
      <c r="D24" s="213"/>
      <c r="E24" s="214"/>
      <c r="F24" s="215"/>
      <c r="G24" s="212"/>
    </row>
    <row r="25" spans="3:7">
      <c r="C25" s="209"/>
      <c r="D25" s="213"/>
      <c r="E25" s="214"/>
      <c r="F25" s="215"/>
      <c r="G25" s="212"/>
    </row>
    <row r="26" spans="3:7">
      <c r="C26" s="209"/>
      <c r="D26" s="213"/>
      <c r="E26" s="214"/>
      <c r="F26" s="215"/>
      <c r="G26" s="212"/>
    </row>
    <row r="27" spans="3:7">
      <c r="C27" s="209"/>
      <c r="D27" s="213"/>
      <c r="E27" s="214"/>
      <c r="F27" s="215"/>
      <c r="G27" s="212"/>
    </row>
    <row r="28" spans="3:7">
      <c r="C28" s="209"/>
      <c r="D28" s="213"/>
      <c r="E28" s="214"/>
      <c r="F28" s="215"/>
      <c r="G28" s="212"/>
    </row>
    <row r="29" spans="3:7">
      <c r="C29" s="209"/>
      <c r="D29" s="213"/>
      <c r="E29" s="214"/>
      <c r="F29" s="215"/>
      <c r="G29" s="212"/>
    </row>
    <row r="30" spans="3:7">
      <c r="C30" s="209"/>
      <c r="D30" s="213"/>
      <c r="E30" s="214"/>
      <c r="F30" s="215"/>
      <c r="G30" s="212"/>
    </row>
    <row r="31" spans="3:7">
      <c r="C31" s="209"/>
      <c r="D31" s="213"/>
      <c r="E31" s="214"/>
      <c r="F31" s="215"/>
      <c r="G31" s="212"/>
    </row>
    <row r="32" spans="3:7">
      <c r="C32" s="209"/>
      <c r="D32" s="213"/>
      <c r="E32" s="214"/>
      <c r="F32" s="215"/>
      <c r="G32" s="212"/>
    </row>
    <row r="33" spans="2:7">
      <c r="C33" s="209"/>
      <c r="D33" s="213"/>
      <c r="E33" s="214"/>
      <c r="F33" s="215"/>
      <c r="G33" s="212"/>
    </row>
    <row r="34" spans="2:7">
      <c r="C34" s="209"/>
      <c r="D34" s="213"/>
      <c r="E34" s="214"/>
      <c r="F34" s="215"/>
      <c r="G34" s="212"/>
    </row>
    <row r="35" spans="2:7">
      <c r="C35" s="209"/>
      <c r="D35" s="213"/>
      <c r="E35" s="214"/>
      <c r="F35" s="215"/>
      <c r="G35" s="212"/>
    </row>
    <row r="36" spans="2:7">
      <c r="C36" s="209"/>
      <c r="D36" s="213"/>
      <c r="E36" s="214"/>
      <c r="F36" s="215"/>
      <c r="G36" s="212"/>
    </row>
    <row r="37" spans="2:7">
      <c r="C37" s="209"/>
      <c r="D37" s="213"/>
      <c r="E37" s="214"/>
      <c r="F37" s="215"/>
      <c r="G37" s="212"/>
    </row>
    <row r="38" spans="2:7">
      <c r="C38" s="209"/>
      <c r="D38" s="213"/>
      <c r="E38" s="214"/>
      <c r="F38" s="215"/>
      <c r="G38" s="212"/>
    </row>
    <row r="39" spans="2:7">
      <c r="C39" s="209"/>
      <c r="D39" s="213"/>
      <c r="E39" s="214"/>
      <c r="F39" s="215"/>
      <c r="G39" s="212"/>
    </row>
    <row r="40" spans="2:7">
      <c r="C40" s="209"/>
      <c r="D40" s="213"/>
      <c r="E40" s="214"/>
      <c r="F40" s="215"/>
      <c r="G40" s="212"/>
    </row>
    <row r="41" spans="2:7">
      <c r="C41" s="216"/>
      <c r="D41" s="217"/>
      <c r="E41" s="218"/>
      <c r="F41" s="219"/>
      <c r="G41" s="220"/>
    </row>
    <row r="42" spans="2:7">
      <c r="C42" s="201"/>
      <c r="D42" s="202"/>
      <c r="E42" s="203"/>
      <c r="F42" s="204"/>
      <c r="G42" s="204"/>
    </row>
    <row r="43" spans="2:7">
      <c r="C43" s="221"/>
      <c r="D43" s="222"/>
      <c r="E43" s="223"/>
      <c r="F43" s="223"/>
      <c r="G43" s="224"/>
    </row>
    <row r="44" spans="2:7">
      <c r="C44" s="221"/>
      <c r="D44" s="222"/>
      <c r="E44" s="223"/>
      <c r="F44" s="223"/>
      <c r="G44" s="224"/>
    </row>
    <row r="45" spans="2:7">
      <c r="C45" s="221"/>
      <c r="D45" s="222"/>
      <c r="E45" s="223"/>
      <c r="F45" s="223"/>
      <c r="G45" s="224"/>
    </row>
    <row r="46" spans="2:7" ht="14.25" customHeight="1"/>
    <row r="47" spans="2:7" ht="86.25" customHeight="1">
      <c r="B47" s="266" t="s">
        <v>295</v>
      </c>
      <c r="C47" s="266"/>
      <c r="D47" s="266"/>
      <c r="E47" s="266"/>
      <c r="F47" s="266"/>
      <c r="G47" s="266"/>
    </row>
  </sheetData>
  <mergeCells count="9">
    <mergeCell ref="C11:D11"/>
    <mergeCell ref="E11:G11"/>
    <mergeCell ref="B47:G47"/>
    <mergeCell ref="C4:G6"/>
    <mergeCell ref="C7:G7"/>
    <mergeCell ref="C9:D9"/>
    <mergeCell ref="E9:G9"/>
    <mergeCell ref="C10:D10"/>
    <mergeCell ref="E10:G10"/>
  </mergeCells>
  <printOptions horizontalCentered="1"/>
  <pageMargins left="0.51181102362204722" right="0.51181102362204722" top="0.74803149606299213" bottom="0.74803149606299213" header="0.31496062992125984" footer="0.31496062992125984"/>
  <pageSetup paperSize="9" scale="7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51"/>
  <sheetViews>
    <sheetView showGridLines="0" tabSelected="1" workbookViewId="0">
      <selection activeCell="J25" sqref="J25"/>
    </sheetView>
  </sheetViews>
  <sheetFormatPr defaultColWidth="9.109375" defaultRowHeight="13.2"/>
  <cols>
    <col min="1" max="1" width="23.6640625" style="2" customWidth="1"/>
    <col min="2" max="5" width="9.109375" style="2"/>
    <col min="6" max="6" width="39" style="2" customWidth="1"/>
    <col min="7" max="8" width="9.109375" style="2"/>
    <col min="9" max="9" width="11.77734375" style="2" customWidth="1"/>
    <col min="10" max="12" width="9.109375" style="2"/>
    <col min="13" max="15" width="1.88671875" style="2" customWidth="1"/>
    <col min="16" max="16" width="36.44140625" style="2" customWidth="1"/>
    <col min="17" max="17" width="15.77734375" style="2" customWidth="1"/>
    <col min="18" max="18" width="16.5546875" style="2" customWidth="1"/>
    <col min="19" max="19" width="18.5546875" style="2" customWidth="1"/>
    <col min="20" max="25" width="18.109375" style="2" customWidth="1"/>
    <col min="26" max="16384" width="9.109375" style="2"/>
  </cols>
  <sheetData>
    <row r="1" spans="1:23" s="1" customFormat="1">
      <c r="A1" s="1" t="s">
        <v>22</v>
      </c>
      <c r="P1" s="274"/>
      <c r="Q1" s="274"/>
      <c r="R1" s="274"/>
      <c r="S1" s="274"/>
      <c r="T1" s="274"/>
      <c r="U1" s="274"/>
      <c r="V1" s="274"/>
      <c r="W1" s="274"/>
    </row>
    <row r="2" spans="1:23" ht="13.8">
      <c r="A2" s="4" t="s">
        <v>8</v>
      </c>
      <c r="B2" s="4" t="s">
        <v>9</v>
      </c>
      <c r="C2" s="4" t="s">
        <v>10</v>
      </c>
      <c r="D2" s="4" t="s">
        <v>11</v>
      </c>
      <c r="E2" s="4" t="s">
        <v>12</v>
      </c>
      <c r="F2" s="4" t="s">
        <v>13</v>
      </c>
      <c r="G2" s="4" t="s">
        <v>31</v>
      </c>
      <c r="H2" s="4" t="s">
        <v>14</v>
      </c>
      <c r="I2" s="4" t="s">
        <v>15</v>
      </c>
      <c r="J2" s="4" t="s">
        <v>16</v>
      </c>
      <c r="K2" s="4" t="s">
        <v>17</v>
      </c>
      <c r="L2" s="4" t="s">
        <v>18</v>
      </c>
      <c r="P2" s="274"/>
      <c r="Q2" s="16"/>
      <c r="R2" s="16"/>
      <c r="S2" s="17"/>
      <c r="T2" s="17"/>
      <c r="U2" s="17"/>
      <c r="V2" s="17"/>
      <c r="W2" s="274"/>
    </row>
    <row r="3" spans="1:23">
      <c r="A3" s="4"/>
      <c r="B3" s="4"/>
      <c r="C3" s="4"/>
      <c r="D3" s="4"/>
      <c r="E3" s="4"/>
      <c r="F3" s="4"/>
      <c r="G3" s="4">
        <v>22</v>
      </c>
      <c r="H3" s="4">
        <v>23</v>
      </c>
      <c r="I3" s="4">
        <v>20</v>
      </c>
      <c r="J3" s="4">
        <v>23</v>
      </c>
      <c r="K3" s="4">
        <v>22</v>
      </c>
      <c r="L3" s="4">
        <v>21</v>
      </c>
      <c r="P3" s="275" t="s">
        <v>36</v>
      </c>
      <c r="Q3" s="275" t="s">
        <v>37</v>
      </c>
      <c r="R3" s="275"/>
      <c r="S3" s="275"/>
      <c r="T3" s="275"/>
      <c r="U3" s="275"/>
      <c r="V3" s="275"/>
      <c r="W3" s="275" t="s">
        <v>2</v>
      </c>
    </row>
    <row r="4" spans="1:23" ht="26.4">
      <c r="A4" s="9"/>
      <c r="B4" s="9"/>
      <c r="C4" s="9"/>
      <c r="D4" s="9"/>
      <c r="E4" s="9"/>
      <c r="F4" s="9"/>
      <c r="G4" s="9">
        <f>G3</f>
        <v>22</v>
      </c>
      <c r="H4" s="9">
        <f>SUM($G$3:H$3)</f>
        <v>45</v>
      </c>
      <c r="I4" s="9">
        <f>SUM($G$3:I$3)</f>
        <v>65</v>
      </c>
      <c r="J4" s="9">
        <f>SUM($G$3:J$3)</f>
        <v>88</v>
      </c>
      <c r="K4" s="9">
        <f>SUM($G$3:K$3)</f>
        <v>110</v>
      </c>
      <c r="L4" s="9">
        <f>SUM($G$3:L$3)</f>
        <v>131</v>
      </c>
      <c r="P4" s="275"/>
      <c r="Q4" s="24" t="s">
        <v>315</v>
      </c>
      <c r="R4" s="24" t="s">
        <v>316</v>
      </c>
      <c r="S4" s="25" t="s">
        <v>317</v>
      </c>
      <c r="T4" s="25" t="s">
        <v>318</v>
      </c>
      <c r="U4" s="25" t="s">
        <v>319</v>
      </c>
      <c r="V4" s="13"/>
      <c r="W4" s="275"/>
    </row>
    <row r="5" spans="1:23">
      <c r="A5" s="3"/>
      <c r="P5" s="275"/>
      <c r="Q5" s="22">
        <v>2</v>
      </c>
      <c r="R5" s="22">
        <v>3</v>
      </c>
      <c r="S5" s="22">
        <v>4</v>
      </c>
      <c r="T5" s="128"/>
      <c r="U5" s="128"/>
      <c r="V5" s="22"/>
      <c r="W5" s="10"/>
    </row>
    <row r="6" spans="1:23">
      <c r="A6" s="3"/>
      <c r="P6" s="132" t="s">
        <v>23</v>
      </c>
      <c r="Q6" s="131"/>
      <c r="R6" s="131">
        <v>23</v>
      </c>
      <c r="S6" s="131"/>
      <c r="T6" s="131"/>
      <c r="U6" s="131">
        <v>29</v>
      </c>
      <c r="V6" s="131"/>
      <c r="W6" s="8"/>
    </row>
    <row r="7" spans="1:23">
      <c r="A7" s="3"/>
      <c r="P7" s="132" t="s">
        <v>4</v>
      </c>
      <c r="Q7" s="131"/>
      <c r="R7" s="131">
        <v>25</v>
      </c>
      <c r="S7" s="131"/>
      <c r="T7" s="131"/>
      <c r="U7" s="131">
        <v>45</v>
      </c>
      <c r="V7" s="131"/>
      <c r="W7" s="8"/>
    </row>
    <row r="8" spans="1:23">
      <c r="A8" s="3"/>
      <c r="P8" s="12" t="s">
        <v>6</v>
      </c>
      <c r="Q8" s="133"/>
      <c r="R8" s="133"/>
      <c r="S8" s="133"/>
      <c r="T8" s="133"/>
      <c r="U8" s="133"/>
      <c r="V8" s="133"/>
      <c r="W8" s="8"/>
    </row>
    <row r="9" spans="1:23" ht="13.8">
      <c r="A9" s="23" t="s">
        <v>45</v>
      </c>
      <c r="B9" s="275" t="s">
        <v>30</v>
      </c>
      <c r="C9" s="275"/>
      <c r="D9" s="275"/>
      <c r="F9" s="248" t="s">
        <v>320</v>
      </c>
      <c r="G9" s="8">
        <v>4.1140000000000034</v>
      </c>
      <c r="H9" s="2">
        <v>3.8899999999999997</v>
      </c>
      <c r="P9" s="129" t="s">
        <v>20</v>
      </c>
      <c r="Q9" s="131">
        <v>50</v>
      </c>
      <c r="R9" s="131">
        <v>35</v>
      </c>
      <c r="S9" s="131">
        <v>37</v>
      </c>
      <c r="T9" s="131">
        <v>29</v>
      </c>
      <c r="U9" s="131">
        <v>40</v>
      </c>
      <c r="V9" s="131"/>
      <c r="W9" s="8"/>
    </row>
    <row r="10" spans="1:23" ht="13.8">
      <c r="A10" s="24" t="s">
        <v>315</v>
      </c>
      <c r="B10" s="276"/>
      <c r="C10" s="277"/>
      <c r="D10" s="278"/>
      <c r="F10" s="192" t="s">
        <v>321</v>
      </c>
      <c r="G10" s="8">
        <v>3.6100000000000017</v>
      </c>
      <c r="H10" s="2">
        <v>3.55</v>
      </c>
      <c r="P10" s="15" t="s">
        <v>221</v>
      </c>
      <c r="Q10" s="134">
        <v>0.95</v>
      </c>
      <c r="R10" s="134"/>
      <c r="S10" s="134"/>
      <c r="T10" s="134"/>
      <c r="U10" s="134"/>
      <c r="V10" s="134"/>
      <c r="W10" s="15"/>
    </row>
    <row r="11" spans="1:23" ht="13.8">
      <c r="A11" s="24" t="s">
        <v>316</v>
      </c>
      <c r="B11" s="276"/>
      <c r="C11" s="277"/>
      <c r="D11" s="278"/>
      <c r="F11" s="192" t="s">
        <v>322</v>
      </c>
      <c r="G11" s="8">
        <v>3.5649999999999813</v>
      </c>
      <c r="H11" s="2">
        <v>3.4499999999999997</v>
      </c>
      <c r="P11" s="130" t="s">
        <v>43</v>
      </c>
      <c r="Q11" s="137"/>
      <c r="R11" s="137">
        <v>0.03</v>
      </c>
      <c r="S11" s="137"/>
      <c r="T11" s="137">
        <v>0.05</v>
      </c>
      <c r="U11" s="137">
        <v>0.05</v>
      </c>
      <c r="V11" s="137"/>
      <c r="W11" s="15"/>
    </row>
    <row r="12" spans="1:23" ht="13.8">
      <c r="A12" s="25" t="s">
        <v>317</v>
      </c>
      <c r="B12" s="276"/>
      <c r="C12" s="277"/>
      <c r="D12" s="278"/>
      <c r="F12" s="192" t="s">
        <v>323</v>
      </c>
      <c r="G12" s="8">
        <v>4.0250000000000012</v>
      </c>
      <c r="H12" s="2">
        <v>4.3500000000000005</v>
      </c>
      <c r="P12" s="14" t="s">
        <v>38</v>
      </c>
      <c r="Q12" s="135"/>
      <c r="R12" s="135"/>
      <c r="S12" s="135"/>
      <c r="T12" s="135"/>
      <c r="U12" s="135"/>
      <c r="V12" s="135"/>
      <c r="W12" s="14"/>
    </row>
    <row r="13" spans="1:23" ht="13.8">
      <c r="A13" s="25" t="s">
        <v>318</v>
      </c>
      <c r="B13" s="276"/>
      <c r="C13" s="277"/>
      <c r="D13" s="278"/>
      <c r="F13" s="248" t="s">
        <v>324</v>
      </c>
      <c r="G13" s="8">
        <v>4.0569999999999871</v>
      </c>
      <c r="H13" s="2">
        <v>3.8499999999999996</v>
      </c>
      <c r="P13" s="14" t="s">
        <v>39</v>
      </c>
      <c r="Q13" s="135"/>
      <c r="R13" s="135"/>
      <c r="S13" s="135"/>
      <c r="T13" s="135"/>
      <c r="U13" s="135"/>
      <c r="V13" s="135"/>
      <c r="W13" s="14"/>
    </row>
    <row r="14" spans="1:23" ht="13.8">
      <c r="A14" s="25" t="s">
        <v>319</v>
      </c>
      <c r="B14" s="276"/>
      <c r="C14" s="277"/>
      <c r="D14" s="278"/>
      <c r="F14" s="248" t="s">
        <v>325</v>
      </c>
      <c r="G14" s="8">
        <v>3.9099999999999917</v>
      </c>
      <c r="H14" s="2">
        <v>4.12</v>
      </c>
      <c r="P14" s="14" t="s">
        <v>40</v>
      </c>
      <c r="Q14" s="135"/>
      <c r="R14" s="135"/>
      <c r="S14" s="135"/>
      <c r="T14" s="135"/>
      <c r="U14" s="135"/>
      <c r="V14" s="135"/>
      <c r="W14" s="14"/>
    </row>
    <row r="15" spans="1:23" ht="27.6">
      <c r="F15" s="248" t="s">
        <v>326</v>
      </c>
      <c r="G15" s="8">
        <v>4.1220000000000026</v>
      </c>
      <c r="H15" s="2">
        <v>4.16</v>
      </c>
      <c r="P15" s="14" t="s">
        <v>41</v>
      </c>
      <c r="Q15" s="135"/>
      <c r="R15" s="135"/>
      <c r="S15" s="135"/>
      <c r="T15" s="135"/>
      <c r="U15" s="135"/>
      <c r="V15" s="136"/>
      <c r="W15" s="14"/>
    </row>
    <row r="16" spans="1:23" ht="13.8">
      <c r="F16" s="192" t="s">
        <v>328</v>
      </c>
      <c r="G16" s="8">
        <v>3.4499999999999713</v>
      </c>
      <c r="H16" s="2">
        <v>3.2</v>
      </c>
      <c r="P16" s="14" t="s">
        <v>42</v>
      </c>
      <c r="Q16" s="135"/>
      <c r="R16" s="135"/>
      <c r="S16" s="135"/>
      <c r="T16" s="135"/>
      <c r="U16" s="135"/>
      <c r="V16" s="135"/>
      <c r="W16" s="14"/>
    </row>
    <row r="17" spans="1:23" ht="13.8">
      <c r="F17" s="192" t="s">
        <v>329</v>
      </c>
      <c r="G17" s="8">
        <v>3.8000000000000025</v>
      </c>
      <c r="H17" s="2">
        <v>3.8</v>
      </c>
      <c r="P17" s="11" t="s">
        <v>24</v>
      </c>
      <c r="Q17" s="133"/>
      <c r="R17" s="133"/>
      <c r="S17" s="133"/>
      <c r="T17" s="133"/>
      <c r="U17" s="133"/>
      <c r="V17" s="133"/>
      <c r="W17" s="8"/>
    </row>
    <row r="18" spans="1:23" ht="13.8">
      <c r="F18" s="248" t="s">
        <v>330</v>
      </c>
      <c r="G18" s="8">
        <v>3.7100000000000013</v>
      </c>
      <c r="H18" s="2">
        <v>3.9999999999999996</v>
      </c>
      <c r="P18" s="11" t="s">
        <v>21</v>
      </c>
      <c r="Q18" s="133"/>
      <c r="R18" s="133"/>
      <c r="S18" s="133"/>
      <c r="T18" s="133"/>
      <c r="U18" s="133"/>
      <c r="V18" s="133"/>
      <c r="W18" s="8"/>
    </row>
    <row r="19" spans="1:23" ht="13.8">
      <c r="F19" s="192" t="s">
        <v>331</v>
      </c>
      <c r="G19" s="8">
        <v>2.8099999999999055</v>
      </c>
      <c r="H19" s="2">
        <v>3</v>
      </c>
      <c r="P19" s="12" t="s">
        <v>25</v>
      </c>
      <c r="Q19" s="133"/>
      <c r="R19" s="133"/>
      <c r="S19" s="133"/>
      <c r="T19" s="133"/>
      <c r="U19" s="133"/>
      <c r="V19" s="133"/>
      <c r="W19" s="8"/>
    </row>
    <row r="20" spans="1:23" ht="13.8">
      <c r="F20" s="192" t="s">
        <v>332</v>
      </c>
      <c r="G20" s="8">
        <v>3.7099999999999547</v>
      </c>
      <c r="H20" s="2">
        <v>3.85</v>
      </c>
      <c r="P20" s="11" t="s">
        <v>27</v>
      </c>
      <c r="Q20" s="133"/>
      <c r="R20" s="133"/>
      <c r="S20" s="133"/>
      <c r="T20" s="133"/>
      <c r="U20" s="133"/>
      <c r="V20" s="133"/>
      <c r="W20" s="8"/>
    </row>
    <row r="21" spans="1:23" ht="13.8">
      <c r="F21" s="192" t="s">
        <v>327</v>
      </c>
      <c r="G21" s="8">
        <v>3.2699999999999574</v>
      </c>
      <c r="H21" s="2">
        <v>3.6000000000000005</v>
      </c>
      <c r="P21" s="11" t="s">
        <v>220</v>
      </c>
      <c r="Q21" s="133"/>
      <c r="R21" s="133"/>
      <c r="S21" s="133"/>
      <c r="T21" s="133"/>
      <c r="U21" s="133"/>
      <c r="V21" s="133"/>
      <c r="W21" s="8"/>
    </row>
    <row r="29" spans="1:23">
      <c r="A29" s="41" t="s">
        <v>167</v>
      </c>
    </row>
    <row r="30" spans="1:23">
      <c r="A30" s="8" t="s">
        <v>35</v>
      </c>
    </row>
    <row r="31" spans="1:23">
      <c r="A31" s="8" t="s">
        <v>146</v>
      </c>
    </row>
    <row r="32" spans="1:23">
      <c r="A32" s="8" t="s">
        <v>55</v>
      </c>
    </row>
    <row r="33" spans="1:16">
      <c r="A33" s="228" t="s">
        <v>307</v>
      </c>
    </row>
    <row r="34" spans="1:16">
      <c r="A34" s="8" t="s">
        <v>185</v>
      </c>
      <c r="O34" s="127" t="s">
        <v>0</v>
      </c>
      <c r="P34" s="127" t="s">
        <v>44</v>
      </c>
    </row>
    <row r="35" spans="1:16">
      <c r="A35" s="8" t="s">
        <v>280</v>
      </c>
      <c r="O35" s="4">
        <v>1</v>
      </c>
      <c r="P35" s="24"/>
    </row>
    <row r="36" spans="1:16">
      <c r="A36" s="8" t="s">
        <v>34</v>
      </c>
      <c r="O36" s="4">
        <v>2</v>
      </c>
      <c r="P36" s="24"/>
    </row>
    <row r="37" spans="1:16">
      <c r="O37" s="4">
        <v>3</v>
      </c>
      <c r="P37" s="25"/>
    </row>
    <row r="38" spans="1:16">
      <c r="O38" s="4">
        <v>4</v>
      </c>
      <c r="P38" s="25"/>
    </row>
    <row r="39" spans="1:16">
      <c r="O39" s="4">
        <v>5</v>
      </c>
      <c r="P39" s="8"/>
    </row>
    <row r="40" spans="1:16">
      <c r="O40" s="4">
        <v>6</v>
      </c>
      <c r="P40" s="8"/>
    </row>
    <row r="41" spans="1:16">
      <c r="O41" s="4">
        <v>7</v>
      </c>
      <c r="P41" s="8"/>
    </row>
    <row r="42" spans="1:16">
      <c r="O42" s="4">
        <v>8</v>
      </c>
      <c r="P42" s="8"/>
    </row>
    <row r="43" spans="1:16">
      <c r="O43" s="4">
        <v>9</v>
      </c>
      <c r="P43" s="8"/>
    </row>
    <row r="44" spans="1:16">
      <c r="O44" s="4">
        <v>10</v>
      </c>
      <c r="P44" s="8"/>
    </row>
    <row r="45" spans="1:16">
      <c r="O45" s="4">
        <v>11</v>
      </c>
      <c r="P45" s="8"/>
    </row>
    <row r="46" spans="1:16">
      <c r="O46" s="4">
        <v>12</v>
      </c>
      <c r="P46" s="8"/>
    </row>
    <row r="47" spans="1:16">
      <c r="O47" s="4">
        <v>13</v>
      </c>
      <c r="P47" s="8"/>
    </row>
    <row r="48" spans="1:16">
      <c r="O48" s="4">
        <v>14</v>
      </c>
      <c r="P48" s="8"/>
    </row>
    <row r="49" spans="15:16">
      <c r="O49" s="4">
        <v>15</v>
      </c>
      <c r="P49" s="8"/>
    </row>
    <row r="50" spans="15:16">
      <c r="O50" s="4">
        <v>16</v>
      </c>
      <c r="P50" s="8"/>
    </row>
    <row r="51" spans="15:16">
      <c r="O51" s="4">
        <v>17</v>
      </c>
      <c r="P51" s="8"/>
    </row>
  </sheetData>
  <mergeCells count="12">
    <mergeCell ref="B14:D14"/>
    <mergeCell ref="B9:D9"/>
    <mergeCell ref="B10:D10"/>
    <mergeCell ref="B11:D11"/>
    <mergeCell ref="B12:D12"/>
    <mergeCell ref="B13:D13"/>
    <mergeCell ref="Q1:V1"/>
    <mergeCell ref="P1:P2"/>
    <mergeCell ref="W1:W2"/>
    <mergeCell ref="W3:W4"/>
    <mergeCell ref="Q3:V3"/>
    <mergeCell ref="P3:P5"/>
  </mergeCells>
  <conditionalFormatting sqref="Q2:R2">
    <cfRule type="duplicateValues" dxfId="353" priority="25"/>
  </conditionalFormatting>
  <conditionalFormatting sqref="A10:A11">
    <cfRule type="duplicateValues" dxfId="352" priority="22"/>
  </conditionalFormatting>
  <conditionalFormatting sqref="P3 P6:P20">
    <cfRule type="duplicateValues" dxfId="351" priority="1467"/>
  </conditionalFormatting>
  <conditionalFormatting sqref="P35:P36">
    <cfRule type="duplicateValues" dxfId="350" priority="6"/>
  </conditionalFormatting>
  <conditionalFormatting sqref="P21">
    <cfRule type="duplicateValues" dxfId="349" priority="5"/>
  </conditionalFormatting>
  <conditionalFormatting sqref="Q4">
    <cfRule type="duplicateValues" dxfId="348" priority="4"/>
  </conditionalFormatting>
  <conditionalFormatting sqref="R4">
    <cfRule type="duplicateValues" dxfId="347" priority="3"/>
  </conditionalFormatting>
  <conditionalFormatting sqref="G9:G21">
    <cfRule type="cellIs" dxfId="1" priority="2" operator="between">
      <formula>0</formula>
      <formula>3.89</formula>
    </cfRule>
    <cfRule type="cellIs" dxfId="0" priority="1" operator="between">
      <formula>3.9</formula>
      <formula>4.19</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C1:AD99"/>
  <sheetViews>
    <sheetView showGridLines="0" topLeftCell="D31" zoomScale="90" zoomScaleNormal="90" workbookViewId="0">
      <selection activeCell="D3" sqref="D3"/>
    </sheetView>
  </sheetViews>
  <sheetFormatPr defaultRowHeight="14.4"/>
  <cols>
    <col min="1" max="2" width="1.44140625" customWidth="1"/>
    <col min="3" max="3" width="14.88671875" customWidth="1"/>
    <col min="4" max="4" width="44.21875" style="39" customWidth="1"/>
    <col min="5" max="5" width="26.88671875" style="39" hidden="1" customWidth="1"/>
    <col min="6" max="6" width="24.6640625" customWidth="1"/>
    <col min="7" max="9" width="8.5546875" customWidth="1"/>
    <col min="10" max="10" width="10.44140625" customWidth="1"/>
    <col min="11" max="15" width="1.6640625" customWidth="1"/>
    <col min="16" max="16" width="25.6640625" customWidth="1"/>
    <col min="17" max="17" width="12.44140625" customWidth="1"/>
    <col min="18" max="19" width="10" customWidth="1"/>
    <col min="20" max="20" width="16.44140625" customWidth="1"/>
    <col min="21" max="21" width="34.109375" customWidth="1"/>
    <col min="22" max="22" width="12.44140625" customWidth="1"/>
    <col min="23" max="23" width="8.88671875" customWidth="1"/>
    <col min="24" max="24" width="10.109375" customWidth="1"/>
    <col min="25" max="25" width="13" hidden="1" customWidth="1"/>
    <col min="26" max="27" width="2" customWidth="1"/>
    <col min="28" max="28" width="8.88671875" style="42" customWidth="1"/>
    <col min="29" max="29" width="9.109375" style="42" customWidth="1"/>
    <col min="30" max="30" width="10.44140625" style="42" bestFit="1" customWidth="1"/>
  </cols>
  <sheetData>
    <row r="1" spans="3:30">
      <c r="D1" s="60"/>
      <c r="E1" s="60"/>
      <c r="F1" s="50"/>
      <c r="G1" s="50"/>
      <c r="H1" s="50"/>
      <c r="I1" s="50"/>
      <c r="J1" s="50"/>
      <c r="AB1" s="301" t="s">
        <v>147</v>
      </c>
      <c r="AC1" s="301"/>
      <c r="AD1" s="275" t="s">
        <v>148</v>
      </c>
    </row>
    <row r="2" spans="3:30" ht="18">
      <c r="C2" s="61" t="s">
        <v>30</v>
      </c>
      <c r="D2" s="21" t="s">
        <v>318</v>
      </c>
      <c r="E2" s="50"/>
      <c r="F2" s="50"/>
      <c r="G2" s="50"/>
      <c r="H2" s="50"/>
      <c r="I2" s="50"/>
      <c r="J2" s="50"/>
      <c r="P2" s="305" t="s">
        <v>151</v>
      </c>
      <c r="Q2" s="306"/>
      <c r="R2" s="307"/>
      <c r="S2" s="125"/>
      <c r="T2" s="126">
        <f>Q6*S6+Q14*S14+Q22*S22+Q30*S30+Q38*S38+Q46*S46+Q54*S54</f>
        <v>3.2699999999999574</v>
      </c>
      <c r="U2" s="126">
        <f>$Q$6*$T$6+$Q$14*$T$14+$Q$22*$T$22+$Q$30*$T$30+$Q$38*$T$38+$Q$46*$T$46+$Q$54*$T$54</f>
        <v>3.6000000000000005</v>
      </c>
      <c r="AB2" s="43" t="s">
        <v>149</v>
      </c>
      <c r="AC2" s="43" t="s">
        <v>150</v>
      </c>
      <c r="AD2" s="275"/>
    </row>
    <row r="3" spans="3:30">
      <c r="C3" s="61" t="s">
        <v>44</v>
      </c>
      <c r="D3" s="248" t="s">
        <v>327</v>
      </c>
      <c r="E3" s="50"/>
      <c r="F3" s="50"/>
      <c r="G3" s="50"/>
      <c r="H3" s="50"/>
      <c r="I3" s="195"/>
      <c r="J3" s="51"/>
      <c r="AB3" s="44">
        <f t="shared" ref="AB3:AB51" si="0">AC4+0.01%</f>
        <v>0.9926000999999991</v>
      </c>
      <c r="AC3" s="44">
        <f>AC4+0.75%</f>
        <v>1.0000000999999992</v>
      </c>
      <c r="AD3" s="45">
        <v>5</v>
      </c>
    </row>
    <row r="4" spans="3:30">
      <c r="D4" s="60"/>
      <c r="E4" s="60"/>
      <c r="F4" s="56"/>
      <c r="G4" s="56"/>
      <c r="H4" s="56"/>
      <c r="I4" s="56"/>
      <c r="J4" s="57"/>
      <c r="Q4" s="99">
        <f>SUM(Q6,Q14,Q22,Q30,Q38,Q46,Q54)</f>
        <v>1</v>
      </c>
      <c r="AB4" s="46">
        <f t="shared" si="0"/>
        <v>0.98519999999999908</v>
      </c>
      <c r="AC4" s="46">
        <f>AC5+0.74001%</f>
        <v>0.99250009999999911</v>
      </c>
      <c r="AD4" s="47">
        <v>4.9000000000000004</v>
      </c>
    </row>
    <row r="5" spans="3:30">
      <c r="C5" s="58" t="s">
        <v>178</v>
      </c>
      <c r="D5" s="58" t="s">
        <v>164</v>
      </c>
      <c r="E5" s="58" t="s">
        <v>168</v>
      </c>
      <c r="F5" s="58" t="s">
        <v>159</v>
      </c>
      <c r="G5" s="58" t="s">
        <v>163</v>
      </c>
      <c r="H5" s="58" t="s">
        <v>1</v>
      </c>
      <c r="I5" s="58" t="s">
        <v>145</v>
      </c>
      <c r="J5" s="59" t="s">
        <v>160</v>
      </c>
      <c r="P5" s="59" t="s">
        <v>159</v>
      </c>
      <c r="Q5" s="59" t="s">
        <v>163</v>
      </c>
      <c r="R5" s="59" t="s">
        <v>152</v>
      </c>
      <c r="S5" s="59" t="s">
        <v>57</v>
      </c>
      <c r="T5" s="178" t="s">
        <v>196</v>
      </c>
      <c r="U5" s="59" t="s">
        <v>160</v>
      </c>
      <c r="V5" s="59" t="s">
        <v>162</v>
      </c>
      <c r="W5" s="59"/>
      <c r="X5" s="59"/>
      <c r="Y5" s="59" t="s">
        <v>195</v>
      </c>
      <c r="AB5" s="48">
        <f t="shared" si="0"/>
        <v>0.97769999999999913</v>
      </c>
      <c r="AC5" s="48">
        <f t="shared" ref="AC5:AC21" si="1">AC6+0.75%</f>
        <v>0.98509999999999909</v>
      </c>
      <c r="AD5" s="49">
        <v>4.8</v>
      </c>
    </row>
    <row r="6" spans="3:30">
      <c r="C6" s="62"/>
      <c r="D6" s="63"/>
      <c r="E6" s="63"/>
      <c r="F6" s="62"/>
      <c r="G6" s="66">
        <f>SUM(G7:G99)</f>
        <v>1.0000000000000002</v>
      </c>
      <c r="H6" s="62"/>
      <c r="I6" s="62"/>
      <c r="J6" s="64"/>
      <c r="P6" s="318" t="s">
        <v>35</v>
      </c>
      <c r="Q6" s="324">
        <f>SUMIFS($G$7:$G$99,$F$7:$F$99,$P$6)</f>
        <v>0.5</v>
      </c>
      <c r="R6" s="327">
        <f>IFERROR(SUM(X6:X12)/SUM(V6:V13),0)</f>
        <v>0.96250000000000002</v>
      </c>
      <c r="S6" s="279">
        <f>IFERROR(LOOKUP(2,1/($AB$3:$AB$52&lt;=R6)/($AC$3:$AC$52&gt;=R6),$AD$3:$AD$52),0)</f>
        <v>4.5</v>
      </c>
      <c r="T6" s="279">
        <f>IFERROR(ROUND(S6,0),0)</f>
        <v>5</v>
      </c>
      <c r="U6" s="69" t="s">
        <v>153</v>
      </c>
      <c r="V6" s="40">
        <f>COUNTIFS(F:F,$P6,J:J,"="&amp;0)</f>
        <v>0</v>
      </c>
      <c r="W6" s="40">
        <v>0.85</v>
      </c>
      <c r="X6" s="40">
        <f>V6*W6</f>
        <v>0</v>
      </c>
      <c r="Y6" s="279">
        <f>IFERROR(LOOKUP(2,1/($AB$3:$AB$52&lt;=R6)/($AC$3:$AC$52&gt;=R6),$AD$3:$AD$52),0)</f>
        <v>4.5</v>
      </c>
      <c r="AB6" s="48">
        <f t="shared" si="0"/>
        <v>0.97019999999999917</v>
      </c>
      <c r="AC6" s="48">
        <f t="shared" si="1"/>
        <v>0.97759999999999914</v>
      </c>
      <c r="AD6" s="49">
        <v>4.7</v>
      </c>
    </row>
    <row r="7" spans="3:30" ht="53.4">
      <c r="C7" s="25">
        <v>1</v>
      </c>
      <c r="D7" s="87" t="s">
        <v>23</v>
      </c>
      <c r="E7" s="87" t="s">
        <v>169</v>
      </c>
      <c r="F7" s="88" t="s">
        <v>35</v>
      </c>
      <c r="G7" s="89">
        <f>IF(ISBLANK(VLOOKUP($D$3,MemberData!$D$6:$JY$18,$C7*3+1,0)),"",VLOOKUP($D$3,MemberData!$D$6:$JY$18,$C7*3+1,0))</f>
        <v>0</v>
      </c>
      <c r="H7" s="90">
        <f>IF(ISBLANK(VLOOKUP($D$3,MemberData!$D$6:$JY$18,$C7*3+2,0)),"",VLOOKUP($D$3,MemberData!$D$6:$JY$18,$C7*3+2,0))</f>
        <v>0</v>
      </c>
      <c r="I7" s="90">
        <f>IF(ISBLANK(VLOOKUP($D$3,MemberData!$D$6:$JY$18,$C7*3+3,0)),"",VLOOKUP($D$3,MemberData!$D$6:$JY$18,$C7*3+3,0))</f>
        <v>0</v>
      </c>
      <c r="J7" s="91" t="str">
        <f>IFERROR((I7-H7)/H7,"NA")</f>
        <v>NA</v>
      </c>
      <c r="P7" s="318"/>
      <c r="Q7" s="325"/>
      <c r="R7" s="328"/>
      <c r="S7" s="280"/>
      <c r="T7" s="280"/>
      <c r="U7" s="69" t="s">
        <v>154</v>
      </c>
      <c r="V7" s="40">
        <f>COUNTIFS(F:F,$P6,J:J,"&gt;"&amp;0,J:J,"&lt;="&amp;0.1)</f>
        <v>0</v>
      </c>
      <c r="W7" s="40">
        <v>0.88749999999999996</v>
      </c>
      <c r="X7" s="40">
        <f t="shared" ref="X7:X37" si="2">V7*W7</f>
        <v>0</v>
      </c>
      <c r="Y7" s="280"/>
      <c r="AB7" s="48">
        <f t="shared" si="0"/>
        <v>0.96269999999999922</v>
      </c>
      <c r="AC7" s="48">
        <f t="shared" si="1"/>
        <v>0.97009999999999919</v>
      </c>
      <c r="AD7" s="49">
        <v>4.5999999999999996</v>
      </c>
    </row>
    <row r="8" spans="3:30" ht="27">
      <c r="C8" s="25">
        <f>C7+1</f>
        <v>2</v>
      </c>
      <c r="D8" s="229" t="s">
        <v>303</v>
      </c>
      <c r="E8" s="87" t="s">
        <v>5</v>
      </c>
      <c r="F8" s="88" t="s">
        <v>35</v>
      </c>
      <c r="G8" s="89">
        <f>IF(ISBLANK(VLOOKUP($D$3,MemberData!$D$6:$JY$18,$C8*3+1,0)),"",VLOOKUP($D$3,MemberData!$D$6:$JY$18,$C8*3+1,0))</f>
        <v>0</v>
      </c>
      <c r="H8" s="90">
        <f>IF(ISBLANK(VLOOKUP($D$3,MemberData!$D$6:$JY$18,$C8*3+2,0)),"",VLOOKUP($D$3,MemberData!$D$6:$JY$18,$C8*3+2,0))</f>
        <v>0</v>
      </c>
      <c r="I8" s="90">
        <f>IF(ISBLANK(VLOOKUP($D$3,MemberData!$D$6:$JY$18,$C8*3+3,0)),"",VLOOKUP($D$3,MemberData!$D$6:$JY$18,$C8*3+3,0))</f>
        <v>0</v>
      </c>
      <c r="J8" s="91" t="str">
        <f t="shared" ref="J8:J71" si="3">IFERROR((I8-H8)/H8,"NA")</f>
        <v>NA</v>
      </c>
      <c r="P8" s="318"/>
      <c r="Q8" s="325"/>
      <c r="R8" s="328"/>
      <c r="S8" s="280"/>
      <c r="T8" s="280"/>
      <c r="U8" s="69" t="s">
        <v>155</v>
      </c>
      <c r="V8" s="40">
        <f>COUNTIFS(F:F,$P6,J:J,"&gt;"&amp;0.1,J:J,"&lt;="&amp;0.2)</f>
        <v>1</v>
      </c>
      <c r="W8" s="40">
        <v>0.92500000000000004</v>
      </c>
      <c r="X8" s="40">
        <f t="shared" si="2"/>
        <v>0.92500000000000004</v>
      </c>
      <c r="Y8" s="280"/>
      <c r="AB8" s="48">
        <f t="shared" si="0"/>
        <v>0.95519999999999927</v>
      </c>
      <c r="AC8" s="48">
        <f t="shared" si="1"/>
        <v>0.96259999999999923</v>
      </c>
      <c r="AD8" s="49">
        <v>4.5</v>
      </c>
    </row>
    <row r="9" spans="3:30" ht="27">
      <c r="C9" s="25">
        <f t="shared" ref="C9:C72" si="4">C8+1</f>
        <v>3</v>
      </c>
      <c r="D9" s="229" t="s">
        <v>302</v>
      </c>
      <c r="E9" s="87" t="s">
        <v>7</v>
      </c>
      <c r="F9" s="88" t="s">
        <v>35</v>
      </c>
      <c r="G9" s="89">
        <f>IF(ISBLANK(VLOOKUP($D$3,MemberData!$D$6:$JY$18,$C9*3+1,0)),"",VLOOKUP($D$3,MemberData!$D$6:$JY$18,$C9*3+1,0))</f>
        <v>0.25</v>
      </c>
      <c r="H9" s="90">
        <f>IF(ISBLANK(VLOOKUP($D$3,MemberData!$D$6:$JY$18,$C9*3+2,0)),"",VLOOKUP($D$3,MemberData!$D$6:$JY$18,$C9*3+2,0))</f>
        <v>8</v>
      </c>
      <c r="I9" s="90">
        <f>IF(ISBLANK(VLOOKUP($D$3,MemberData!$D$6:$JY$18,$C9*3+3,0)),"",VLOOKUP($D$3,MemberData!$D$6:$JY$18,$C9*3+3,0))</f>
        <v>9.14</v>
      </c>
      <c r="J9" s="91">
        <f t="shared" si="3"/>
        <v>0.14250000000000007</v>
      </c>
      <c r="P9" s="318"/>
      <c r="Q9" s="325"/>
      <c r="R9" s="328"/>
      <c r="S9" s="280"/>
      <c r="T9" s="280"/>
      <c r="U9" s="69" t="s">
        <v>156</v>
      </c>
      <c r="V9" s="40">
        <f>COUNTIFS(F:F,$P6,J:J,"&gt;"&amp;0.2,J:J,"&lt;="&amp;0.3)</f>
        <v>0</v>
      </c>
      <c r="W9" s="40">
        <v>0.96250000000000002</v>
      </c>
      <c r="X9" s="40">
        <f t="shared" si="2"/>
        <v>0</v>
      </c>
      <c r="Y9" s="280"/>
      <c r="AB9" s="48">
        <f t="shared" si="0"/>
        <v>0.94769999999999932</v>
      </c>
      <c r="AC9" s="48">
        <f t="shared" si="1"/>
        <v>0.95509999999999928</v>
      </c>
      <c r="AD9" s="49">
        <v>4.4000000000000004</v>
      </c>
    </row>
    <row r="10" spans="3:30" ht="27">
      <c r="C10" s="25">
        <f t="shared" si="4"/>
        <v>4</v>
      </c>
      <c r="D10" s="87" t="s">
        <v>20</v>
      </c>
      <c r="E10" s="87" t="s">
        <v>3</v>
      </c>
      <c r="F10" s="88" t="s">
        <v>35</v>
      </c>
      <c r="G10" s="89">
        <f>IF(ISBLANK(VLOOKUP($D$3,MemberData!$D$6:$JY$18,$C10*3+1,0)),"",VLOOKUP($D$3,MemberData!$D$6:$JY$18,$C10*3+1,0))</f>
        <v>0.25</v>
      </c>
      <c r="H10" s="90">
        <f>IF(ISBLANK(VLOOKUP($D$3,MemberData!$D$6:$JY$18,$C10*3+2,0)),"",VLOOKUP($D$3,MemberData!$D$6:$JY$18,$C10*3+2,0))</f>
        <v>5</v>
      </c>
      <c r="I10" s="90">
        <f>IF(ISBLANK(VLOOKUP($D$3,MemberData!$D$6:$JY$18,$C10*3+3,0)),"",VLOOKUP($D$3,MemberData!$D$6:$JY$18,$C10*3+3,0))</f>
        <v>6.89</v>
      </c>
      <c r="J10" s="91">
        <f t="shared" si="3"/>
        <v>0.37799999999999995</v>
      </c>
      <c r="P10" s="318"/>
      <c r="Q10" s="325"/>
      <c r="R10" s="328"/>
      <c r="S10" s="280"/>
      <c r="T10" s="280"/>
      <c r="U10" s="69" t="s">
        <v>157</v>
      </c>
      <c r="V10" s="40">
        <f>COUNTIFS(F:F,$P6,J:J,"&gt;"&amp;0.3)</f>
        <v>1</v>
      </c>
      <c r="W10" s="40">
        <v>1</v>
      </c>
      <c r="X10" s="40">
        <f t="shared" si="2"/>
        <v>1</v>
      </c>
      <c r="Y10" s="280"/>
      <c r="AB10" s="48">
        <f t="shared" si="0"/>
        <v>0.94019999999999937</v>
      </c>
      <c r="AC10" s="48">
        <f t="shared" si="1"/>
        <v>0.94759999999999933</v>
      </c>
      <c r="AD10" s="49">
        <v>4.3</v>
      </c>
    </row>
    <row r="11" spans="3:30" ht="27">
      <c r="C11" s="25">
        <f t="shared" si="4"/>
        <v>5</v>
      </c>
      <c r="D11" s="87" t="s">
        <v>249</v>
      </c>
      <c r="E11" s="87" t="s">
        <v>26</v>
      </c>
      <c r="F11" s="88" t="s">
        <v>35</v>
      </c>
      <c r="G11" s="89">
        <f>IF(ISBLANK(VLOOKUP($D$3,MemberData!$D$6:$JY$18,$C11*3+1,0)),"",VLOOKUP($D$3,MemberData!$D$6:$JY$18,$C11*3+1,0))</f>
        <v>0</v>
      </c>
      <c r="H11" s="90">
        <f>IF(ISBLANK(VLOOKUP($D$3,MemberData!$D$6:$JY$18,$C11*3+2,0)),"",VLOOKUP($D$3,MemberData!$D$6:$JY$18,$C11*3+2,0))</f>
        <v>0</v>
      </c>
      <c r="I11" s="90">
        <f>IF(ISBLANK(VLOOKUP($D$3,MemberData!$D$6:$JY$18,$C11*3+3,0)),"",VLOOKUP($D$3,MemberData!$D$6:$JY$18,$C11*3+3,0))</f>
        <v>0</v>
      </c>
      <c r="J11" s="91" t="str">
        <f t="shared" si="3"/>
        <v>NA</v>
      </c>
      <c r="P11" s="318"/>
      <c r="Q11" s="325"/>
      <c r="R11" s="328"/>
      <c r="S11" s="280"/>
      <c r="T11" s="280"/>
      <c r="U11" s="69" t="s">
        <v>165</v>
      </c>
      <c r="V11" s="40">
        <f>COUNTIFS(F:F,$P6,J:J,"&gt;="&amp;-0.1,J:J,"&lt;"&amp;0)</f>
        <v>0</v>
      </c>
      <c r="W11" s="40">
        <v>0.4</v>
      </c>
      <c r="X11" s="40">
        <f t="shared" si="2"/>
        <v>0</v>
      </c>
      <c r="Y11" s="280"/>
      <c r="AB11" s="48">
        <f t="shared" si="0"/>
        <v>0.93269999999999942</v>
      </c>
      <c r="AC11" s="48">
        <f t="shared" si="1"/>
        <v>0.94009999999999938</v>
      </c>
      <c r="AD11" s="49">
        <v>4.2</v>
      </c>
    </row>
    <row r="12" spans="3:30" ht="27">
      <c r="C12" s="25">
        <f t="shared" si="4"/>
        <v>6</v>
      </c>
      <c r="D12" s="87" t="s">
        <v>251</v>
      </c>
      <c r="E12" s="87" t="s">
        <v>28</v>
      </c>
      <c r="F12" s="88" t="s">
        <v>35</v>
      </c>
      <c r="G12" s="89">
        <f>IF(ISBLANK(VLOOKUP($D$3,MemberData!$D$6:$JY$18,$C12*3+1,0)),"",VLOOKUP($D$3,MemberData!$D$6:$JY$18,$C12*3+1,0))</f>
        <v>0</v>
      </c>
      <c r="H12" s="90">
        <f>IF(ISBLANK(VLOOKUP($D$3,MemberData!$D$6:$JY$18,$C12*3+2,0)),"",VLOOKUP($D$3,MemberData!$D$6:$JY$18,$C12*3+2,0))</f>
        <v>0</v>
      </c>
      <c r="I12" s="90">
        <f>IF(ISBLANK(VLOOKUP($D$3,MemberData!$D$6:$JY$18,$C12*3+3,0)),"",VLOOKUP($D$3,MemberData!$D$6:$JY$18,$C12*3+3,0))</f>
        <v>0</v>
      </c>
      <c r="J12" s="91" t="str">
        <f t="shared" si="3"/>
        <v>NA</v>
      </c>
      <c r="P12" s="318"/>
      <c r="Q12" s="325"/>
      <c r="R12" s="328"/>
      <c r="S12" s="280"/>
      <c r="T12" s="280"/>
      <c r="U12" s="69" t="s">
        <v>166</v>
      </c>
      <c r="V12" s="40">
        <f>COUNTIFS(F:F,$P6,J:J,"&lt;"&amp;-0.1,J:J,"&gt;="&amp;-0.3)</f>
        <v>0</v>
      </c>
      <c r="W12" s="40">
        <v>0.65</v>
      </c>
      <c r="X12" s="40">
        <f t="shared" si="2"/>
        <v>0</v>
      </c>
      <c r="Y12" s="280"/>
      <c r="AB12" s="48">
        <f t="shared" si="0"/>
        <v>0.92519999999999947</v>
      </c>
      <c r="AC12" s="48">
        <f t="shared" si="1"/>
        <v>0.93259999999999943</v>
      </c>
      <c r="AD12" s="49">
        <v>4.0999999999999996</v>
      </c>
    </row>
    <row r="13" spans="3:30">
      <c r="C13" s="25">
        <f t="shared" si="4"/>
        <v>7</v>
      </c>
      <c r="D13" s="229" t="s">
        <v>304</v>
      </c>
      <c r="E13" s="87"/>
      <c r="F13" s="234" t="s">
        <v>307</v>
      </c>
      <c r="G13" s="89">
        <f>IF(ISBLANK(VLOOKUP($D$3,MemberData!$D$6:$JY$18,$C13*3+1,0)),"",VLOOKUP($D$3,MemberData!$D$6:$JY$18,$C13*3+1,0))</f>
        <v>0</v>
      </c>
      <c r="H13" s="90">
        <f>IF(ISBLANK(VLOOKUP($D$3,MemberData!$D$6:$JY$18,$C13*3+2,0)),"",VLOOKUP($D$3,MemberData!$D$6:$JY$18,$C13*3+2,0))</f>
        <v>0</v>
      </c>
      <c r="I13" s="90">
        <f>IF(ISBLANK(VLOOKUP($D$3,MemberData!$D$6:$JY$18,$C13*3+3,0)),"",VLOOKUP($D$3,MemberData!$D$6:$JY$18,$C13*3+3,0))</f>
        <v>0</v>
      </c>
      <c r="J13" s="91" t="str">
        <f t="shared" si="3"/>
        <v>NA</v>
      </c>
      <c r="P13" s="318"/>
      <c r="Q13" s="326"/>
      <c r="R13" s="329"/>
      <c r="S13" s="281"/>
      <c r="T13" s="281"/>
      <c r="U13" s="69" t="s">
        <v>158</v>
      </c>
      <c r="V13" s="40">
        <f>COUNTIFS(F:F,$P6,J:J,"&lt;"&amp;-0.3)</f>
        <v>0</v>
      </c>
      <c r="W13" s="40">
        <v>1</v>
      </c>
      <c r="X13" s="40">
        <f t="shared" si="2"/>
        <v>0</v>
      </c>
      <c r="Y13" s="281"/>
      <c r="AB13" s="44">
        <f t="shared" si="0"/>
        <v>0.91769999999999952</v>
      </c>
      <c r="AC13" s="44">
        <f t="shared" si="1"/>
        <v>0.92509999999999948</v>
      </c>
      <c r="AD13" s="45">
        <v>4</v>
      </c>
    </row>
    <row r="14" spans="3:30">
      <c r="C14" s="25">
        <f t="shared" si="4"/>
        <v>8</v>
      </c>
      <c r="D14" s="229" t="s">
        <v>312</v>
      </c>
      <c r="E14" s="229"/>
      <c r="F14" s="234" t="s">
        <v>307</v>
      </c>
      <c r="G14" s="89">
        <f>IF(ISBLANK(VLOOKUP($D$3,MemberData!$D$6:$JY$18,$C14*3+1,0)),"",VLOOKUP($D$3,MemberData!$D$6:$JY$18,$C14*3+1,0))</f>
        <v>0</v>
      </c>
      <c r="H14" s="90">
        <f>IF(ISBLANK(VLOOKUP($D$3,MemberData!$D$6:$JY$18,$C14*3+2,0)),"",VLOOKUP($D$3,MemberData!$D$6:$JY$18,$C14*3+2,0))</f>
        <v>0</v>
      </c>
      <c r="I14" s="90">
        <f>IF(ISBLANK(VLOOKUP($D$3,MemberData!$D$6:$JY$18,$C14*3+3,0)),"",VLOOKUP($D$3,MemberData!$D$6:$JY$18,$C14*3+3,0))</f>
        <v>0</v>
      </c>
      <c r="J14" s="91" t="str">
        <f t="shared" si="3"/>
        <v>NA</v>
      </c>
      <c r="P14" s="319" t="s">
        <v>146</v>
      </c>
      <c r="Q14" s="309">
        <f>SUMIFS($G$7:$G$99,$F$7:$F$99,$P$14)</f>
        <v>0.3</v>
      </c>
      <c r="R14" s="330">
        <f>IFERROR(SUM(X14:X20)/SUM(V14:V21),0)</f>
        <v>0.5</v>
      </c>
      <c r="S14" s="282">
        <f t="shared" ref="S14" si="5">IFERROR(LOOKUP(2,1/($AB$3:$AB$52&lt;=R14)/($AC$3:$AC$52&gt;=R14),$AD$3:$AD$52),0)</f>
        <v>1.7999999999998899</v>
      </c>
      <c r="T14" s="282">
        <f t="shared" ref="T14" si="6">IFERROR(ROUND(S14,0),0)</f>
        <v>2</v>
      </c>
      <c r="U14" s="70" t="s">
        <v>153</v>
      </c>
      <c r="V14" s="71">
        <f>COUNTIFS(F:F,$P14,J:J,"="&amp;0)</f>
        <v>0</v>
      </c>
      <c r="W14" s="71">
        <v>0.85</v>
      </c>
      <c r="X14" s="71">
        <f t="shared" si="2"/>
        <v>0</v>
      </c>
      <c r="Y14" s="282">
        <f>IFERROR(LOOKUP(2,1/($AB$3:$AB$52&lt;=R14)/($AC$3:$AC$52&gt;=R14),$AD$3:$AD$52),0)</f>
        <v>1.7999999999998899</v>
      </c>
      <c r="AB14" s="48">
        <f t="shared" si="0"/>
        <v>0.91019999999999956</v>
      </c>
      <c r="AC14" s="48">
        <f t="shared" si="1"/>
        <v>0.91759999999999953</v>
      </c>
      <c r="AD14" s="49">
        <v>3.9</v>
      </c>
    </row>
    <row r="15" spans="3:30">
      <c r="C15" s="25">
        <f t="shared" si="4"/>
        <v>9</v>
      </c>
      <c r="D15" s="73" t="s">
        <v>244</v>
      </c>
      <c r="E15" s="73" t="s">
        <v>46</v>
      </c>
      <c r="F15" s="72" t="s">
        <v>146</v>
      </c>
      <c r="G15" s="89">
        <f>IF(ISBLANK(VLOOKUP($D$3,MemberData!$D$6:$JY$18,$C15*3+1,0)),"",VLOOKUP($D$3,MemberData!$D$6:$JY$18,$C15*3+1,0))</f>
        <v>0</v>
      </c>
      <c r="H15" s="90">
        <f>IF(ISBLANK(VLOOKUP($D$3,MemberData!$D$6:$JY$18,$C15*3+2,0)),"",VLOOKUP($D$3,MemberData!$D$6:$JY$18,$C15*3+2,0))</f>
        <v>0</v>
      </c>
      <c r="I15" s="90">
        <f>IF(ISBLANK(VLOOKUP($D$3,MemberData!$D$6:$JY$18,$C15*3+3,0)),"",VLOOKUP($D$3,MemberData!$D$6:$JY$18,$C15*3+3,0))</f>
        <v>0</v>
      </c>
      <c r="J15" s="91" t="str">
        <f t="shared" si="3"/>
        <v>NA</v>
      </c>
      <c r="P15" s="319"/>
      <c r="Q15" s="310"/>
      <c r="R15" s="331"/>
      <c r="S15" s="283"/>
      <c r="T15" s="283"/>
      <c r="U15" s="70" t="s">
        <v>154</v>
      </c>
      <c r="V15" s="71">
        <f>COUNTIFS(F:F,$P14,J:J,"&gt;"&amp;0,J:J,"&lt;="&amp;0.1)</f>
        <v>0</v>
      </c>
      <c r="W15" s="71">
        <v>0.88749999999999996</v>
      </c>
      <c r="X15" s="71">
        <f t="shared" si="2"/>
        <v>0</v>
      </c>
      <c r="Y15" s="283"/>
      <c r="AB15" s="48">
        <f t="shared" si="0"/>
        <v>0.90269999999999961</v>
      </c>
      <c r="AC15" s="48">
        <f t="shared" si="1"/>
        <v>0.91009999999999958</v>
      </c>
      <c r="AD15" s="49">
        <v>3.8</v>
      </c>
    </row>
    <row r="16" spans="3:30">
      <c r="C16" s="25">
        <f t="shared" si="4"/>
        <v>10</v>
      </c>
      <c r="D16" s="85" t="s">
        <v>42</v>
      </c>
      <c r="E16" s="85"/>
      <c r="F16" s="86" t="s">
        <v>146</v>
      </c>
      <c r="G16" s="122">
        <f>IF(ISBLANK(VLOOKUP($D$3,MemberData!$D$6:$JY$18,$C16*3+1,0)),"",VLOOKUP($D$3,MemberData!$D$6:$JY$18,$C16*3+1,0))</f>
        <v>0.15</v>
      </c>
      <c r="H16" s="123">
        <f>IF(ISBLANK(VLOOKUP($D$3,MemberData!$D$6:$JY$18,$C16*3+2,0)),"",VLOOKUP($D$3,MemberData!$D$6:$JY$18,$C16*3+2,0))</f>
        <v>0.05</v>
      </c>
      <c r="I16" s="123">
        <f>IF(ISBLANK(VLOOKUP($D$3,MemberData!$D$6:$JY$18,$C16*3+3,0)),"",VLOOKUP($D$3,MemberData!$D$6:$JY$18,$C16*3+3,0))</f>
        <v>0</v>
      </c>
      <c r="J16" s="91">
        <f>IFERROR((H16-I16)/H16,"NA")</f>
        <v>1</v>
      </c>
      <c r="P16" s="319"/>
      <c r="Q16" s="310"/>
      <c r="R16" s="331"/>
      <c r="S16" s="283"/>
      <c r="T16" s="283"/>
      <c r="U16" s="70" t="s">
        <v>155</v>
      </c>
      <c r="V16" s="71">
        <f>COUNTIFS(F:F,$P14,J:J,"&gt;"&amp;0.1,J:J,"&lt;="&amp;0.2)</f>
        <v>0</v>
      </c>
      <c r="W16" s="71">
        <v>0.92500000000000004</v>
      </c>
      <c r="X16" s="71">
        <f t="shared" si="2"/>
        <v>0</v>
      </c>
      <c r="Y16" s="283"/>
      <c r="AB16" s="48">
        <f t="shared" si="0"/>
        <v>0.89519999999999966</v>
      </c>
      <c r="AC16" s="48">
        <f t="shared" si="1"/>
        <v>0.90259999999999962</v>
      </c>
      <c r="AD16" s="49">
        <v>3.7</v>
      </c>
    </row>
    <row r="17" spans="3:30">
      <c r="C17" s="25">
        <f t="shared" si="4"/>
        <v>11</v>
      </c>
      <c r="D17" s="229" t="s">
        <v>306</v>
      </c>
      <c r="E17" s="98" t="s">
        <v>47</v>
      </c>
      <c r="F17" s="234" t="s">
        <v>307</v>
      </c>
      <c r="G17" s="122">
        <f>IF(ISBLANK(VLOOKUP($D$3,MemberData!$D$6:$JY$18,$C17*3+1,0)),"",VLOOKUP($D$3,MemberData!$D$6:$JY$18,$C17*3+1,0))</f>
        <v>0</v>
      </c>
      <c r="H17" s="123">
        <f>IF(ISBLANK(VLOOKUP($D$3,MemberData!$D$6:$JY$18,$C17*3+2,0)),"",VLOOKUP($D$3,MemberData!$D$6:$JY$18,$C17*3+2,0))</f>
        <v>0</v>
      </c>
      <c r="I17" s="123">
        <f>IF(ISBLANK(VLOOKUP($D$3,MemberData!$D$6:$JY$18,$C17*3+3,0)),"",VLOOKUP($D$3,MemberData!$D$6:$JY$18,$C17*3+3,0))</f>
        <v>0</v>
      </c>
      <c r="J17" s="91" t="str">
        <f t="shared" si="3"/>
        <v>NA</v>
      </c>
      <c r="P17" s="319"/>
      <c r="Q17" s="310"/>
      <c r="R17" s="331"/>
      <c r="S17" s="283"/>
      <c r="T17" s="283"/>
      <c r="U17" s="70" t="s">
        <v>156</v>
      </c>
      <c r="V17" s="71">
        <f>COUNTIFS(F:F,$P14,J:J,"&gt;"&amp;0.2,J:J,"&lt;="&amp;0.3)</f>
        <v>0</v>
      </c>
      <c r="W17" s="71">
        <v>0.96250000000000002</v>
      </c>
      <c r="X17" s="71">
        <f t="shared" si="2"/>
        <v>0</v>
      </c>
      <c r="Y17" s="283"/>
      <c r="AB17" s="48">
        <f t="shared" si="0"/>
        <v>0.88769999999999971</v>
      </c>
      <c r="AC17" s="48">
        <f t="shared" si="1"/>
        <v>0.89509999999999967</v>
      </c>
      <c r="AD17" s="49">
        <v>3.6</v>
      </c>
    </row>
    <row r="18" spans="3:30">
      <c r="C18" s="25">
        <f t="shared" si="4"/>
        <v>12</v>
      </c>
      <c r="D18" s="85" t="s">
        <v>40</v>
      </c>
      <c r="E18" s="85"/>
      <c r="F18" s="86" t="s">
        <v>146</v>
      </c>
      <c r="G18" s="122">
        <f>IF(ISBLANK(VLOOKUP($D$3,MemberData!$D$6:$JY$18,$C18*3+1,0)),"",VLOOKUP($D$3,MemberData!$D$6:$JY$18,$C18*3+1,0))</f>
        <v>0</v>
      </c>
      <c r="H18" s="123">
        <f>IF(ISBLANK(VLOOKUP($D$3,MemberData!$D$6:$JY$18,$C18*3+2,0)),"",VLOOKUP($D$3,MemberData!$D$6:$JY$18,$C18*3+2,0))</f>
        <v>0</v>
      </c>
      <c r="I18" s="123">
        <f>IF(ISBLANK(VLOOKUP($D$3,MemberData!$D$6:$JY$18,$C18*3+3,0)),"",VLOOKUP($D$3,MemberData!$D$6:$JY$18,$C18*3+3,0))</f>
        <v>0</v>
      </c>
      <c r="J18" s="91" t="str">
        <f>IFERROR((H18-I18)/H18,"NA")</f>
        <v>NA</v>
      </c>
      <c r="P18" s="319"/>
      <c r="Q18" s="310"/>
      <c r="R18" s="331"/>
      <c r="S18" s="283"/>
      <c r="T18" s="283"/>
      <c r="U18" s="70" t="s">
        <v>157</v>
      </c>
      <c r="V18" s="71">
        <f>COUNTIFS(F:F,$P14,J:J,"&gt;"&amp;0.3)</f>
        <v>1</v>
      </c>
      <c r="W18" s="71">
        <v>1</v>
      </c>
      <c r="X18" s="71">
        <f t="shared" si="2"/>
        <v>1</v>
      </c>
      <c r="Y18" s="283"/>
      <c r="AB18" s="48">
        <f t="shared" si="0"/>
        <v>0.88019999999999976</v>
      </c>
      <c r="AC18" s="48">
        <f t="shared" si="1"/>
        <v>0.88759999999999972</v>
      </c>
      <c r="AD18" s="49">
        <v>3.5000000000000102</v>
      </c>
    </row>
    <row r="19" spans="3:30">
      <c r="C19" s="25">
        <f t="shared" si="4"/>
        <v>13</v>
      </c>
      <c r="D19" s="229" t="s">
        <v>308</v>
      </c>
      <c r="E19" s="229" t="s">
        <v>175</v>
      </c>
      <c r="F19" s="234" t="s">
        <v>307</v>
      </c>
      <c r="G19" s="122">
        <f>IF(ISBLANK(VLOOKUP($D$3,MemberData!$D$6:$JY$18,$C19*3+1,0)),"",VLOOKUP($D$3,MemberData!$D$6:$JY$18,$C19*3+1,0))</f>
        <v>0</v>
      </c>
      <c r="H19" s="123">
        <f>IF(ISBLANK(VLOOKUP($D$3,MemberData!$D$6:$JY$18,$C19*3+2,0)),"",VLOOKUP($D$3,MemberData!$D$6:$JY$18,$C19*3+2,0))</f>
        <v>0</v>
      </c>
      <c r="I19" s="123">
        <f>IF(ISBLANK(VLOOKUP($D$3,MemberData!$D$6:$JY$18,$C19*3+3,0)),"",VLOOKUP($D$3,MemberData!$D$6:$JY$18,$C19*3+3,0))</f>
        <v>0</v>
      </c>
      <c r="J19" s="91" t="str">
        <f t="shared" si="3"/>
        <v>NA</v>
      </c>
      <c r="P19" s="319"/>
      <c r="Q19" s="310"/>
      <c r="R19" s="331"/>
      <c r="S19" s="283"/>
      <c r="T19" s="283"/>
      <c r="U19" s="70" t="s">
        <v>165</v>
      </c>
      <c r="V19" s="71">
        <f>COUNTIFS(F:F,$P14,J:J,"&gt;="&amp;-0.1,J:J,"&lt;"&amp;0)</f>
        <v>0</v>
      </c>
      <c r="W19" s="71">
        <v>0.4</v>
      </c>
      <c r="X19" s="71">
        <f t="shared" si="2"/>
        <v>0</v>
      </c>
      <c r="Y19" s="283"/>
      <c r="AB19" s="48">
        <f t="shared" si="0"/>
        <v>0.87269999999999981</v>
      </c>
      <c r="AC19" s="48">
        <f t="shared" si="1"/>
        <v>0.88009999999999977</v>
      </c>
      <c r="AD19" s="49">
        <v>3.4000000000000101</v>
      </c>
    </row>
    <row r="20" spans="3:30">
      <c r="C20" s="25">
        <f t="shared" si="4"/>
        <v>14</v>
      </c>
      <c r="D20" s="85" t="s">
        <v>38</v>
      </c>
      <c r="E20" s="85"/>
      <c r="F20" s="86" t="s">
        <v>146</v>
      </c>
      <c r="G20" s="122">
        <f>IF(ISBLANK(VLOOKUP($D$3,MemberData!$D$6:$JY$18,$C20*3+1,0)),"",VLOOKUP($D$3,MemberData!$D$6:$JY$18,$C20*3+1,0))</f>
        <v>0</v>
      </c>
      <c r="H20" s="123">
        <f>IF(ISBLANK(VLOOKUP($D$3,MemberData!$D$6:$JY$18,$C20*3+2,0)),"",VLOOKUP($D$3,MemberData!$D$6:$JY$18,$C20*3+2,0))</f>
        <v>0</v>
      </c>
      <c r="I20" s="123">
        <f>IF(ISBLANK(VLOOKUP($D$3,MemberData!$D$6:$JY$18,$C20*3+3,0)),"",VLOOKUP($D$3,MemberData!$D$6:$JY$18,$C20*3+3,0))</f>
        <v>0</v>
      </c>
      <c r="J20" s="91" t="str">
        <f>IFERROR((H20-I20)/H20,"NA")</f>
        <v>NA</v>
      </c>
      <c r="P20" s="319"/>
      <c r="Q20" s="310"/>
      <c r="R20" s="331"/>
      <c r="S20" s="283"/>
      <c r="T20" s="283"/>
      <c r="U20" s="70" t="s">
        <v>166</v>
      </c>
      <c r="V20" s="71">
        <f>COUNTIFS(F:F,$P14,J:J,"&lt;"&amp;-0.1,J:J,"&gt;="&amp;-0.3)</f>
        <v>0</v>
      </c>
      <c r="W20" s="71">
        <v>0.65</v>
      </c>
      <c r="X20" s="71">
        <f t="shared" si="2"/>
        <v>0</v>
      </c>
      <c r="Y20" s="283"/>
      <c r="AB20" s="48">
        <f t="shared" si="0"/>
        <v>0.86519999999999986</v>
      </c>
      <c r="AC20" s="48">
        <f t="shared" si="1"/>
        <v>0.87259999999999982</v>
      </c>
      <c r="AD20" s="49">
        <v>3.30000000000001</v>
      </c>
    </row>
    <row r="21" spans="3:30">
      <c r="C21" s="25">
        <f t="shared" si="4"/>
        <v>15</v>
      </c>
      <c r="D21" s="87" t="s">
        <v>254</v>
      </c>
      <c r="E21" s="87"/>
      <c r="F21" s="234" t="s">
        <v>307</v>
      </c>
      <c r="G21" s="89">
        <f>IF(ISBLANK(VLOOKUP($D$3,MemberData!$D$6:$JY$18,$C21*3+1,0)),"",VLOOKUP($D$3,MemberData!$D$6:$JY$18,$C21*3+1,0))</f>
        <v>0</v>
      </c>
      <c r="H21" s="90">
        <f>IF(ISBLANK(VLOOKUP($D$3,MemberData!$D$6:$JY$18,$C21*3+2,0)),"",VLOOKUP($D$3,MemberData!$D$6:$JY$18,$C21*3+2,0))</f>
        <v>0</v>
      </c>
      <c r="I21" s="90">
        <f>IF(ISBLANK(VLOOKUP($D$3,MemberData!$D$6:$JY$18,$C21*3+3,0)),"",VLOOKUP($D$3,MemberData!$D$6:$JY$18,$C21*3+3,0))</f>
        <v>0</v>
      </c>
      <c r="J21" s="91" t="str">
        <f>IFERROR((H21-I21)/H21,"NA")</f>
        <v>NA</v>
      </c>
      <c r="P21" s="319"/>
      <c r="Q21" s="311"/>
      <c r="R21" s="332"/>
      <c r="S21" s="284"/>
      <c r="T21" s="284"/>
      <c r="U21" s="70" t="s">
        <v>158</v>
      </c>
      <c r="V21" s="71">
        <f>COUNTIFS(F:F,$P14,J:J,"&lt;"&amp;-0.3)</f>
        <v>1</v>
      </c>
      <c r="W21" s="71">
        <v>1</v>
      </c>
      <c r="X21" s="71">
        <f t="shared" si="2"/>
        <v>1</v>
      </c>
      <c r="Y21" s="284"/>
      <c r="AB21" s="48">
        <f t="shared" si="0"/>
        <v>0.85769999999999991</v>
      </c>
      <c r="AC21" s="48">
        <f t="shared" si="1"/>
        <v>0.86509999999999987</v>
      </c>
      <c r="AD21" s="49">
        <v>3.2000000000000099</v>
      </c>
    </row>
    <row r="22" spans="3:30">
      <c r="C22" s="25">
        <f t="shared" si="4"/>
        <v>16</v>
      </c>
      <c r="D22" s="85" t="s">
        <v>174</v>
      </c>
      <c r="E22" s="85"/>
      <c r="F22" s="86" t="s">
        <v>146</v>
      </c>
      <c r="G22" s="122">
        <f>IF(ISBLANK(VLOOKUP($D$3,MemberData!$D$6:$JY$18,$C22*3+1,0)),"",VLOOKUP($D$3,MemberData!$D$6:$JY$18,$C22*3+1,0))</f>
        <v>0.15</v>
      </c>
      <c r="H22" s="123">
        <f>IF(ISBLANK(VLOOKUP($D$3,MemberData!$D$6:$JY$18,$C22*3+2,0)),"",VLOOKUP($D$3,MemberData!$D$6:$JY$18,$C22*3+2,0))</f>
        <v>0.1</v>
      </c>
      <c r="I22" s="123">
        <f>IF(ISBLANK(VLOOKUP($D$3,MemberData!$D$6:$JY$18,$C22*3+3,0)),"",VLOOKUP($D$3,MemberData!$D$6:$JY$18,$C22*3+3,0))</f>
        <v>0.15</v>
      </c>
      <c r="J22" s="91">
        <f>IFERROR((H22-I22)/H22,"NA")</f>
        <v>-0.49999999999999989</v>
      </c>
      <c r="P22" s="320" t="s">
        <v>307</v>
      </c>
      <c r="Q22" s="312">
        <f>SUMIFS($G$7:$G$99,$F$7:$F$99,$P$22)</f>
        <v>0</v>
      </c>
      <c r="R22" s="321">
        <f>IFERROR(SUM(X22:X28)/SUM(V22:V29),0)</f>
        <v>0</v>
      </c>
      <c r="S22" s="285">
        <f t="shared" ref="S22" si="7">IFERROR(LOOKUP(2,1/($AB$3:$AB$52&lt;=R22)/($AC$3:$AC$52&gt;=R22),$AD$3:$AD$52),0)</f>
        <v>9.9999999999705005E-2</v>
      </c>
      <c r="T22" s="285">
        <f t="shared" ref="T22" si="8">IFERROR(ROUND(S22,0),0)</f>
        <v>0</v>
      </c>
      <c r="U22" s="55" t="s">
        <v>153</v>
      </c>
      <c r="V22" s="65">
        <f>COUNTIFS(F:F,$P22,J:J,"="&amp;0)</f>
        <v>0</v>
      </c>
      <c r="W22" s="65">
        <v>0.85</v>
      </c>
      <c r="X22" s="65">
        <f t="shared" si="2"/>
        <v>0</v>
      </c>
      <c r="Y22" s="285">
        <f>IFERROR(LOOKUP(2,1/($AB$3:$AB$52&lt;=R22)/($AC$3:$AC$52&gt;=R22),$AD$3:$AD$52),0)</f>
        <v>9.9999999999705005E-2</v>
      </c>
      <c r="AB22" s="48">
        <f t="shared" si="0"/>
        <v>0.85009999999999997</v>
      </c>
      <c r="AC22" s="48">
        <f>AB22+0.75%</f>
        <v>0.85759999999999992</v>
      </c>
      <c r="AD22" s="49">
        <v>3.1000000000000099</v>
      </c>
    </row>
    <row r="23" spans="3:30" ht="27">
      <c r="C23" s="25">
        <f t="shared" si="4"/>
        <v>17</v>
      </c>
      <c r="D23" s="73" t="s">
        <v>172</v>
      </c>
      <c r="E23" s="73" t="s">
        <v>176</v>
      </c>
      <c r="F23" s="72" t="s">
        <v>146</v>
      </c>
      <c r="G23" s="89">
        <f>IF(ISBLANK(VLOOKUP($D$3,MemberData!$D$6:$JY$18,$C23*3+1,0)),"",VLOOKUP($D$3,MemberData!$D$6:$JY$18,$C23*3+1,0))</f>
        <v>0</v>
      </c>
      <c r="H23" s="90">
        <f>IF(ISBLANK(VLOOKUP($D$3,MemberData!$D$6:$JY$18,$C23*3+2,0)),"",VLOOKUP($D$3,MemberData!$D$6:$JY$18,$C23*3+2,0))</f>
        <v>0</v>
      </c>
      <c r="I23" s="90">
        <f>IF(ISBLANK(VLOOKUP($D$3,MemberData!$D$6:$JY$18,$C23*3+3,0)),"",VLOOKUP($D$3,MemberData!$D$6:$JY$18,$C23*3+3,0))</f>
        <v>0</v>
      </c>
      <c r="J23" s="91" t="str">
        <f>IFERROR((I23-H23)/H23,"NA")</f>
        <v>NA</v>
      </c>
      <c r="P23" s="320"/>
      <c r="Q23" s="313"/>
      <c r="R23" s="322"/>
      <c r="S23" s="286"/>
      <c r="T23" s="286"/>
      <c r="U23" s="55" t="s">
        <v>154</v>
      </c>
      <c r="V23" s="65">
        <f>COUNTIFS(F:F,$P22,J:J,"&gt;"&amp;0,J:J,"&lt;="&amp;0.1)</f>
        <v>0</v>
      </c>
      <c r="W23" s="65">
        <v>0.88749999999999996</v>
      </c>
      <c r="X23" s="65">
        <f t="shared" si="2"/>
        <v>0</v>
      </c>
      <c r="Y23" s="286"/>
      <c r="AB23" s="52">
        <f t="shared" si="0"/>
        <v>0.82179999999999997</v>
      </c>
      <c r="AC23" s="52">
        <v>0.85</v>
      </c>
      <c r="AD23" s="53">
        <v>3.0000000000000102</v>
      </c>
    </row>
    <row r="24" spans="3:30" ht="27">
      <c r="C24" s="25">
        <f t="shared" si="4"/>
        <v>18</v>
      </c>
      <c r="D24" s="73" t="s">
        <v>173</v>
      </c>
      <c r="E24" s="73" t="s">
        <v>177</v>
      </c>
      <c r="F24" s="72" t="s">
        <v>146</v>
      </c>
      <c r="G24" s="89" t="str">
        <f>IF(ISBLANK(VLOOKUP($D$3,MemberData!$D$6:$JY$18,$C24*3+1,0)),"",VLOOKUP($D$3,MemberData!$D$6:$JY$18,$C24*3+1,0))</f>
        <v/>
      </c>
      <c r="H24" s="90" t="str">
        <f>IF(ISBLANK(VLOOKUP($D$3,MemberData!$D$6:$JY$18,$C24*3+2,0)),"",VLOOKUP($D$3,MemberData!$D$6:$JY$18,$C24*3+2,0))</f>
        <v/>
      </c>
      <c r="I24" s="90" t="str">
        <f>IF(ISBLANK(VLOOKUP($D$3,MemberData!$D$6:$JY$18,$C24*3+3,0)),"",VLOOKUP($D$3,MemberData!$D$6:$JY$18,$C24*3+3,0))</f>
        <v/>
      </c>
      <c r="J24" s="91" t="str">
        <f>IFERROR((I24-H24)/H24,"NA")</f>
        <v>NA</v>
      </c>
      <c r="P24" s="320"/>
      <c r="Q24" s="313"/>
      <c r="R24" s="322"/>
      <c r="S24" s="286"/>
      <c r="T24" s="286"/>
      <c r="U24" s="55" t="s">
        <v>155</v>
      </c>
      <c r="V24" s="65">
        <f>COUNTIFS(F:F,$P22,J:J,"&gt;"&amp;0.1,J:J,"&lt;="&amp;0.2)</f>
        <v>0</v>
      </c>
      <c r="W24" s="65">
        <v>0.92500000000000004</v>
      </c>
      <c r="X24" s="65">
        <f t="shared" si="2"/>
        <v>0</v>
      </c>
      <c r="Y24" s="286"/>
      <c r="AB24" s="48">
        <f t="shared" si="0"/>
        <v>0.79349999999999998</v>
      </c>
      <c r="AC24" s="48">
        <f t="shared" ref="AC24:AC52" si="9">AC23-2.83%</f>
        <v>0.82169999999999999</v>
      </c>
      <c r="AD24" s="49">
        <v>2.9</v>
      </c>
    </row>
    <row r="25" spans="3:30">
      <c r="C25" s="25">
        <f t="shared" si="4"/>
        <v>19</v>
      </c>
      <c r="D25" s="73" t="s">
        <v>49</v>
      </c>
      <c r="E25" s="73"/>
      <c r="F25" s="72" t="s">
        <v>34</v>
      </c>
      <c r="G25" s="89">
        <f>IF(ISBLANK(VLOOKUP($D$3,MemberData!$D$6:$JY$18,$C25*3+1,0)),"",VLOOKUP($D$3,MemberData!$D$6:$JY$18,$C25*3+1,0))</f>
        <v>0.04</v>
      </c>
      <c r="H25" s="90">
        <f>IF(ISBLANK(VLOOKUP($D$3,MemberData!$D$6:$JY$18,$C25*3+2,0)),"",VLOOKUP($D$3,MemberData!$D$6:$JY$18,$C25*3+2,0))</f>
        <v>550</v>
      </c>
      <c r="I25" s="90">
        <f>IF(ISBLANK(VLOOKUP($D$3,MemberData!$D$6:$JY$18,$C25*3+3,0)),"",VLOOKUP($D$3,MemberData!$D$6:$JY$18,$C25*3+3,0))</f>
        <v>0</v>
      </c>
      <c r="J25" s="91">
        <f t="shared" si="3"/>
        <v>-1</v>
      </c>
      <c r="P25" s="320"/>
      <c r="Q25" s="313"/>
      <c r="R25" s="322"/>
      <c r="S25" s="286"/>
      <c r="T25" s="286"/>
      <c r="U25" s="55" t="s">
        <v>156</v>
      </c>
      <c r="V25" s="65">
        <f>COUNTIFS(F:F,$P22,J:J,"&gt;"&amp;0.2,J:J,"&lt;="&amp;0.3)</f>
        <v>0</v>
      </c>
      <c r="W25" s="65">
        <v>0.96250000000000002</v>
      </c>
      <c r="X25" s="65">
        <f t="shared" si="2"/>
        <v>0</v>
      </c>
      <c r="Y25" s="286"/>
      <c r="AB25" s="48">
        <f t="shared" si="0"/>
        <v>0.76519999999999999</v>
      </c>
      <c r="AC25" s="48">
        <f t="shared" si="9"/>
        <v>0.79339999999999999</v>
      </c>
      <c r="AD25" s="49">
        <v>2.8</v>
      </c>
    </row>
    <row r="26" spans="3:30">
      <c r="C26" s="25">
        <f t="shared" si="4"/>
        <v>20</v>
      </c>
      <c r="D26" s="73" t="s">
        <v>50</v>
      </c>
      <c r="E26" s="73"/>
      <c r="F26" s="72" t="s">
        <v>280</v>
      </c>
      <c r="G26" s="89">
        <f>IF(ISBLANK(VLOOKUP($D$3,MemberData!$D$6:$JY$18,$C26*3+1,0)),"",VLOOKUP($D$3,MemberData!$D$6:$JY$18,$C26*3+1,0))</f>
        <v>0.04</v>
      </c>
      <c r="H26" s="90">
        <f>IF(ISBLANK(VLOOKUP($D$3,MemberData!$D$6:$JY$18,$C26*3+2,0)),"",VLOOKUP($D$3,MemberData!$D$6:$JY$18,$C26*3+2,0))</f>
        <v>3</v>
      </c>
      <c r="I26" s="90">
        <f>IF(ISBLANK(VLOOKUP($D$3,MemberData!$D$6:$JY$18,$C26*3+3,0)),"",VLOOKUP($D$3,MemberData!$D$6:$JY$18,$C26*3+3,0))</f>
        <v>3</v>
      </c>
      <c r="J26" s="91">
        <f t="shared" si="3"/>
        <v>0</v>
      </c>
      <c r="P26" s="320"/>
      <c r="Q26" s="313"/>
      <c r="R26" s="322"/>
      <c r="S26" s="286"/>
      <c r="T26" s="286"/>
      <c r="U26" s="55" t="s">
        <v>157</v>
      </c>
      <c r="V26" s="65">
        <f>COUNTIFS(F:F,$P22,J:J,"&gt;"&amp;0.3)</f>
        <v>0</v>
      </c>
      <c r="W26" s="65">
        <v>1</v>
      </c>
      <c r="X26" s="65">
        <f t="shared" si="2"/>
        <v>0</v>
      </c>
      <c r="Y26" s="286"/>
      <c r="AB26" s="48">
        <f t="shared" si="0"/>
        <v>0.7369</v>
      </c>
      <c r="AC26" s="48">
        <f t="shared" si="9"/>
        <v>0.7651</v>
      </c>
      <c r="AD26" s="49">
        <v>2.6999999999999802</v>
      </c>
    </row>
    <row r="27" spans="3:30">
      <c r="C27" s="25">
        <f t="shared" si="4"/>
        <v>21</v>
      </c>
      <c r="D27" s="73" t="s">
        <v>51</v>
      </c>
      <c r="E27" s="73"/>
      <c r="F27" s="72" t="s">
        <v>280</v>
      </c>
      <c r="G27" s="89">
        <f>IF(ISBLANK(VLOOKUP($D$3,MemberData!$D$6:$JY$18,$C27*3+1,0)),"",VLOOKUP($D$3,MemberData!$D$6:$JY$18,$C27*3+1,0))</f>
        <v>0.03</v>
      </c>
      <c r="H27" s="90">
        <f>IF(ISBLANK(VLOOKUP($D$3,MemberData!$D$6:$JY$18,$C27*3+2,0)),"",VLOOKUP($D$3,MemberData!$D$6:$JY$18,$C27*3+2,0))</f>
        <v>3</v>
      </c>
      <c r="I27" s="90">
        <f>IF(ISBLANK(VLOOKUP($D$3,MemberData!$D$6:$JY$18,$C27*3+3,0)),"",VLOOKUP($D$3,MemberData!$D$6:$JY$18,$C27*3+3,0))</f>
        <v>3</v>
      </c>
      <c r="J27" s="91">
        <f t="shared" si="3"/>
        <v>0</v>
      </c>
      <c r="P27" s="320"/>
      <c r="Q27" s="313"/>
      <c r="R27" s="322"/>
      <c r="S27" s="286"/>
      <c r="T27" s="286"/>
      <c r="U27" s="55" t="s">
        <v>165</v>
      </c>
      <c r="V27" s="65">
        <f>COUNTIFS(F:F,$P22,J:J,"&gt;="&amp;-0.1,J:J,"&lt;"&amp;0)</f>
        <v>0</v>
      </c>
      <c r="W27" s="65">
        <v>0.4</v>
      </c>
      <c r="X27" s="65">
        <f t="shared" si="2"/>
        <v>0</v>
      </c>
      <c r="Y27" s="286"/>
      <c r="AB27" s="48">
        <f t="shared" si="0"/>
        <v>0.70860000000000001</v>
      </c>
      <c r="AC27" s="48">
        <f t="shared" si="9"/>
        <v>0.73680000000000001</v>
      </c>
      <c r="AD27" s="49">
        <v>2.5999999999999699</v>
      </c>
    </row>
    <row r="28" spans="3:30">
      <c r="C28" s="25">
        <f t="shared" si="4"/>
        <v>22</v>
      </c>
      <c r="D28" s="73" t="s">
        <v>52</v>
      </c>
      <c r="E28" s="73"/>
      <c r="F28" s="72" t="s">
        <v>280</v>
      </c>
      <c r="G28" s="89">
        <f>IF(ISBLANK(VLOOKUP($D$3,MemberData!$D$6:$JY$18,$C28*3+1,0)),"",VLOOKUP($D$3,MemberData!$D$6:$JY$18,$C28*3+1,0))</f>
        <v>0.03</v>
      </c>
      <c r="H28" s="90">
        <f>IF(ISBLANK(VLOOKUP($D$3,MemberData!$D$6:$JY$18,$C28*3+2,0)),"",VLOOKUP($D$3,MemberData!$D$6:$JY$18,$C28*3+2,0))</f>
        <v>3</v>
      </c>
      <c r="I28" s="90" t="str">
        <f>IF(ISBLANK(VLOOKUP($D$3,MemberData!$D$6:$JY$18,$C28*3+3,0)),"",VLOOKUP($D$3,MemberData!$D$6:$JY$18,$C28*3+3,0))</f>
        <v> 4</v>
      </c>
      <c r="J28" s="91" t="str">
        <f t="shared" si="3"/>
        <v>NA</v>
      </c>
      <c r="P28" s="320"/>
      <c r="Q28" s="313"/>
      <c r="R28" s="322"/>
      <c r="S28" s="286"/>
      <c r="T28" s="286"/>
      <c r="U28" s="55" t="s">
        <v>166</v>
      </c>
      <c r="V28" s="65">
        <f>COUNTIFS(F:F,$P22,J:J,"&lt;"&amp;-0.1,J:J,"&gt;="&amp;-0.3)</f>
        <v>0</v>
      </c>
      <c r="W28" s="65">
        <v>0.65</v>
      </c>
      <c r="X28" s="65">
        <f t="shared" si="2"/>
        <v>0</v>
      </c>
      <c r="Y28" s="286"/>
      <c r="AB28" s="48">
        <f t="shared" si="0"/>
        <v>0.68030000000000002</v>
      </c>
      <c r="AC28" s="48">
        <f t="shared" si="9"/>
        <v>0.70850000000000002</v>
      </c>
      <c r="AD28" s="49">
        <v>2.49999999999996</v>
      </c>
    </row>
    <row r="29" spans="3:30">
      <c r="C29" s="25">
        <f t="shared" si="4"/>
        <v>23</v>
      </c>
      <c r="D29" s="73" t="s">
        <v>53</v>
      </c>
      <c r="E29" s="73"/>
      <c r="F29" s="72" t="s">
        <v>34</v>
      </c>
      <c r="G29" s="89">
        <f>IF(ISBLANK(VLOOKUP($D$3,MemberData!$D$6:$JY$18,$C29*3+1,0)),"",VLOOKUP($D$3,MemberData!$D$6:$JY$18,$C29*3+1,0))</f>
        <v>0</v>
      </c>
      <c r="H29" s="90">
        <f>IF(ISBLANK(VLOOKUP($D$3,MemberData!$D$6:$JY$18,$C29*3+2,0)),"",VLOOKUP($D$3,MemberData!$D$6:$JY$18,$C29*3+2,0))</f>
        <v>0</v>
      </c>
      <c r="I29" s="90">
        <f>IF(ISBLANK(VLOOKUP($D$3,MemberData!$D$6:$JY$18,$C29*3+3,0)),"",VLOOKUP($D$3,MemberData!$D$6:$JY$18,$C29*3+3,0))</f>
        <v>0</v>
      </c>
      <c r="J29" s="91" t="str">
        <f t="shared" si="3"/>
        <v>NA</v>
      </c>
      <c r="P29" s="320"/>
      <c r="Q29" s="314"/>
      <c r="R29" s="323"/>
      <c r="S29" s="287"/>
      <c r="T29" s="287"/>
      <c r="U29" s="55" t="s">
        <v>158</v>
      </c>
      <c r="V29" s="65">
        <f>COUNTIFS(F:F,$P22,J:J,"&lt;"&amp;-0.3)</f>
        <v>0</v>
      </c>
      <c r="W29" s="65">
        <v>1</v>
      </c>
      <c r="X29" s="65">
        <f t="shared" si="2"/>
        <v>0</v>
      </c>
      <c r="Y29" s="287"/>
      <c r="AB29" s="48">
        <f t="shared" si="0"/>
        <v>0.65200000000000002</v>
      </c>
      <c r="AC29" s="48">
        <f t="shared" si="9"/>
        <v>0.68020000000000003</v>
      </c>
      <c r="AD29" s="49">
        <v>2.3999999999999502</v>
      </c>
    </row>
    <row r="30" spans="3:30">
      <c r="C30" s="25">
        <f t="shared" si="4"/>
        <v>24</v>
      </c>
      <c r="D30" s="229" t="s">
        <v>309</v>
      </c>
      <c r="E30" s="73"/>
      <c r="F30" s="234" t="s">
        <v>34</v>
      </c>
      <c r="G30" s="89">
        <f>IF(ISBLANK(VLOOKUP($D$3,MemberData!$D$6:$JY$18,$C30*3+1,0)),"",VLOOKUP($D$3,MemberData!$D$6:$JY$18,$C30*3+1,0))</f>
        <v>0.03</v>
      </c>
      <c r="H30" s="90">
        <f>IF(ISBLANK(VLOOKUP($D$3,MemberData!$D$6:$JY$18,$C30*3+2,0)),"",VLOOKUP($D$3,MemberData!$D$6:$JY$18,$C30*3+2,0))</f>
        <v>3</v>
      </c>
      <c r="I30" s="90" t="str">
        <f>IF(ISBLANK(VLOOKUP($D$3,MemberData!$D$6:$JY$18,$C30*3+3,0)),"",VLOOKUP($D$3,MemberData!$D$6:$JY$18,$C30*3+3,0))</f>
        <v> 3</v>
      </c>
      <c r="J30" s="91" t="str">
        <f t="shared" si="3"/>
        <v>NA</v>
      </c>
      <c r="P30" s="308" t="s">
        <v>34</v>
      </c>
      <c r="Q30" s="315">
        <f>SUMIFS($G$7:$G$99,$F$7:$F$99,$P$30)</f>
        <v>0.1</v>
      </c>
      <c r="R30" s="302">
        <f>IFERROR(SUM(X30:X36)/SUM(V30:V37),0)</f>
        <v>0.5</v>
      </c>
      <c r="S30" s="288">
        <f t="shared" ref="S30" si="10">IFERROR(LOOKUP(2,1/($AB$3:$AB$52&lt;=R30)/($AC$3:$AC$52&gt;=R30),$AD$3:$AD$52),0)</f>
        <v>1.7999999999998899</v>
      </c>
      <c r="T30" s="288">
        <f t="shared" ref="T30" si="11">IFERROR(ROUND(S30,0),0)</f>
        <v>2</v>
      </c>
      <c r="U30" s="67" t="s">
        <v>153</v>
      </c>
      <c r="V30" s="68">
        <f>COUNTIFS(F:F,$P30,J:J,"="&amp;0)</f>
        <v>0</v>
      </c>
      <c r="W30" s="68">
        <v>0.85</v>
      </c>
      <c r="X30" s="68">
        <f t="shared" si="2"/>
        <v>0</v>
      </c>
      <c r="Y30" s="288">
        <f>IFERROR(LOOKUP(2,1/($AB$3:$AB$52&lt;=R30)/($AC$3:$AC$52&gt;=R30),$AD$3:$AD$52),0)</f>
        <v>1.7999999999998899</v>
      </c>
      <c r="AB30" s="48">
        <f t="shared" si="0"/>
        <v>0.62370000000000003</v>
      </c>
      <c r="AC30" s="48">
        <f t="shared" si="9"/>
        <v>0.65190000000000003</v>
      </c>
      <c r="AD30" s="49">
        <v>2.2999999999999399</v>
      </c>
    </row>
    <row r="31" spans="3:30">
      <c r="C31" s="25">
        <f t="shared" si="4"/>
        <v>25</v>
      </c>
      <c r="D31" s="73" t="s">
        <v>54</v>
      </c>
      <c r="E31" s="73"/>
      <c r="F31" s="72" t="s">
        <v>34</v>
      </c>
      <c r="G31" s="89">
        <f>IF(ISBLANK(VLOOKUP($D$3,MemberData!$D$6:$JY$18,$C31*3+1,0)),"",VLOOKUP($D$3,MemberData!$D$6:$JY$18,$C31*3+1,0))</f>
        <v>0.03</v>
      </c>
      <c r="H31" s="90">
        <f>IF(ISBLANK(VLOOKUP($D$3,MemberData!$D$6:$JY$18,$C31*3+2,0)),"",VLOOKUP($D$3,MemberData!$D$6:$JY$18,$C31*3+2,0))</f>
        <v>3</v>
      </c>
      <c r="I31" s="90">
        <f>IF(ISBLANK(VLOOKUP($D$3,MemberData!$D$6:$JY$18,$C31*3+3,0)),"",VLOOKUP($D$3,MemberData!$D$6:$JY$18,$C31*3+3,0))</f>
        <v>4</v>
      </c>
      <c r="J31" s="91">
        <f t="shared" si="3"/>
        <v>0.33333333333333331</v>
      </c>
      <c r="P31" s="308"/>
      <c r="Q31" s="316"/>
      <c r="R31" s="303"/>
      <c r="S31" s="289"/>
      <c r="T31" s="289"/>
      <c r="U31" s="67" t="s">
        <v>154</v>
      </c>
      <c r="V31" s="68">
        <f>COUNTIFS(F:F,$P30,J:J,"&gt;"&amp;0,J:J,"&lt;="&amp;0.1)</f>
        <v>0</v>
      </c>
      <c r="W31" s="68">
        <v>0.88749999999999996</v>
      </c>
      <c r="X31" s="68">
        <f t="shared" si="2"/>
        <v>0</v>
      </c>
      <c r="Y31" s="289"/>
      <c r="AB31" s="48">
        <f t="shared" si="0"/>
        <v>0.59540000000000004</v>
      </c>
      <c r="AC31" s="48">
        <f t="shared" si="9"/>
        <v>0.62360000000000004</v>
      </c>
      <c r="AD31" s="49">
        <v>2.19999999999993</v>
      </c>
    </row>
    <row r="32" spans="3:30">
      <c r="C32" s="25">
        <f t="shared" si="4"/>
        <v>26</v>
      </c>
      <c r="D32" s="87" t="s">
        <v>197</v>
      </c>
      <c r="E32" s="87"/>
      <c r="F32" s="88" t="s">
        <v>34</v>
      </c>
      <c r="G32" s="89" t="str">
        <f>IF(ISBLANK(VLOOKUP($D$3,MemberData!$D$6:$JY$18,$C32*3+1,0)),"",VLOOKUP($D$3,MemberData!$D$6:$JY$18,$C32*3+1,0))</f>
        <v/>
      </c>
      <c r="H32" s="90" t="str">
        <f>IF(ISBLANK(VLOOKUP($D$3,MemberData!$D$6:$JY$18,$C32*3+2,0)),"",VLOOKUP($D$3,MemberData!$D$6:$JY$18,$C32*3+2,0))</f>
        <v/>
      </c>
      <c r="I32" s="90" t="str">
        <f>IF(ISBLANK(VLOOKUP($D$3,MemberData!$D$6:$JY$18,$C32*3+3,0)),"",VLOOKUP($D$3,MemberData!$D$6:$JY$18,$C32*3+3,0))</f>
        <v/>
      </c>
      <c r="J32" s="91" t="str">
        <f t="shared" si="3"/>
        <v>NA</v>
      </c>
      <c r="P32" s="308"/>
      <c r="Q32" s="316"/>
      <c r="R32" s="303"/>
      <c r="S32" s="289"/>
      <c r="T32" s="289"/>
      <c r="U32" s="67" t="s">
        <v>155</v>
      </c>
      <c r="V32" s="68">
        <f>COUNTIFS(F:F,$P30,J:J,"&gt;"&amp;0.1,J:J,"&lt;="&amp;0.2)</f>
        <v>0</v>
      </c>
      <c r="W32" s="68">
        <v>0.92500000000000004</v>
      </c>
      <c r="X32" s="68">
        <f t="shared" si="2"/>
        <v>0</v>
      </c>
      <c r="Y32" s="289"/>
      <c r="AB32" s="48">
        <f t="shared" si="0"/>
        <v>0.56710000000000005</v>
      </c>
      <c r="AC32" s="48">
        <f t="shared" si="9"/>
        <v>0.59530000000000005</v>
      </c>
      <c r="AD32" s="49">
        <v>2.0999999999999202</v>
      </c>
    </row>
    <row r="33" spans="3:30">
      <c r="C33" s="25">
        <f t="shared" si="4"/>
        <v>27</v>
      </c>
      <c r="D33" s="85" t="s">
        <v>29</v>
      </c>
      <c r="E33" s="85"/>
      <c r="F33" s="86" t="s">
        <v>34</v>
      </c>
      <c r="G33" s="122" t="str">
        <f>IF(ISBLANK(VLOOKUP($D$3,MemberData!$D$6:$JY$18,$C33*3+1,0)),"",VLOOKUP($D$3,MemberData!$D$6:$JY$18,$C33*3+1,0))</f>
        <v/>
      </c>
      <c r="H33" s="123" t="str">
        <f>IF(ISBLANK(VLOOKUP($D$3,MemberData!$D$6:$JY$18,$C33*3+2,0)),"",VLOOKUP($D$3,MemberData!$D$6:$JY$18,$C33*3+2,0))</f>
        <v/>
      </c>
      <c r="I33" s="123" t="str">
        <f>IF(ISBLANK(VLOOKUP($D$3,MemberData!$D$6:$JY$18,$C33*3+3,0)),"",VLOOKUP($D$3,MemberData!$D$6:$JY$18,$C33*3+3,0))</f>
        <v/>
      </c>
      <c r="J33" s="91" t="str">
        <f t="shared" si="3"/>
        <v>NA</v>
      </c>
      <c r="P33" s="308"/>
      <c r="Q33" s="316"/>
      <c r="R33" s="303"/>
      <c r="S33" s="289"/>
      <c r="T33" s="289"/>
      <c r="U33" s="67" t="s">
        <v>156</v>
      </c>
      <c r="V33" s="68">
        <f>COUNTIFS(F:F,$P30,J:J,"&gt;"&amp;0.2,J:J,"&lt;="&amp;0.3)</f>
        <v>0</v>
      </c>
      <c r="W33" s="68">
        <v>0.96250000000000002</v>
      </c>
      <c r="X33" s="68">
        <f t="shared" si="2"/>
        <v>0</v>
      </c>
      <c r="Y33" s="289"/>
      <c r="AB33" s="48">
        <f t="shared" si="0"/>
        <v>0.53880000000000006</v>
      </c>
      <c r="AC33" s="48">
        <f t="shared" si="9"/>
        <v>0.56700000000000006</v>
      </c>
      <c r="AD33" s="49">
        <v>1.9999999999999101</v>
      </c>
    </row>
    <row r="34" spans="3:30">
      <c r="C34" s="25">
        <f t="shared" si="4"/>
        <v>28</v>
      </c>
      <c r="D34" s="73" t="s">
        <v>261</v>
      </c>
      <c r="E34" s="73"/>
      <c r="F34" s="72" t="s">
        <v>55</v>
      </c>
      <c r="G34" s="89">
        <f>IF(ISBLANK(VLOOKUP($D$3,MemberData!$D$6:$JY$18,$C34*3+1,0)),"",VLOOKUP($D$3,MemberData!$D$6:$JY$18,$C34*3+1,0))</f>
        <v>0</v>
      </c>
      <c r="H34" s="90">
        <f>IF(ISBLANK(VLOOKUP($D$3,MemberData!$D$6:$JY$18,$C34*3+2,0)),"",VLOOKUP($D$3,MemberData!$D$6:$JY$18,$C34*3+2,0))</f>
        <v>0</v>
      </c>
      <c r="I34" s="90">
        <f>IF(ISBLANK(VLOOKUP($D$3,MemberData!$D$6:$JY$18,$C34*3+3,0)),"",VLOOKUP($D$3,MemberData!$D$6:$JY$18,$C34*3+3,0))</f>
        <v>0</v>
      </c>
      <c r="J34" s="91" t="str">
        <f t="shared" si="3"/>
        <v>NA</v>
      </c>
      <c r="P34" s="308"/>
      <c r="Q34" s="316"/>
      <c r="R34" s="303"/>
      <c r="S34" s="289"/>
      <c r="T34" s="289"/>
      <c r="U34" s="67" t="s">
        <v>157</v>
      </c>
      <c r="V34" s="68">
        <f>COUNTIFS(F:F,$P30,J:J,"&gt;"&amp;0.3)</f>
        <v>1</v>
      </c>
      <c r="W34" s="68">
        <v>1</v>
      </c>
      <c r="X34" s="68">
        <f t="shared" si="2"/>
        <v>1</v>
      </c>
      <c r="Y34" s="289"/>
      <c r="AB34" s="48">
        <f t="shared" si="0"/>
        <v>0.51050000000000006</v>
      </c>
      <c r="AC34" s="48">
        <f t="shared" si="9"/>
        <v>0.53870000000000007</v>
      </c>
      <c r="AD34" s="49">
        <v>1.8999999999999</v>
      </c>
    </row>
    <row r="35" spans="3:30">
      <c r="C35" s="25">
        <f t="shared" si="4"/>
        <v>29</v>
      </c>
      <c r="D35" s="73" t="s">
        <v>183</v>
      </c>
      <c r="E35" s="73"/>
      <c r="F35" s="72" t="s">
        <v>55</v>
      </c>
      <c r="G35" s="89" t="str">
        <f>IF(ISBLANK(VLOOKUP($D$3,MemberData!$D$6:$JY$18,$C35*3+1,0)),"",VLOOKUP($D$3,MemberData!$D$6:$JY$18,$C35*3+1,0))</f>
        <v/>
      </c>
      <c r="H35" s="90" t="str">
        <f>IF(ISBLANK(VLOOKUP($D$3,MemberData!$D$6:$JY$18,$C35*3+2,0)),"",VLOOKUP($D$3,MemberData!$D$6:$JY$18,$C35*3+2,0))</f>
        <v/>
      </c>
      <c r="I35" s="90" t="str">
        <f>IF(ISBLANK(VLOOKUP($D$3,MemberData!$D$6:$JY$18,$C35*3+3,0)),"",VLOOKUP($D$3,MemberData!$D$6:$JY$18,$C35*3+3,0))</f>
        <v/>
      </c>
      <c r="J35" s="91" t="str">
        <f t="shared" si="3"/>
        <v>NA</v>
      </c>
      <c r="P35" s="308"/>
      <c r="Q35" s="316"/>
      <c r="R35" s="303"/>
      <c r="S35" s="289"/>
      <c r="T35" s="289"/>
      <c r="U35" s="67" t="s">
        <v>165</v>
      </c>
      <c r="V35" s="68">
        <f>COUNTIFS(F:F,$P30,J:J,"&gt;="&amp;-0.1,J:J,"&lt;"&amp;0)</f>
        <v>0</v>
      </c>
      <c r="W35" s="68">
        <v>0.4</v>
      </c>
      <c r="X35" s="68">
        <f t="shared" si="2"/>
        <v>0</v>
      </c>
      <c r="Y35" s="289"/>
      <c r="AB35" s="48">
        <f t="shared" si="0"/>
        <v>0.48220000000000007</v>
      </c>
      <c r="AC35" s="48">
        <f t="shared" si="9"/>
        <v>0.51040000000000008</v>
      </c>
      <c r="AD35" s="49">
        <v>1.7999999999998899</v>
      </c>
    </row>
    <row r="36" spans="3:30">
      <c r="C36" s="25">
        <f t="shared" si="4"/>
        <v>30</v>
      </c>
      <c r="D36" s="73" t="s">
        <v>184</v>
      </c>
      <c r="E36" s="73"/>
      <c r="F36" s="72" t="s">
        <v>55</v>
      </c>
      <c r="G36" s="89" t="str">
        <f>IF(ISBLANK(VLOOKUP($D$3,MemberData!$D$6:$JY$18,$C36*3+1,0)),"",VLOOKUP($D$3,MemberData!$D$6:$JY$18,$C36*3+1,0))</f>
        <v/>
      </c>
      <c r="H36" s="90" t="str">
        <f>IF(ISBLANK(VLOOKUP($D$3,MemberData!$D$6:$JY$18,$C36*3+2,0)),"",VLOOKUP($D$3,MemberData!$D$6:$JY$18,$C36*3+2,0))</f>
        <v/>
      </c>
      <c r="I36" s="90" t="str">
        <f>IF(ISBLANK(VLOOKUP($D$3,MemberData!$D$6:$JY$18,$C36*3+3,0)),"",VLOOKUP($D$3,MemberData!$D$6:$JY$18,$C36*3+3,0))</f>
        <v/>
      </c>
      <c r="J36" s="91" t="str">
        <f t="shared" si="3"/>
        <v>NA</v>
      </c>
      <c r="P36" s="308"/>
      <c r="Q36" s="316"/>
      <c r="R36" s="303"/>
      <c r="S36" s="289"/>
      <c r="T36" s="289"/>
      <c r="U36" s="67" t="s">
        <v>166</v>
      </c>
      <c r="V36" s="68">
        <f>COUNTIFS(F:F,$P30,J:J,"&lt;"&amp;-0.1,J:J,"&gt;="&amp;-0.3)</f>
        <v>0</v>
      </c>
      <c r="W36" s="68">
        <v>0.65</v>
      </c>
      <c r="X36" s="68">
        <f t="shared" si="2"/>
        <v>0</v>
      </c>
      <c r="Y36" s="289"/>
      <c r="AB36" s="48">
        <f t="shared" si="0"/>
        <v>0.45390000000000008</v>
      </c>
      <c r="AC36" s="48">
        <f t="shared" si="9"/>
        <v>0.48210000000000008</v>
      </c>
      <c r="AD36" s="49">
        <v>1.6999999999998801</v>
      </c>
    </row>
    <row r="37" spans="3:30">
      <c r="C37" s="25">
        <f t="shared" si="4"/>
        <v>31</v>
      </c>
      <c r="D37" s="73" t="s">
        <v>48</v>
      </c>
      <c r="E37" s="73"/>
      <c r="F37" s="72" t="s">
        <v>307</v>
      </c>
      <c r="G37" s="89">
        <f>IF(ISBLANK(VLOOKUP($D$3,MemberData!$D$6:$JY$18,$C37*3+1,0)),"",VLOOKUP($D$3,MemberData!$D$6:$JY$18,$C37*3+1,0))</f>
        <v>0</v>
      </c>
      <c r="H37" s="90">
        <f>IF(ISBLANK(VLOOKUP($D$3,MemberData!$D$6:$JY$18,$C37*3+2,0)),"",VLOOKUP($D$3,MemberData!$D$6:$JY$18,$C37*3+2,0))</f>
        <v>0</v>
      </c>
      <c r="I37" s="90">
        <f>IF(ISBLANK(VLOOKUP($D$3,MemberData!$D$6:$JY$18,$C37*3+3,0)),"",VLOOKUP($D$3,MemberData!$D$6:$JY$18,$C37*3+3,0))</f>
        <v>0</v>
      </c>
      <c r="J37" s="91" t="str">
        <f t="shared" si="3"/>
        <v>NA</v>
      </c>
      <c r="P37" s="308"/>
      <c r="Q37" s="317"/>
      <c r="R37" s="304"/>
      <c r="S37" s="290"/>
      <c r="T37" s="290"/>
      <c r="U37" s="67" t="s">
        <v>158</v>
      </c>
      <c r="V37" s="68">
        <f>COUNTIFS(F:F,$P30,J:J,"&lt;"&amp;-0.3)</f>
        <v>1</v>
      </c>
      <c r="W37" s="68">
        <v>1</v>
      </c>
      <c r="X37" s="68">
        <f t="shared" si="2"/>
        <v>1</v>
      </c>
      <c r="Y37" s="290"/>
      <c r="AB37" s="48">
        <f t="shared" si="0"/>
        <v>0.42560000000000009</v>
      </c>
      <c r="AC37" s="48">
        <f t="shared" si="9"/>
        <v>0.45380000000000009</v>
      </c>
      <c r="AD37" s="49">
        <v>1.59999999999987</v>
      </c>
    </row>
    <row r="38" spans="3:30">
      <c r="C38" s="25">
        <f t="shared" si="4"/>
        <v>32</v>
      </c>
      <c r="D38" s="73" t="s">
        <v>180</v>
      </c>
      <c r="E38" s="73"/>
      <c r="F38" s="72" t="s">
        <v>185</v>
      </c>
      <c r="G38" s="89" t="str">
        <f>IF(ISBLANK(VLOOKUP($D$3,MemberData!$D$6:$JY$18,$C38*3+1,0)),"",VLOOKUP($D$3,MemberData!$D$6:$JY$18,$C38*3+1,0))</f>
        <v/>
      </c>
      <c r="H38" s="90" t="str">
        <f>IF(ISBLANK(VLOOKUP($D$3,MemberData!$D$6:$JY$18,$C38*3+2,0)),"",VLOOKUP($D$3,MemberData!$D$6:$JY$18,$C38*3+2,0))</f>
        <v/>
      </c>
      <c r="I38" s="90" t="str">
        <f>IF(ISBLANK(VLOOKUP($D$3,MemberData!$D$6:$JY$18,$C38*3+3,0)),"",VLOOKUP($D$3,MemberData!$D$6:$JY$18,$C38*3+3,0))</f>
        <v/>
      </c>
      <c r="J38" s="91" t="str">
        <f t="shared" si="3"/>
        <v>NA</v>
      </c>
      <c r="P38" s="318" t="s">
        <v>55</v>
      </c>
      <c r="Q38" s="324">
        <f>SUMIFS($G$7:$G$99,$F$7:$F$99,$P$38)</f>
        <v>0</v>
      </c>
      <c r="R38" s="327">
        <f>IFERROR(SUM(X38:X44)/SUM(V38:V45),0)</f>
        <v>0</v>
      </c>
      <c r="S38" s="279">
        <f t="shared" ref="S38" si="12">IFERROR(LOOKUP(2,1/($AB$3:$AB$52&lt;=R38)/($AC$3:$AC$52&gt;=R38),$AD$3:$AD$52),0)</f>
        <v>9.9999999999705005E-2</v>
      </c>
      <c r="T38" s="279">
        <f t="shared" ref="T38" si="13">IFERROR(ROUND(S38,0),0)</f>
        <v>0</v>
      </c>
      <c r="U38" s="69" t="s">
        <v>153</v>
      </c>
      <c r="V38" s="40">
        <f>COUNTIFS(F:F,$P38,J:J,"="&amp;0)</f>
        <v>0</v>
      </c>
      <c r="W38" s="40">
        <v>0.85</v>
      </c>
      <c r="X38" s="40">
        <f t="shared" ref="X38:X53" si="14">V38*W38</f>
        <v>0</v>
      </c>
      <c r="Y38" s="279">
        <f>IFERROR(LOOKUP(2,1/($AB$3:$AB$52&lt;=R38)/($AC$3:$AC$52&gt;=R38),$AD$3:$AD$52),0)</f>
        <v>9.9999999999705005E-2</v>
      </c>
      <c r="AB38" s="48">
        <f t="shared" si="0"/>
        <v>0.3973000000000001</v>
      </c>
      <c r="AC38" s="48">
        <f t="shared" si="9"/>
        <v>0.4255000000000001</v>
      </c>
      <c r="AD38" s="49">
        <v>1.4999999999998599</v>
      </c>
    </row>
    <row r="39" spans="3:30">
      <c r="C39" s="25">
        <f t="shared" si="4"/>
        <v>33</v>
      </c>
      <c r="D39" s="87" t="s">
        <v>188</v>
      </c>
      <c r="E39" s="73"/>
      <c r="F39" s="72" t="s">
        <v>185</v>
      </c>
      <c r="G39" s="89" t="str">
        <f>IF(ISBLANK(VLOOKUP($D$3,MemberData!$D$6:$JY$18,$C39*3+1,0)),"",VLOOKUP($D$3,MemberData!$D$6:$JY$18,$C39*3+1,0))</f>
        <v/>
      </c>
      <c r="H39" s="90" t="str">
        <f>IF(ISBLANK(VLOOKUP($D$3,MemberData!$D$6:$JY$18,$C39*3+2,0)),"",VLOOKUP($D$3,MemberData!$D$6:$JY$18,$C39*3+2,0))</f>
        <v/>
      </c>
      <c r="I39" s="90" t="str">
        <f>IF(ISBLANK(VLOOKUP($D$3,MemberData!$D$6:$JY$18,$C39*3+3,0)),"",VLOOKUP($D$3,MemberData!$D$6:$JY$18,$C39*3+3,0))</f>
        <v/>
      </c>
      <c r="J39" s="91" t="str">
        <f t="shared" si="3"/>
        <v>NA</v>
      </c>
      <c r="P39" s="318"/>
      <c r="Q39" s="325"/>
      <c r="R39" s="328"/>
      <c r="S39" s="280"/>
      <c r="T39" s="280"/>
      <c r="U39" s="69" t="s">
        <v>154</v>
      </c>
      <c r="V39" s="40">
        <f>COUNTIFS(F:F,$P38,J:J,"&gt;"&amp;0,J:J,"&lt;="&amp;0.1)</f>
        <v>0</v>
      </c>
      <c r="W39" s="40">
        <v>0.88749999999999996</v>
      </c>
      <c r="X39" s="40">
        <f t="shared" si="14"/>
        <v>0</v>
      </c>
      <c r="Y39" s="280"/>
      <c r="AB39" s="48">
        <f t="shared" si="0"/>
        <v>0.36900000000000011</v>
      </c>
      <c r="AC39" s="48">
        <f t="shared" si="9"/>
        <v>0.39720000000000011</v>
      </c>
      <c r="AD39" s="49">
        <v>1.39999999999985</v>
      </c>
    </row>
    <row r="40" spans="3:30">
      <c r="C40" s="176">
        <f t="shared" si="4"/>
        <v>34</v>
      </c>
      <c r="D40" s="87" t="s">
        <v>23</v>
      </c>
      <c r="E40" s="73" t="s">
        <v>189</v>
      </c>
      <c r="F40" s="88" t="s">
        <v>35</v>
      </c>
      <c r="G40" s="89" t="str">
        <f>IF(ISBLANK(VLOOKUP($D$3,MemberData!$D$6:$JY$18,$C40*3+1,0)),"",VLOOKUP($D$3,MemberData!$D$6:$JY$18,$C40*3+1,0))</f>
        <v/>
      </c>
      <c r="H40" s="90" t="str">
        <f>IF(ISBLANK(VLOOKUP($D$3,MemberData!$D$6:$JY$18,$C40*3+2,0)),"",VLOOKUP($D$3,MemberData!$D$6:$JY$18,$C40*3+2,0))</f>
        <v/>
      </c>
      <c r="I40" s="90" t="str">
        <f>IF(ISBLANK(VLOOKUP($D$3,MemberData!$D$6:$JY$18,$C40*3+3,0)),"",VLOOKUP($D$3,MemberData!$D$6:$JY$18,$C40*3+3,0))</f>
        <v/>
      </c>
      <c r="J40" s="91" t="str">
        <f t="shared" ref="J40:J48" si="15">IFERROR((I40-H40)/H40,"NA")</f>
        <v>NA</v>
      </c>
      <c r="P40" s="318"/>
      <c r="Q40" s="325"/>
      <c r="R40" s="328"/>
      <c r="S40" s="280"/>
      <c r="T40" s="280"/>
      <c r="U40" s="69" t="s">
        <v>155</v>
      </c>
      <c r="V40" s="40">
        <f>COUNTIFS(F:F,$P38,J:J,"&gt;"&amp;0.1,J:J,"&lt;="&amp;0.2)</f>
        <v>0</v>
      </c>
      <c r="W40" s="40">
        <v>0.92500000000000004</v>
      </c>
      <c r="X40" s="40">
        <f t="shared" si="14"/>
        <v>0</v>
      </c>
      <c r="Y40" s="280"/>
      <c r="AB40" s="48">
        <f t="shared" si="0"/>
        <v>0.34070000000000011</v>
      </c>
      <c r="AC40" s="48">
        <f t="shared" si="9"/>
        <v>0.36890000000000012</v>
      </c>
      <c r="AD40" s="49">
        <v>1.29999999999983</v>
      </c>
    </row>
    <row r="41" spans="3:30">
      <c r="C41" s="176">
        <f t="shared" si="4"/>
        <v>35</v>
      </c>
      <c r="D41" s="229" t="s">
        <v>303</v>
      </c>
      <c r="E41" s="73" t="s">
        <v>189</v>
      </c>
      <c r="F41" s="88" t="s">
        <v>35</v>
      </c>
      <c r="G41" s="89" t="str">
        <f>IF(ISBLANK(VLOOKUP($D$3,MemberData!$D$6:$JY$18,$C41*3+1,0)),"",VLOOKUP($D$3,MemberData!$D$6:$JY$18,$C41*3+1,0))</f>
        <v/>
      </c>
      <c r="H41" s="90" t="str">
        <f>IF(ISBLANK(VLOOKUP($D$3,MemberData!$D$6:$JY$18,$C41*3+2,0)),"",VLOOKUP($D$3,MemberData!$D$6:$JY$18,$C41*3+2,0))</f>
        <v/>
      </c>
      <c r="I41" s="90" t="str">
        <f>IF(ISBLANK(VLOOKUP($D$3,MemberData!$D$6:$JY$18,$C41*3+3,0)),"",VLOOKUP($D$3,MemberData!$D$6:$JY$18,$C41*3+3,0))</f>
        <v/>
      </c>
      <c r="J41" s="91" t="str">
        <f t="shared" si="15"/>
        <v>NA</v>
      </c>
      <c r="P41" s="318"/>
      <c r="Q41" s="325"/>
      <c r="R41" s="328"/>
      <c r="S41" s="280"/>
      <c r="T41" s="280"/>
      <c r="U41" s="69" t="s">
        <v>156</v>
      </c>
      <c r="V41" s="40">
        <f>COUNTIFS(F:F,$P38,J:J,"&gt;"&amp;0.2,J:J,"&lt;="&amp;0.3)</f>
        <v>0</v>
      </c>
      <c r="W41" s="40">
        <v>0.96250000000000002</v>
      </c>
      <c r="X41" s="40">
        <f t="shared" si="14"/>
        <v>0</v>
      </c>
      <c r="Y41" s="280"/>
      <c r="AB41" s="48">
        <f t="shared" si="0"/>
        <v>0.31240000000000012</v>
      </c>
      <c r="AC41" s="48">
        <f t="shared" si="9"/>
        <v>0.34060000000000012</v>
      </c>
      <c r="AD41" s="49">
        <v>1.1999999999998201</v>
      </c>
    </row>
    <row r="42" spans="3:30">
      <c r="C42" s="176">
        <f t="shared" si="4"/>
        <v>36</v>
      </c>
      <c r="D42" s="229" t="s">
        <v>302</v>
      </c>
      <c r="E42" s="73" t="s">
        <v>189</v>
      </c>
      <c r="F42" s="88" t="s">
        <v>35</v>
      </c>
      <c r="G42" s="89" t="str">
        <f>IF(ISBLANK(VLOOKUP($D$3,MemberData!$D$6:$JY$18,$C42*3+1,0)),"",VLOOKUP($D$3,MemberData!$D$6:$JY$18,$C42*3+1,0))</f>
        <v/>
      </c>
      <c r="H42" s="90" t="str">
        <f>IF(ISBLANK(VLOOKUP($D$3,MemberData!$D$6:$JY$18,$C42*3+2,0)),"",VLOOKUP($D$3,MemberData!$D$6:$JY$18,$C42*3+2,0))</f>
        <v/>
      </c>
      <c r="I42" s="90" t="str">
        <f>IF(ISBLANK(VLOOKUP($D$3,MemberData!$D$6:$JY$18,$C42*3+3,0)),"",VLOOKUP($D$3,MemberData!$D$6:$JY$18,$C42*3+3,0))</f>
        <v/>
      </c>
      <c r="J42" s="91" t="str">
        <f t="shared" si="15"/>
        <v>NA</v>
      </c>
      <c r="P42" s="318"/>
      <c r="Q42" s="325"/>
      <c r="R42" s="328"/>
      <c r="S42" s="280"/>
      <c r="T42" s="280"/>
      <c r="U42" s="69" t="s">
        <v>157</v>
      </c>
      <c r="V42" s="40">
        <f>COUNTIFS(F:F,$P38,J:J,"&gt;"&amp;0.3)</f>
        <v>0</v>
      </c>
      <c r="W42" s="40">
        <v>1</v>
      </c>
      <c r="X42" s="40">
        <f t="shared" si="14"/>
        <v>0</v>
      </c>
      <c r="Y42" s="280"/>
      <c r="AB42" s="48">
        <f t="shared" si="0"/>
        <v>0.28410000000000013</v>
      </c>
      <c r="AC42" s="48">
        <f t="shared" si="9"/>
        <v>0.31230000000000013</v>
      </c>
      <c r="AD42" s="49">
        <v>1.09999999999981</v>
      </c>
    </row>
    <row r="43" spans="3:30">
      <c r="C43" s="176">
        <f t="shared" si="4"/>
        <v>37</v>
      </c>
      <c r="D43" s="87" t="s">
        <v>20</v>
      </c>
      <c r="E43" s="73" t="s">
        <v>189</v>
      </c>
      <c r="F43" s="88" t="s">
        <v>35</v>
      </c>
      <c r="G43" s="89" t="str">
        <f>IF(ISBLANK(VLOOKUP($D$3,MemberData!$D$6:$JY$18,$C43*3+1,0)),"",VLOOKUP($D$3,MemberData!$D$6:$JY$18,$C43*3+1,0))</f>
        <v/>
      </c>
      <c r="H43" s="90" t="str">
        <f>IF(ISBLANK(VLOOKUP($D$3,MemberData!$D$6:$JY$18,$C43*3+2,0)),"",VLOOKUP($D$3,MemberData!$D$6:$JY$18,$C43*3+2,0))</f>
        <v/>
      </c>
      <c r="I43" s="90" t="str">
        <f>IF(ISBLANK(VLOOKUP($D$3,MemberData!$D$6:$JY$18,$C43*3+3,0)),"",VLOOKUP($D$3,MemberData!$D$6:$JY$18,$C43*3+3,0))</f>
        <v/>
      </c>
      <c r="J43" s="91" t="str">
        <f t="shared" si="15"/>
        <v>NA</v>
      </c>
      <c r="P43" s="318"/>
      <c r="Q43" s="325"/>
      <c r="R43" s="328"/>
      <c r="S43" s="280"/>
      <c r="T43" s="280"/>
      <c r="U43" s="69" t="s">
        <v>165</v>
      </c>
      <c r="V43" s="40">
        <f>COUNTIFS(F:F,$P38,J:J,"&gt;="&amp;-0.1,J:J,"&lt;"&amp;0)</f>
        <v>0</v>
      </c>
      <c r="W43" s="40">
        <v>0.4</v>
      </c>
      <c r="X43" s="40">
        <f t="shared" si="14"/>
        <v>0</v>
      </c>
      <c r="Y43" s="280"/>
      <c r="AB43" s="48">
        <f t="shared" si="0"/>
        <v>0.25580000000000014</v>
      </c>
      <c r="AC43" s="48">
        <f t="shared" si="9"/>
        <v>0.28400000000000014</v>
      </c>
      <c r="AD43" s="49">
        <v>0.99999999999980005</v>
      </c>
    </row>
    <row r="44" spans="3:30">
      <c r="C44" s="176">
        <f t="shared" si="4"/>
        <v>38</v>
      </c>
      <c r="D44" s="87" t="s">
        <v>249</v>
      </c>
      <c r="E44" s="73" t="s">
        <v>189</v>
      </c>
      <c r="F44" s="88" t="s">
        <v>35</v>
      </c>
      <c r="G44" s="89" t="str">
        <f>IF(ISBLANK(VLOOKUP($D$3,MemberData!$D$6:$JY$18,$C44*3+1,0)),"",VLOOKUP($D$3,MemberData!$D$6:$JY$18,$C44*3+1,0))</f>
        <v/>
      </c>
      <c r="H44" s="90" t="str">
        <f>IF(ISBLANK(VLOOKUP($D$3,MemberData!$D$6:$JY$18,$C44*3+2,0)),"",VLOOKUP($D$3,MemberData!$D$6:$JY$18,$C44*3+2,0))</f>
        <v/>
      </c>
      <c r="I44" s="90" t="str">
        <f>IF(ISBLANK(VLOOKUP($D$3,MemberData!$D$6:$JY$18,$C44*3+3,0)),"",VLOOKUP($D$3,MemberData!$D$6:$JY$18,$C44*3+3,0))</f>
        <v/>
      </c>
      <c r="J44" s="91" t="str">
        <f t="shared" si="15"/>
        <v>NA</v>
      </c>
      <c r="P44" s="318"/>
      <c r="Q44" s="325"/>
      <c r="R44" s="328"/>
      <c r="S44" s="280"/>
      <c r="T44" s="280"/>
      <c r="U44" s="69" t="s">
        <v>166</v>
      </c>
      <c r="V44" s="40">
        <f>COUNTIFS(F:F,$P38,J:J,"&lt;"&amp;-0.1,J:J,"&gt;="&amp;-0.3)</f>
        <v>0</v>
      </c>
      <c r="W44" s="40">
        <v>0.65</v>
      </c>
      <c r="X44" s="40">
        <f t="shared" si="14"/>
        <v>0</v>
      </c>
      <c r="Y44" s="280"/>
      <c r="AB44" s="48">
        <f t="shared" si="0"/>
        <v>0.22750000000000015</v>
      </c>
      <c r="AC44" s="48">
        <f t="shared" si="9"/>
        <v>0.25570000000000015</v>
      </c>
      <c r="AD44" s="49">
        <v>0.89999999999978997</v>
      </c>
    </row>
    <row r="45" spans="3:30">
      <c r="C45" s="176">
        <f t="shared" si="4"/>
        <v>39</v>
      </c>
      <c r="D45" s="87" t="s">
        <v>251</v>
      </c>
      <c r="E45" s="73" t="s">
        <v>189</v>
      </c>
      <c r="F45" s="88" t="s">
        <v>35</v>
      </c>
      <c r="G45" s="89" t="str">
        <f>IF(ISBLANK(VLOOKUP($D$3,MemberData!$D$6:$JY$18,$C45*3+1,0)),"",VLOOKUP($D$3,MemberData!$D$6:$JY$18,$C45*3+1,0))</f>
        <v/>
      </c>
      <c r="H45" s="90" t="str">
        <f>IF(ISBLANK(VLOOKUP($D$3,MemberData!$D$6:$JY$18,$C45*3+2,0)),"",VLOOKUP($D$3,MemberData!$D$6:$JY$18,$C45*3+2,0))</f>
        <v/>
      </c>
      <c r="I45" s="90" t="str">
        <f>IF(ISBLANK(VLOOKUP($D$3,MemberData!$D$6:$JY$18,$C45*3+3,0)),"",VLOOKUP($D$3,MemberData!$D$6:$JY$18,$C45*3+3,0))</f>
        <v/>
      </c>
      <c r="J45" s="91" t="str">
        <f t="shared" si="15"/>
        <v>NA</v>
      </c>
      <c r="P45" s="318"/>
      <c r="Q45" s="326"/>
      <c r="R45" s="329"/>
      <c r="S45" s="281"/>
      <c r="T45" s="281"/>
      <c r="U45" s="69" t="s">
        <v>158</v>
      </c>
      <c r="V45" s="40">
        <f>COUNTIFS(F:F,$P38,J:J,"&lt;"&amp;-0.3)</f>
        <v>0</v>
      </c>
      <c r="W45" s="40">
        <v>1</v>
      </c>
      <c r="X45" s="40">
        <f t="shared" si="14"/>
        <v>0</v>
      </c>
      <c r="Y45" s="281"/>
      <c r="AB45" s="48">
        <f t="shared" si="0"/>
        <v>0.19920000000000015</v>
      </c>
      <c r="AC45" s="48">
        <f t="shared" si="9"/>
        <v>0.22740000000000016</v>
      </c>
      <c r="AD45" s="49">
        <v>0.79999999999978</v>
      </c>
    </row>
    <row r="46" spans="3:30">
      <c r="C46" s="176">
        <f t="shared" si="4"/>
        <v>40</v>
      </c>
      <c r="D46" s="229" t="s">
        <v>304</v>
      </c>
      <c r="E46" s="229" t="s">
        <v>189</v>
      </c>
      <c r="F46" s="234" t="s">
        <v>307</v>
      </c>
      <c r="G46" s="89" t="str">
        <f>IF(ISBLANK(VLOOKUP($D$3,MemberData!$D$6:$JY$18,$C46*3+1,0)),"",VLOOKUP($D$3,MemberData!$D$6:$JY$18,$C46*3+1,0))</f>
        <v/>
      </c>
      <c r="H46" s="90" t="str">
        <f>IF(ISBLANK(VLOOKUP($D$3,MemberData!$D$6:$JY$18,$C46*3+2,0)),"",VLOOKUP($D$3,MemberData!$D$6:$JY$18,$C46*3+2,0))</f>
        <v/>
      </c>
      <c r="I46" s="90" t="str">
        <f>IF(ISBLANK(VLOOKUP($D$3,MemberData!$D$6:$JY$18,$C46*3+3,0)),"",VLOOKUP($D$3,MemberData!$D$6:$JY$18,$C46*3+3,0))</f>
        <v/>
      </c>
      <c r="J46" s="91" t="str">
        <f t="shared" si="15"/>
        <v>NA</v>
      </c>
      <c r="P46" s="308" t="s">
        <v>185</v>
      </c>
      <c r="Q46" s="315">
        <f>SUMIFS($G$7:$G$99,$F$7:$F$99,$P$46)</f>
        <v>0</v>
      </c>
      <c r="R46" s="302">
        <f>IFERROR(SUM(X46:X52)/SUM(V46:V53),0)</f>
        <v>0</v>
      </c>
      <c r="S46" s="288">
        <f t="shared" ref="S46" si="16">IFERROR(LOOKUP(2,1/($AB$3:$AB$52&lt;=R46)/($AC$3:$AC$52&gt;=R46),$AD$3:$AD$52),0)</f>
        <v>9.9999999999705005E-2</v>
      </c>
      <c r="T46" s="288">
        <f t="shared" ref="T46" si="17">IFERROR(ROUND(S46,0),0)</f>
        <v>0</v>
      </c>
      <c r="U46" s="67" t="s">
        <v>153</v>
      </c>
      <c r="V46" s="68">
        <f>COUNTIFS(F:F,$P46,J:J,"="&amp;0)</f>
        <v>0</v>
      </c>
      <c r="W46" s="68">
        <v>0.85</v>
      </c>
      <c r="X46" s="68">
        <f t="shared" si="14"/>
        <v>0</v>
      </c>
      <c r="Y46" s="288">
        <f>IFERROR(LOOKUP(2,1/($AB$3:$AB$52&lt;=R46)/($AC$3:$AC$52&gt;=R46),$AD$3:$AD$52),0)</f>
        <v>9.9999999999705005E-2</v>
      </c>
      <c r="AB46" s="48">
        <f t="shared" si="0"/>
        <v>0.17090000000000016</v>
      </c>
      <c r="AC46" s="48">
        <f t="shared" si="9"/>
        <v>0.19910000000000017</v>
      </c>
      <c r="AD46" s="49">
        <v>0.69999999999977003</v>
      </c>
    </row>
    <row r="47" spans="3:30">
      <c r="C47" s="176">
        <f t="shared" si="4"/>
        <v>41</v>
      </c>
      <c r="D47" s="229" t="s">
        <v>312</v>
      </c>
      <c r="E47" s="229" t="s">
        <v>189</v>
      </c>
      <c r="F47" s="234" t="s">
        <v>307</v>
      </c>
      <c r="G47" s="89" t="str">
        <f>IF(ISBLANK(VLOOKUP($D$3,MemberData!$D$6:$JY$18,$C47*3+1,0)),"",VLOOKUP($D$3,MemberData!$D$6:$JY$18,$C47*3+1,0))</f>
        <v/>
      </c>
      <c r="H47" s="90" t="str">
        <f>IF(ISBLANK(VLOOKUP($D$3,MemberData!$D$6:$JY$18,$C47*3+2,0)),"",VLOOKUP($D$3,MemberData!$D$6:$JY$18,$C47*3+2,0))</f>
        <v/>
      </c>
      <c r="I47" s="90" t="str">
        <f>IF(ISBLANK(VLOOKUP($D$3,MemberData!$D$6:$JY$18,$C47*3+3,0)),"",VLOOKUP($D$3,MemberData!$D$6:$JY$18,$C47*3+3,0))</f>
        <v/>
      </c>
      <c r="J47" s="91" t="str">
        <f t="shared" si="15"/>
        <v>NA</v>
      </c>
      <c r="P47" s="308"/>
      <c r="Q47" s="316"/>
      <c r="R47" s="303"/>
      <c r="S47" s="289"/>
      <c r="T47" s="289"/>
      <c r="U47" s="67" t="s">
        <v>154</v>
      </c>
      <c r="V47" s="68">
        <f>COUNTIFS(F:F,$P46,J:J,"&gt;"&amp;0,J:J,"&lt;="&amp;0.1)</f>
        <v>0</v>
      </c>
      <c r="W47" s="68">
        <v>0.88749999999999996</v>
      </c>
      <c r="X47" s="68">
        <f t="shared" si="14"/>
        <v>0</v>
      </c>
      <c r="Y47" s="289"/>
      <c r="AB47" s="48">
        <f t="shared" si="0"/>
        <v>0.14260000000000017</v>
      </c>
      <c r="AC47" s="48">
        <f t="shared" si="9"/>
        <v>0.17080000000000017</v>
      </c>
      <c r="AD47" s="49">
        <v>0.59999999999975995</v>
      </c>
    </row>
    <row r="48" spans="3:30">
      <c r="C48" s="176">
        <f t="shared" si="4"/>
        <v>42</v>
      </c>
      <c r="D48" s="73" t="s">
        <v>170</v>
      </c>
      <c r="E48" s="73" t="s">
        <v>189</v>
      </c>
      <c r="F48" s="72" t="s">
        <v>146</v>
      </c>
      <c r="G48" s="89" t="str">
        <f>IF(ISBLANK(VLOOKUP($D$3,MemberData!$D$6:$JY$18,$C48*3+1,0)),"",VLOOKUP($D$3,MemberData!$D$6:$JY$18,$C48*3+1,0))</f>
        <v/>
      </c>
      <c r="H48" s="90" t="str">
        <f>IF(ISBLANK(VLOOKUP($D$3,MemberData!$D$6:$JY$18,$C48*3+2,0)),"",VLOOKUP($D$3,MemberData!$D$6:$JY$18,$C48*3+2,0))</f>
        <v/>
      </c>
      <c r="I48" s="90" t="str">
        <f>IF(ISBLANK(VLOOKUP($D$3,MemberData!$D$6:$JY$18,$C48*3+3,0)),"",VLOOKUP($D$3,MemberData!$D$6:$JY$18,$C48*3+3,0))</f>
        <v/>
      </c>
      <c r="J48" s="91" t="str">
        <f t="shared" si="15"/>
        <v>NA</v>
      </c>
      <c r="P48" s="308"/>
      <c r="Q48" s="316"/>
      <c r="R48" s="303"/>
      <c r="S48" s="289"/>
      <c r="T48" s="289"/>
      <c r="U48" s="67" t="s">
        <v>155</v>
      </c>
      <c r="V48" s="68">
        <f>COUNTIFS(F:F,$P46,J:J,"&gt;"&amp;0.1,J:J,"&lt;="&amp;0.2)</f>
        <v>0</v>
      </c>
      <c r="W48" s="68">
        <v>0.92500000000000004</v>
      </c>
      <c r="X48" s="68">
        <f t="shared" si="14"/>
        <v>0</v>
      </c>
      <c r="Y48" s="289"/>
      <c r="AB48" s="48">
        <f t="shared" si="0"/>
        <v>0.11430000000000018</v>
      </c>
      <c r="AC48" s="48">
        <f t="shared" si="9"/>
        <v>0.14250000000000018</v>
      </c>
      <c r="AD48" s="49">
        <v>0.49999999999974898</v>
      </c>
    </row>
    <row r="49" spans="3:30">
      <c r="C49" s="176">
        <f t="shared" si="4"/>
        <v>43</v>
      </c>
      <c r="D49" s="85" t="s">
        <v>42</v>
      </c>
      <c r="E49" s="85" t="s">
        <v>189</v>
      </c>
      <c r="F49" s="86" t="s">
        <v>146</v>
      </c>
      <c r="G49" s="122" t="str">
        <f>IF(ISBLANK(VLOOKUP($D$3,MemberData!$D$6:$JY$18,$C49*3+1,0)),"",VLOOKUP($D$3,MemberData!$D$6:$JY$18,$C49*3+1,0))</f>
        <v/>
      </c>
      <c r="H49" s="123" t="str">
        <f>IF(ISBLANK(VLOOKUP($D$3,MemberData!$D$6:$JY$18,$C49*3+2,0)),"",VLOOKUP($D$3,MemberData!$D$6:$JY$18,$C49*3+2,0))</f>
        <v/>
      </c>
      <c r="I49" s="123" t="str">
        <f>IF(ISBLANK(VLOOKUP($D$3,MemberData!$D$6:$JY$18,$C49*3+3,0)),"",VLOOKUP($D$3,MemberData!$D$6:$JY$18,$C49*3+3,0))</f>
        <v/>
      </c>
      <c r="J49" s="91" t="str">
        <f>IFERROR((H49-I49)/H49,"NA")</f>
        <v>NA</v>
      </c>
      <c r="P49" s="308"/>
      <c r="Q49" s="316"/>
      <c r="R49" s="303"/>
      <c r="S49" s="289"/>
      <c r="T49" s="289"/>
      <c r="U49" s="67" t="s">
        <v>156</v>
      </c>
      <c r="V49" s="68">
        <f>COUNTIFS(F:F,$P46,J:J,"&gt;"&amp;0.2,J:J,"&lt;="&amp;0.3)</f>
        <v>0</v>
      </c>
      <c r="W49" s="68">
        <v>0.96250000000000002</v>
      </c>
      <c r="X49" s="68">
        <f t="shared" si="14"/>
        <v>0</v>
      </c>
      <c r="Y49" s="289"/>
      <c r="AB49" s="48">
        <f t="shared" si="0"/>
        <v>8.6000000000000174E-2</v>
      </c>
      <c r="AC49" s="48">
        <f t="shared" si="9"/>
        <v>0.11420000000000018</v>
      </c>
      <c r="AD49" s="49">
        <v>0.39999999999973801</v>
      </c>
    </row>
    <row r="50" spans="3:30">
      <c r="C50" s="176">
        <f t="shared" si="4"/>
        <v>44</v>
      </c>
      <c r="D50" s="229" t="s">
        <v>306</v>
      </c>
      <c r="E50" s="85" t="s">
        <v>189</v>
      </c>
      <c r="F50" s="234" t="s">
        <v>307</v>
      </c>
      <c r="G50" s="122" t="str">
        <f>IF(ISBLANK(VLOOKUP($D$3,MemberData!$D$6:$JY$18,$C50*3+1,0)),"",VLOOKUP($D$3,MemberData!$D$6:$JY$18,$C50*3+1,0))</f>
        <v/>
      </c>
      <c r="H50" s="123" t="str">
        <f>IF(ISBLANK(VLOOKUP($D$3,MemberData!$D$6:$JY$18,$C50*3+2,0)),"",VLOOKUP($D$3,MemberData!$D$6:$JY$18,$C50*3+2,0))</f>
        <v/>
      </c>
      <c r="I50" s="123" t="str">
        <f>IF(ISBLANK(VLOOKUP($D$3,MemberData!$D$6:$JY$18,$C50*3+3,0)),"",VLOOKUP($D$3,MemberData!$D$6:$JY$18,$C50*3+3,0))</f>
        <v/>
      </c>
      <c r="J50" s="91" t="str">
        <f t="shared" ref="J50" si="18">IFERROR((I50-H50)/H50,"NA")</f>
        <v>NA</v>
      </c>
      <c r="P50" s="308"/>
      <c r="Q50" s="316"/>
      <c r="R50" s="303"/>
      <c r="S50" s="289"/>
      <c r="T50" s="289"/>
      <c r="U50" s="67" t="s">
        <v>157</v>
      </c>
      <c r="V50" s="68">
        <f>COUNTIFS(F:F,$P46,J:J,"&gt;"&amp;0.3)</f>
        <v>0</v>
      </c>
      <c r="W50" s="68">
        <v>1</v>
      </c>
      <c r="X50" s="68">
        <f t="shared" si="14"/>
        <v>0</v>
      </c>
      <c r="Y50" s="289"/>
      <c r="AB50" s="48">
        <f t="shared" si="0"/>
        <v>5.7700000000000168E-2</v>
      </c>
      <c r="AC50" s="48">
        <f t="shared" si="9"/>
        <v>8.5900000000000171E-2</v>
      </c>
      <c r="AD50" s="49">
        <v>0.29999999999972699</v>
      </c>
    </row>
    <row r="51" spans="3:30">
      <c r="C51" s="176">
        <f t="shared" si="4"/>
        <v>45</v>
      </c>
      <c r="D51" s="85" t="s">
        <v>40</v>
      </c>
      <c r="E51" s="85" t="s">
        <v>189</v>
      </c>
      <c r="F51" s="86" t="s">
        <v>146</v>
      </c>
      <c r="G51" s="122" t="str">
        <f>IF(ISBLANK(VLOOKUP($D$3,MemberData!$D$6:$JY$18,$C51*3+1,0)),"",VLOOKUP($D$3,MemberData!$D$6:$JY$18,$C51*3+1,0))</f>
        <v/>
      </c>
      <c r="H51" s="123" t="str">
        <f>IF(ISBLANK(VLOOKUP($D$3,MemberData!$D$6:$JY$18,$C51*3+2,0)),"",VLOOKUP($D$3,MemberData!$D$6:$JY$18,$C51*3+2,0))</f>
        <v/>
      </c>
      <c r="I51" s="123" t="str">
        <f>IF(ISBLANK(VLOOKUP($D$3,MemberData!$D$6:$JY$18,$C51*3+3,0)),"",VLOOKUP($D$3,MemberData!$D$6:$JY$18,$C51*3+3,0))</f>
        <v/>
      </c>
      <c r="J51" s="91" t="str">
        <f>IFERROR((H51-I51)/H51,"NA")</f>
        <v>NA</v>
      </c>
      <c r="P51" s="308"/>
      <c r="Q51" s="316"/>
      <c r="R51" s="303"/>
      <c r="S51" s="289"/>
      <c r="T51" s="289"/>
      <c r="U51" s="67" t="s">
        <v>165</v>
      </c>
      <c r="V51" s="68">
        <f>COUNTIFS(F:F,$P46,J:J,"&gt;="&amp;-0.1,J:J,"&lt;"&amp;0)</f>
        <v>0</v>
      </c>
      <c r="W51" s="68">
        <v>0.4</v>
      </c>
      <c r="X51" s="68">
        <f t="shared" si="14"/>
        <v>0</v>
      </c>
      <c r="Y51" s="289"/>
      <c r="AB51" s="48">
        <f t="shared" si="0"/>
        <v>2.9400000000000162E-2</v>
      </c>
      <c r="AC51" s="48">
        <f t="shared" si="9"/>
        <v>5.7600000000000165E-2</v>
      </c>
      <c r="AD51" s="49">
        <v>0.19999999999971599</v>
      </c>
    </row>
    <row r="52" spans="3:30">
      <c r="C52" s="176">
        <f t="shared" si="4"/>
        <v>46</v>
      </c>
      <c r="D52" s="229" t="s">
        <v>308</v>
      </c>
      <c r="E52" s="229" t="s">
        <v>175</v>
      </c>
      <c r="F52" s="234" t="s">
        <v>307</v>
      </c>
      <c r="G52" s="122" t="str">
        <f>IF(ISBLANK(VLOOKUP($D$3,MemberData!$D$6:$JY$18,$C52*3+1,0)),"",VLOOKUP($D$3,MemberData!$D$6:$JY$18,$C52*3+1,0))</f>
        <v/>
      </c>
      <c r="H52" s="123" t="str">
        <f>IF(ISBLANK(VLOOKUP($D$3,MemberData!$D$6:$JY$18,$C52*3+2,0)),"",VLOOKUP($D$3,MemberData!$D$6:$JY$18,$C52*3+2,0))</f>
        <v/>
      </c>
      <c r="I52" s="123" t="str">
        <f>IF(ISBLANK(VLOOKUP($D$3,MemberData!$D$6:$JY$18,$C52*3+3,0)),"",VLOOKUP($D$3,MemberData!$D$6:$JY$18,$C52*3+3,0))</f>
        <v/>
      </c>
      <c r="J52" s="91" t="str">
        <f t="shared" ref="J52" si="19">IFERROR((I52-H52)/H52,"NA")</f>
        <v>NA</v>
      </c>
      <c r="P52" s="308"/>
      <c r="Q52" s="316"/>
      <c r="R52" s="303"/>
      <c r="S52" s="289"/>
      <c r="T52" s="289"/>
      <c r="U52" s="67" t="s">
        <v>166</v>
      </c>
      <c r="V52" s="68">
        <f>COUNTIFS(F:F,$P46,J:J,"&lt;"&amp;-0.1,J:J,"&gt;="&amp;-0.3)</f>
        <v>0</v>
      </c>
      <c r="W52" s="68">
        <v>0.65</v>
      </c>
      <c r="X52" s="68">
        <f t="shared" si="14"/>
        <v>0</v>
      </c>
      <c r="Y52" s="289"/>
      <c r="AB52" s="48">
        <v>0</v>
      </c>
      <c r="AC52" s="48">
        <f t="shared" si="9"/>
        <v>2.9300000000000163E-2</v>
      </c>
      <c r="AD52" s="49">
        <v>9.9999999999705005E-2</v>
      </c>
    </row>
    <row r="53" spans="3:30">
      <c r="C53" s="176">
        <f t="shared" si="4"/>
        <v>47</v>
      </c>
      <c r="D53" s="85" t="s">
        <v>38</v>
      </c>
      <c r="E53" s="85" t="s">
        <v>189</v>
      </c>
      <c r="F53" s="86" t="s">
        <v>146</v>
      </c>
      <c r="G53" s="122" t="str">
        <f>IF(ISBLANK(VLOOKUP($D$3,MemberData!$D$6:$JY$18,$C53*3+1,0)),"",VLOOKUP($D$3,MemberData!$D$6:$JY$18,$C53*3+1,0))</f>
        <v/>
      </c>
      <c r="H53" s="123" t="str">
        <f>IF(ISBLANK(VLOOKUP($D$3,MemberData!$D$6:$JY$18,$C53*3+2,0)),"",VLOOKUP($D$3,MemberData!$D$6:$JY$18,$C53*3+2,0))</f>
        <v/>
      </c>
      <c r="I53" s="123" t="str">
        <f>IF(ISBLANK(VLOOKUP($D$3,MemberData!$D$6:$JY$18,$C53*3+3,0)),"",VLOOKUP($D$3,MemberData!$D$6:$JY$18,$C53*3+3,0))</f>
        <v/>
      </c>
      <c r="J53" s="91" t="str">
        <f>IFERROR((H53-I53)/H53,"NA")</f>
        <v>NA</v>
      </c>
      <c r="P53" s="308"/>
      <c r="Q53" s="317"/>
      <c r="R53" s="304"/>
      <c r="S53" s="290"/>
      <c r="T53" s="290"/>
      <c r="U53" s="67" t="s">
        <v>158</v>
      </c>
      <c r="V53" s="68">
        <f>COUNTIFS(F:F,$P46,J:J,"&lt;"&amp;-0.3)</f>
        <v>0</v>
      </c>
      <c r="W53" s="68">
        <v>1</v>
      </c>
      <c r="X53" s="68">
        <f t="shared" si="14"/>
        <v>0</v>
      </c>
      <c r="Y53" s="290"/>
    </row>
    <row r="54" spans="3:30">
      <c r="C54" s="176">
        <f t="shared" si="4"/>
        <v>48</v>
      </c>
      <c r="D54" s="229" t="s">
        <v>254</v>
      </c>
      <c r="E54" s="85" t="s">
        <v>189</v>
      </c>
      <c r="F54" s="234" t="s">
        <v>307</v>
      </c>
      <c r="G54" s="122" t="str">
        <f>IF(ISBLANK(VLOOKUP($D$3,MemberData!$D$6:$JY$18,$C54*3+1,0)),"",VLOOKUP($D$3,MemberData!$D$6:$JY$18,$C54*3+1,0))</f>
        <v/>
      </c>
      <c r="H54" s="123" t="str">
        <f>IF(ISBLANK(VLOOKUP($D$3,MemberData!$D$6:$JY$18,$C54*3+2,0)),"",VLOOKUP($D$3,MemberData!$D$6:$JY$18,$C54*3+2,0))</f>
        <v/>
      </c>
      <c r="I54" s="123" t="str">
        <f>IF(ISBLANK(VLOOKUP($D$3,MemberData!$D$6:$JY$18,$C54*3+3,0)),"",VLOOKUP($D$3,MemberData!$D$6:$JY$18,$C54*3+3,0))</f>
        <v/>
      </c>
      <c r="J54" s="91" t="str">
        <f>IFERROR((H54-I54)/H54,"NA")</f>
        <v>NA</v>
      </c>
      <c r="P54" s="300" t="s">
        <v>280</v>
      </c>
      <c r="Q54" s="291">
        <f>SUMIFS($G$7:$G$99,$F$7:$F$99,$P$54)</f>
        <v>0.1</v>
      </c>
      <c r="R54" s="294">
        <f>IFERROR(SUM(X54:X60)/SUM(V54:V61),0)</f>
        <v>0.85</v>
      </c>
      <c r="S54" s="297">
        <f>IFERROR(LOOKUP(2,1/($AB$3:$AB$52&lt;=R54)/($AC$3:$AC$52&gt;=R54),$AD$3:$AD$52),0)</f>
        <v>3.0000000000000102</v>
      </c>
      <c r="T54" s="297">
        <f t="shared" ref="T54" si="20">IFERROR(ROUND(S54,0),0)</f>
        <v>3</v>
      </c>
      <c r="U54" s="120" t="s">
        <v>153</v>
      </c>
      <c r="V54" s="121">
        <f>COUNTIFS(F:F,$P54,J:J,"="&amp;0)</f>
        <v>2</v>
      </c>
      <c r="W54" s="121">
        <v>0.85</v>
      </c>
      <c r="X54" s="121">
        <f t="shared" ref="X54:X61" si="21">V54*W54</f>
        <v>1.7</v>
      </c>
      <c r="Y54" s="297">
        <f>IFERROR(LOOKUP(2,1/($AB$3:$AB$52&lt;=R54)/($AC$3:$AC$52&gt;=R54),$AD$3:$AD$52),0)</f>
        <v>3.0000000000000102</v>
      </c>
    </row>
    <row r="55" spans="3:30">
      <c r="C55" s="176">
        <f t="shared" si="4"/>
        <v>49</v>
      </c>
      <c r="D55" s="85" t="s">
        <v>174</v>
      </c>
      <c r="E55" s="85" t="s">
        <v>189</v>
      </c>
      <c r="F55" s="86" t="s">
        <v>146</v>
      </c>
      <c r="G55" s="122" t="str">
        <f>IF(ISBLANK(VLOOKUP($D$3,MemberData!$D$6:$JY$18,$C55*3+1,0)),"",VLOOKUP($D$3,MemberData!$D$6:$JY$18,$C55*3+1,0))</f>
        <v/>
      </c>
      <c r="H55" s="123" t="str">
        <f>IF(ISBLANK(VLOOKUP($D$3,MemberData!$D$6:$JY$18,$C55*3+2,0)),"",VLOOKUP($D$3,MemberData!$D$6:$JY$18,$C55*3+2,0))</f>
        <v/>
      </c>
      <c r="I55" s="123" t="str">
        <f>IF(ISBLANK(VLOOKUP($D$3,MemberData!$D$6:$JY$18,$C55*3+3,0)),"",VLOOKUP($D$3,MemberData!$D$6:$JY$18,$C55*3+3,0))</f>
        <v/>
      </c>
      <c r="J55" s="91" t="str">
        <f>IFERROR((H55-I55)/H55,"NA")</f>
        <v>NA</v>
      </c>
      <c r="P55" s="300"/>
      <c r="Q55" s="292"/>
      <c r="R55" s="295"/>
      <c r="S55" s="298"/>
      <c r="T55" s="298"/>
      <c r="U55" s="120" t="s">
        <v>154</v>
      </c>
      <c r="V55" s="121">
        <f>COUNTIFS(F:F,$P54,J:J,"&gt;"&amp;0,J:J,"&lt;="&amp;0.1)</f>
        <v>0</v>
      </c>
      <c r="W55" s="121">
        <v>0.88749999999999996</v>
      </c>
      <c r="X55" s="121">
        <f t="shared" si="21"/>
        <v>0</v>
      </c>
      <c r="Y55" s="298"/>
    </row>
    <row r="56" spans="3:30">
      <c r="C56" s="176">
        <f t="shared" si="4"/>
        <v>50</v>
      </c>
      <c r="D56" s="73" t="s">
        <v>172</v>
      </c>
      <c r="E56" s="73" t="s">
        <v>189</v>
      </c>
      <c r="F56" s="72" t="s">
        <v>146</v>
      </c>
      <c r="G56" s="89" t="str">
        <f>IF(ISBLANK(VLOOKUP($D$3,MemberData!$D$6:$JY$18,$C56*3+1,0)),"",VLOOKUP($D$3,MemberData!$D$6:$JY$18,$C56*3+1,0))</f>
        <v/>
      </c>
      <c r="H56" s="90" t="str">
        <f>IF(ISBLANK(VLOOKUP($D$3,MemberData!$D$6:$JY$18,$C56*3+2,0)),"",VLOOKUP($D$3,MemberData!$D$6:$JY$18,$C56*3+2,0))</f>
        <v/>
      </c>
      <c r="I56" s="90" t="str">
        <f>IF(ISBLANK(VLOOKUP($D$3,MemberData!$D$6:$JY$18,$C56*3+3,0)),"",VLOOKUP($D$3,MemberData!$D$6:$JY$18,$C56*3+3,0))</f>
        <v/>
      </c>
      <c r="J56" s="91" t="str">
        <f>IFERROR((I56-H56)/H56,"NA")</f>
        <v>NA</v>
      </c>
      <c r="P56" s="300"/>
      <c r="Q56" s="292"/>
      <c r="R56" s="295"/>
      <c r="S56" s="298"/>
      <c r="T56" s="298"/>
      <c r="U56" s="120" t="s">
        <v>155</v>
      </c>
      <c r="V56" s="121">
        <f>COUNTIFS(F:F,$P54,J:J,"&gt;"&amp;0.1,J:J,"&lt;="&amp;0.2)</f>
        <v>0</v>
      </c>
      <c r="W56" s="121">
        <v>0.92500000000000004</v>
      </c>
      <c r="X56" s="121">
        <f t="shared" si="21"/>
        <v>0</v>
      </c>
      <c r="Y56" s="298"/>
    </row>
    <row r="57" spans="3:30">
      <c r="C57" s="176">
        <f t="shared" si="4"/>
        <v>51</v>
      </c>
      <c r="D57" s="73" t="s">
        <v>48</v>
      </c>
      <c r="E57" s="73" t="s">
        <v>189</v>
      </c>
      <c r="F57" s="234" t="s">
        <v>307</v>
      </c>
      <c r="G57" s="89" t="str">
        <f>IF(ISBLANK(VLOOKUP($D$3,MemberData!$D$6:$JY$18,$C57*3+1,0)),"",VLOOKUP($D$3,MemberData!$D$6:$JY$18,$C57*3+1,0))</f>
        <v/>
      </c>
      <c r="H57" s="90" t="str">
        <f>IF(ISBLANK(VLOOKUP($D$3,MemberData!$D$6:$JY$18,$C57*3+2,0)),"",VLOOKUP($D$3,MemberData!$D$6:$JY$18,$C57*3+2,0))</f>
        <v/>
      </c>
      <c r="I57" s="90" t="str">
        <f>IF(ISBLANK(VLOOKUP($D$3,MemberData!$D$6:$JY$18,$C57*3+3,0)),"",VLOOKUP($D$3,MemberData!$D$6:$JY$18,$C57*3+3,0))</f>
        <v/>
      </c>
      <c r="J57" s="91" t="str">
        <f>IFERROR((H57-I57)/H57,"NA")</f>
        <v>NA</v>
      </c>
      <c r="P57" s="300"/>
      <c r="Q57" s="292"/>
      <c r="R57" s="295"/>
      <c r="S57" s="298"/>
      <c r="T57" s="298"/>
      <c r="U57" s="120" t="s">
        <v>156</v>
      </c>
      <c r="V57" s="121">
        <f>COUNTIFS(F:F,$P54,J:J,"&gt;"&amp;0.2,J:J,"&lt;="&amp;0.3)</f>
        <v>0</v>
      </c>
      <c r="W57" s="121">
        <v>0.96250000000000002</v>
      </c>
      <c r="X57" s="121">
        <f t="shared" si="21"/>
        <v>0</v>
      </c>
      <c r="Y57" s="298"/>
    </row>
    <row r="58" spans="3:30">
      <c r="C58" s="177">
        <f t="shared" si="4"/>
        <v>52</v>
      </c>
      <c r="D58" s="93" t="s">
        <v>191</v>
      </c>
      <c r="E58" s="93" t="s">
        <v>281</v>
      </c>
      <c r="F58" s="72" t="s">
        <v>55</v>
      </c>
      <c r="G58" s="89" t="str">
        <f>IF(ISBLANK(VLOOKUP($D$3,MemberData!$D$6:$JY$18,$C58*3+1,0)),"",VLOOKUP($D$3,MemberData!$D$6:$JY$18,$C58*3+1,0))</f>
        <v/>
      </c>
      <c r="H58" s="90" t="str">
        <f>IF(ISBLANK(VLOOKUP($D$3,MemberData!$D$6:$JY$18,$C58*3+2,0)),"",VLOOKUP($D$3,MemberData!$D$6:$JY$18,$C58*3+2,0))</f>
        <v/>
      </c>
      <c r="I58" s="90" t="str">
        <f>IF(ISBLANK(VLOOKUP($D$3,MemberData!$D$6:$JY$18,$C58*3+3,0)),"",VLOOKUP($D$3,MemberData!$D$6:$JY$18,$C58*3+3,0))</f>
        <v/>
      </c>
      <c r="J58" s="91" t="str">
        <f t="shared" si="3"/>
        <v>NA</v>
      </c>
      <c r="P58" s="300"/>
      <c r="Q58" s="292"/>
      <c r="R58" s="295"/>
      <c r="S58" s="298"/>
      <c r="T58" s="298"/>
      <c r="U58" s="120" t="s">
        <v>157</v>
      </c>
      <c r="V58" s="121">
        <f>COUNTIFS(F:F,$P54,J:J,"&gt;"&amp;0.3)</f>
        <v>0</v>
      </c>
      <c r="W58" s="121">
        <v>1</v>
      </c>
      <c r="X58" s="121">
        <f t="shared" si="21"/>
        <v>0</v>
      </c>
      <c r="Y58" s="298"/>
    </row>
    <row r="59" spans="3:30">
      <c r="C59" s="177">
        <f t="shared" si="4"/>
        <v>53</v>
      </c>
      <c r="D59" s="93" t="s">
        <v>192</v>
      </c>
      <c r="E59" s="93" t="s">
        <v>281</v>
      </c>
      <c r="F59" s="72" t="s">
        <v>55</v>
      </c>
      <c r="G59" s="89" t="str">
        <f>IF(ISBLANK(VLOOKUP($D$3,MemberData!$D$6:$JY$18,$C59*3+1,0)),"",VLOOKUP($D$3,MemberData!$D$6:$JY$18,$C59*3+1,0))</f>
        <v/>
      </c>
      <c r="H59" s="90" t="str">
        <f>IF(ISBLANK(VLOOKUP($D$3,MemberData!$D$6:$JY$18,$C59*3+2,0)),"",VLOOKUP($D$3,MemberData!$D$6:$JY$18,$C59*3+2,0))</f>
        <v/>
      </c>
      <c r="I59" s="90" t="str">
        <f>IF(ISBLANK(VLOOKUP($D$3,MemberData!$D$6:$JY$18,$C59*3+3,0)),"",VLOOKUP($D$3,MemberData!$D$6:$JY$18,$C59*3+3,0))</f>
        <v/>
      </c>
      <c r="J59" s="91" t="str">
        <f t="shared" si="3"/>
        <v>NA</v>
      </c>
      <c r="P59" s="300"/>
      <c r="Q59" s="292"/>
      <c r="R59" s="295"/>
      <c r="S59" s="298"/>
      <c r="T59" s="298"/>
      <c r="U59" s="120" t="s">
        <v>165</v>
      </c>
      <c r="V59" s="121">
        <f>COUNTIFS(F:F,$P54,J:J,"&gt;="&amp;-0.1,J:J,"&lt;"&amp;0)</f>
        <v>0</v>
      </c>
      <c r="W59" s="121">
        <v>0.4</v>
      </c>
      <c r="X59" s="121">
        <f t="shared" si="21"/>
        <v>0</v>
      </c>
      <c r="Y59" s="298"/>
    </row>
    <row r="60" spans="3:30">
      <c r="C60" s="177">
        <f t="shared" si="4"/>
        <v>54</v>
      </c>
      <c r="D60" s="93" t="s">
        <v>193</v>
      </c>
      <c r="E60" s="93" t="s">
        <v>281</v>
      </c>
      <c r="F60" s="72" t="s">
        <v>55</v>
      </c>
      <c r="G60" s="89" t="str">
        <f>IF(ISBLANK(VLOOKUP($D$3,MemberData!$D$6:$JY$18,$C60*3+1,0)),"",VLOOKUP($D$3,MemberData!$D$6:$JY$18,$C60*3+1,0))</f>
        <v/>
      </c>
      <c r="H60" s="90" t="str">
        <f>IF(ISBLANK(VLOOKUP($D$3,MemberData!$D$6:$JY$18,$C60*3+2,0)),"",VLOOKUP($D$3,MemberData!$D$6:$JY$18,$C60*3+2,0))</f>
        <v/>
      </c>
      <c r="I60" s="90" t="str">
        <f>IF(ISBLANK(VLOOKUP($D$3,MemberData!$D$6:$JY$18,$C60*3+3,0)),"",VLOOKUP($D$3,MemberData!$D$6:$JY$18,$C60*3+3,0))</f>
        <v/>
      </c>
      <c r="J60" s="91" t="str">
        <f t="shared" si="3"/>
        <v>NA</v>
      </c>
      <c r="P60" s="300"/>
      <c r="Q60" s="292"/>
      <c r="R60" s="295"/>
      <c r="S60" s="298"/>
      <c r="T60" s="298"/>
      <c r="U60" s="120" t="s">
        <v>166</v>
      </c>
      <c r="V60" s="121">
        <f>COUNTIFS(F:F,$P54,J:J,"&lt;"&amp;-0.1,J:J,"&gt;="&amp;-0.3)</f>
        <v>0</v>
      </c>
      <c r="W60" s="121">
        <v>0.65</v>
      </c>
      <c r="X60" s="121">
        <f t="shared" si="21"/>
        <v>0</v>
      </c>
      <c r="Y60" s="298"/>
    </row>
    <row r="61" spans="3:30">
      <c r="C61" s="177">
        <f t="shared" si="4"/>
        <v>55</v>
      </c>
      <c r="D61" s="93" t="s">
        <v>194</v>
      </c>
      <c r="E61" s="93" t="s">
        <v>281</v>
      </c>
      <c r="F61" s="72" t="s">
        <v>55</v>
      </c>
      <c r="G61" s="89" t="str">
        <f>IF(ISBLANK(VLOOKUP($D$3,MemberData!$D$6:$JY$18,$C61*3+1,0)),"",VLOOKUP($D$3,MemberData!$D$6:$JY$18,$C61*3+1,0))</f>
        <v/>
      </c>
      <c r="H61" s="90" t="str">
        <f>IF(ISBLANK(VLOOKUP($D$3,MemberData!$D$6:$JY$18,$C61*3+2,0)),"",VLOOKUP($D$3,MemberData!$D$6:$JY$18,$C61*3+2,0))</f>
        <v/>
      </c>
      <c r="I61" s="90" t="str">
        <f>IF(ISBLANK(VLOOKUP($D$3,MemberData!$D$6:$JY$18,$C61*3+3,0)),"",VLOOKUP($D$3,MemberData!$D$6:$JY$18,$C61*3+3,0))</f>
        <v/>
      </c>
      <c r="J61" s="91" t="str">
        <f t="shared" si="3"/>
        <v>NA</v>
      </c>
      <c r="P61" s="300"/>
      <c r="Q61" s="293"/>
      <c r="R61" s="296"/>
      <c r="S61" s="299"/>
      <c r="T61" s="299"/>
      <c r="U61" s="120" t="s">
        <v>158</v>
      </c>
      <c r="V61" s="121">
        <f>COUNTIFS(F:F,$P54,J:J,"&lt;"&amp;-0.3)</f>
        <v>0</v>
      </c>
      <c r="W61" s="121">
        <v>1</v>
      </c>
      <c r="X61" s="121">
        <f t="shared" si="21"/>
        <v>0</v>
      </c>
      <c r="Y61" s="299"/>
    </row>
    <row r="62" spans="3:30">
      <c r="C62" s="177">
        <f t="shared" si="4"/>
        <v>56</v>
      </c>
      <c r="D62" s="93" t="s">
        <v>198</v>
      </c>
      <c r="E62" s="93" t="s">
        <v>281</v>
      </c>
      <c r="F62" s="72" t="s">
        <v>55</v>
      </c>
      <c r="G62" s="89" t="str">
        <f>IF(ISBLANK(VLOOKUP($D$3,MemberData!$D$6:$JY$18,$C62*3+1,0)),"",VLOOKUP($D$3,MemberData!$D$6:$JY$18,$C62*3+1,0))</f>
        <v/>
      </c>
      <c r="H62" s="90" t="str">
        <f>IF(ISBLANK(VLOOKUP($D$3,MemberData!$D$6:$JY$18,$C62*3+2,0)),"",VLOOKUP($D$3,MemberData!$D$6:$JY$18,$C62*3+2,0))</f>
        <v/>
      </c>
      <c r="I62" s="90" t="str">
        <f>IF(ISBLANK(VLOOKUP($D$3,MemberData!$D$6:$JY$18,$C62*3+3,0)),"",VLOOKUP($D$3,MemberData!$D$6:$JY$18,$C62*3+3,0))</f>
        <v/>
      </c>
      <c r="J62" s="91" t="str">
        <f t="shared" si="3"/>
        <v>NA</v>
      </c>
    </row>
    <row r="63" spans="3:30">
      <c r="C63" s="177">
        <f t="shared" si="4"/>
        <v>57</v>
      </c>
      <c r="D63" s="93" t="s">
        <v>199</v>
      </c>
      <c r="E63" s="93" t="s">
        <v>281</v>
      </c>
      <c r="F63" s="72" t="s">
        <v>55</v>
      </c>
      <c r="G63" s="89" t="str">
        <f>IF(ISBLANK(VLOOKUP($D$3,MemberData!$D$6:$JY$18,$C63*3+1,0)),"",VLOOKUP($D$3,MemberData!$D$6:$JY$18,$C63*3+1,0))</f>
        <v/>
      </c>
      <c r="H63" s="90" t="str">
        <f>IF(ISBLANK(VLOOKUP($D$3,MemberData!$D$6:$JY$18,$C63*3+2,0)),"",VLOOKUP($D$3,MemberData!$D$6:$JY$18,$C63*3+2,0))</f>
        <v/>
      </c>
      <c r="I63" s="90" t="str">
        <f>IF(ISBLANK(VLOOKUP($D$3,MemberData!$D$6:$JY$18,$C63*3+3,0)),"",VLOOKUP($D$3,MemberData!$D$6:$JY$18,$C63*3+3,0))</f>
        <v/>
      </c>
      <c r="J63" s="91" t="str">
        <f t="shared" si="3"/>
        <v>NA</v>
      </c>
    </row>
    <row r="64" spans="3:30">
      <c r="C64" s="243">
        <f t="shared" si="4"/>
        <v>58</v>
      </c>
      <c r="D64" s="87" t="s">
        <v>23</v>
      </c>
      <c r="E64" s="73" t="s">
        <v>189</v>
      </c>
      <c r="F64" s="88" t="s">
        <v>35</v>
      </c>
      <c r="G64" s="89" t="str">
        <f>IF(ISBLANK(VLOOKUP($D$3,MemberData!$D$6:$JY$18,$C64*3+1,0)),"",VLOOKUP($D$3,MemberData!$D$6:$JY$18,$C64*3+1,0))</f>
        <v/>
      </c>
      <c r="H64" s="90" t="str">
        <f>IF(ISBLANK(VLOOKUP($D$3,MemberData!$D$6:$JY$18,$C64*3+2,0)),"",VLOOKUP($D$3,MemberData!$D$6:$JY$18,$C64*3+2,0))</f>
        <v/>
      </c>
      <c r="I64" s="90" t="str">
        <f>IF(ISBLANK(VLOOKUP($D$3,MemberData!$D$6:$JY$18,$C64*3+3,0)),"",VLOOKUP($D$3,MemberData!$D$6:$JY$18,$C64*3+3,0))</f>
        <v/>
      </c>
      <c r="J64" s="91" t="str">
        <f t="shared" si="3"/>
        <v>NA</v>
      </c>
    </row>
    <row r="65" spans="3:10">
      <c r="C65" s="243">
        <f t="shared" si="4"/>
        <v>59</v>
      </c>
      <c r="D65" s="229" t="s">
        <v>303</v>
      </c>
      <c r="E65" s="73" t="s">
        <v>189</v>
      </c>
      <c r="F65" s="88" t="s">
        <v>35</v>
      </c>
      <c r="G65" s="89" t="str">
        <f>IF(ISBLANK(VLOOKUP($D$3,MemberData!$D$6:$JY$18,$C65*3+1,0)),"",VLOOKUP($D$3,MemberData!$D$6:$JY$18,$C65*3+1,0))</f>
        <v/>
      </c>
      <c r="H65" s="90" t="str">
        <f>IF(ISBLANK(VLOOKUP($D$3,MemberData!$D$6:$JY$18,$C65*3+2,0)),"",VLOOKUP($D$3,MemberData!$D$6:$JY$18,$C65*3+2,0))</f>
        <v/>
      </c>
      <c r="I65" s="90" t="str">
        <f>IF(ISBLANK(VLOOKUP($D$3,MemberData!$D$6:$JY$18,$C65*3+3,0)),"",VLOOKUP($D$3,MemberData!$D$6:$JY$18,$C65*3+3,0))</f>
        <v/>
      </c>
      <c r="J65" s="91" t="str">
        <f t="shared" si="3"/>
        <v>NA</v>
      </c>
    </row>
    <row r="66" spans="3:10">
      <c r="C66" s="243">
        <f t="shared" si="4"/>
        <v>60</v>
      </c>
      <c r="D66" s="229" t="s">
        <v>302</v>
      </c>
      <c r="E66" s="73" t="s">
        <v>189</v>
      </c>
      <c r="F66" s="88" t="s">
        <v>35</v>
      </c>
      <c r="G66" s="89" t="str">
        <f>IF(ISBLANK(VLOOKUP($D$3,MemberData!$D$6:$JY$18,$C66*3+1,0)),"",VLOOKUP($D$3,MemberData!$D$6:$JY$18,$C66*3+1,0))</f>
        <v/>
      </c>
      <c r="H66" s="90" t="str">
        <f>IF(ISBLANK(VLOOKUP($D$3,MemberData!$D$6:$JY$18,$C66*3+2,0)),"",VLOOKUP($D$3,MemberData!$D$6:$JY$18,$C66*3+2,0))</f>
        <v/>
      </c>
      <c r="I66" s="90" t="str">
        <f>IF(ISBLANK(VLOOKUP($D$3,MemberData!$D$6:$JY$18,$C66*3+3,0)),"",VLOOKUP($D$3,MemberData!$D$6:$JY$18,$C66*3+3,0))</f>
        <v/>
      </c>
      <c r="J66" s="91" t="str">
        <f t="shared" si="3"/>
        <v>NA</v>
      </c>
    </row>
    <row r="67" spans="3:10">
      <c r="C67" s="243">
        <f t="shared" si="4"/>
        <v>61</v>
      </c>
      <c r="D67" s="87" t="s">
        <v>20</v>
      </c>
      <c r="E67" s="73" t="s">
        <v>189</v>
      </c>
      <c r="F67" s="88" t="s">
        <v>35</v>
      </c>
      <c r="G67" s="89" t="str">
        <f>IF(ISBLANK(VLOOKUP($D$3,MemberData!$D$6:$JY$18,$C67*3+1,0)),"",VLOOKUP($D$3,MemberData!$D$6:$JY$18,$C67*3+1,0))</f>
        <v/>
      </c>
      <c r="H67" s="90" t="str">
        <f>IF(ISBLANK(VLOOKUP($D$3,MemberData!$D$6:$JY$18,$C67*3+2,0)),"",VLOOKUP($D$3,MemberData!$D$6:$JY$18,$C67*3+2,0))</f>
        <v/>
      </c>
      <c r="I67" s="90" t="str">
        <f>IF(ISBLANK(VLOOKUP($D$3,MemberData!$D$6:$JY$18,$C67*3+3,0)),"",VLOOKUP($D$3,MemberData!$D$6:$JY$18,$C67*3+3,0))</f>
        <v/>
      </c>
      <c r="J67" s="91" t="str">
        <f t="shared" si="3"/>
        <v>NA</v>
      </c>
    </row>
    <row r="68" spans="3:10">
      <c r="C68" s="243">
        <f t="shared" si="4"/>
        <v>62</v>
      </c>
      <c r="D68" s="87" t="s">
        <v>249</v>
      </c>
      <c r="E68" s="73" t="s">
        <v>189</v>
      </c>
      <c r="F68" s="88" t="s">
        <v>35</v>
      </c>
      <c r="G68" s="89" t="str">
        <f>IF(ISBLANK(VLOOKUP($D$3,MemberData!$D$6:$JY$18,$C68*3+1,0)),"",VLOOKUP($D$3,MemberData!$D$6:$JY$18,$C68*3+1,0))</f>
        <v/>
      </c>
      <c r="H68" s="90" t="str">
        <f>IF(ISBLANK(VLOOKUP($D$3,MemberData!$D$6:$JY$18,$C68*3+2,0)),"",VLOOKUP($D$3,MemberData!$D$6:$JY$18,$C68*3+2,0))</f>
        <v/>
      </c>
      <c r="I68" s="90" t="str">
        <f>IF(ISBLANK(VLOOKUP($D$3,MemberData!$D$6:$JY$18,$C68*3+3,0)),"",VLOOKUP($D$3,MemberData!$D$6:$JY$18,$C68*3+3,0))</f>
        <v/>
      </c>
      <c r="J68" s="91" t="str">
        <f t="shared" si="3"/>
        <v>NA</v>
      </c>
    </row>
    <row r="69" spans="3:10">
      <c r="C69" s="243">
        <f t="shared" si="4"/>
        <v>63</v>
      </c>
      <c r="D69" s="87" t="s">
        <v>251</v>
      </c>
      <c r="E69" s="73" t="s">
        <v>189</v>
      </c>
      <c r="F69" s="88" t="s">
        <v>35</v>
      </c>
      <c r="G69" s="89" t="str">
        <f>IF(ISBLANK(VLOOKUP($D$3,MemberData!$D$6:$JY$18,$C69*3+1,0)),"",VLOOKUP($D$3,MemberData!$D$6:$JY$18,$C69*3+1,0))</f>
        <v/>
      </c>
      <c r="H69" s="90" t="str">
        <f>IF(ISBLANK(VLOOKUP($D$3,MemberData!$D$6:$JY$18,$C69*3+2,0)),"",VLOOKUP($D$3,MemberData!$D$6:$JY$18,$C69*3+2,0))</f>
        <v/>
      </c>
      <c r="I69" s="90" t="str">
        <f>IF(ISBLANK(VLOOKUP($D$3,MemberData!$D$6:$JY$18,$C69*3+3,0)),"",VLOOKUP($D$3,MemberData!$D$6:$JY$18,$C69*3+3,0))</f>
        <v/>
      </c>
      <c r="J69" s="91" t="str">
        <f t="shared" si="3"/>
        <v>NA</v>
      </c>
    </row>
    <row r="70" spans="3:10">
      <c r="C70" s="243">
        <f t="shared" si="4"/>
        <v>64</v>
      </c>
      <c r="D70" s="229" t="s">
        <v>304</v>
      </c>
      <c r="E70" s="229" t="s">
        <v>189</v>
      </c>
      <c r="F70" s="234" t="s">
        <v>307</v>
      </c>
      <c r="G70" s="89" t="str">
        <f>IF(ISBLANK(VLOOKUP($D$3,MemberData!$D$6:$JY$18,$C70*3+1,0)),"",VLOOKUP($D$3,MemberData!$D$6:$JY$18,$C70*3+1,0))</f>
        <v/>
      </c>
      <c r="H70" s="90" t="str">
        <f>IF(ISBLANK(VLOOKUP($D$3,MemberData!$D$6:$JY$18,$C70*3+2,0)),"",VLOOKUP($D$3,MemberData!$D$6:$JY$18,$C70*3+2,0))</f>
        <v/>
      </c>
      <c r="I70" s="90" t="str">
        <f>IF(ISBLANK(VLOOKUP($D$3,MemberData!$D$6:$JY$18,$C70*3+3,0)),"",VLOOKUP($D$3,MemberData!$D$6:$JY$18,$C70*3+3,0))</f>
        <v/>
      </c>
      <c r="J70" s="91" t="str">
        <f t="shared" si="3"/>
        <v>NA</v>
      </c>
    </row>
    <row r="71" spans="3:10">
      <c r="C71" s="243">
        <f t="shared" si="4"/>
        <v>65</v>
      </c>
      <c r="D71" s="229" t="s">
        <v>312</v>
      </c>
      <c r="E71" s="229" t="s">
        <v>189</v>
      </c>
      <c r="F71" s="234" t="s">
        <v>307</v>
      </c>
      <c r="G71" s="89" t="str">
        <f>IF(ISBLANK(VLOOKUP($D$3,MemberData!$D$6:$JY$18,$C71*3+1,0)),"",VLOOKUP($D$3,MemberData!$D$6:$JY$18,$C71*3+1,0))</f>
        <v/>
      </c>
      <c r="H71" s="90" t="str">
        <f>IF(ISBLANK(VLOOKUP($D$3,MemberData!$D$6:$JY$18,$C71*3+2,0)),"",VLOOKUP($D$3,MemberData!$D$6:$JY$18,$C71*3+2,0))</f>
        <v/>
      </c>
      <c r="I71" s="90" t="str">
        <f>IF(ISBLANK(VLOOKUP($D$3,MemberData!$D$6:$JY$18,$C71*3+3,0)),"",VLOOKUP($D$3,MemberData!$D$6:$JY$18,$C71*3+3,0))</f>
        <v/>
      </c>
      <c r="J71" s="91" t="str">
        <f t="shared" si="3"/>
        <v>NA</v>
      </c>
    </row>
    <row r="72" spans="3:10">
      <c r="C72" s="243">
        <f t="shared" si="4"/>
        <v>66</v>
      </c>
      <c r="D72" s="73" t="s">
        <v>170</v>
      </c>
      <c r="E72" s="73" t="s">
        <v>189</v>
      </c>
      <c r="F72" s="72" t="s">
        <v>146</v>
      </c>
      <c r="G72" s="89" t="str">
        <f>IF(ISBLANK(VLOOKUP($D$3,MemberData!$D$6:$JY$18,$C72*3+1,0)),"",VLOOKUP($D$3,MemberData!$D$6:$JY$18,$C72*3+1,0))</f>
        <v/>
      </c>
      <c r="H72" s="90" t="str">
        <f>IF(ISBLANK(VLOOKUP($D$3,MemberData!$D$6:$JY$18,$C72*3+2,0)),"",VLOOKUP($D$3,MemberData!$D$6:$JY$18,$C72*3+2,0))</f>
        <v/>
      </c>
      <c r="I72" s="90" t="str">
        <f>IF(ISBLANK(VLOOKUP($D$3,MemberData!$D$6:$JY$18,$C72*3+3,0)),"",VLOOKUP($D$3,MemberData!$D$6:$JY$18,$C72*3+3,0))</f>
        <v/>
      </c>
      <c r="J72" s="91" t="str">
        <f t="shared" ref="J72:J76" si="22">IFERROR((I72-H72)/H72,"NA")</f>
        <v>NA</v>
      </c>
    </row>
    <row r="73" spans="3:10">
      <c r="C73" s="243">
        <f t="shared" ref="C73:C99" si="23">C72+1</f>
        <v>67</v>
      </c>
      <c r="D73" s="85" t="s">
        <v>42</v>
      </c>
      <c r="E73" s="85" t="s">
        <v>189</v>
      </c>
      <c r="F73" s="86" t="s">
        <v>146</v>
      </c>
      <c r="G73" s="122" t="str">
        <f>IF(ISBLANK(VLOOKUP($D$3,MemberData!$D$6:$JY$18,$C73*3+1,0)),"",VLOOKUP($D$3,MemberData!$D$6:$JY$18,$C73*3+1,0))</f>
        <v/>
      </c>
      <c r="H73" s="123" t="str">
        <f>IF(ISBLANK(VLOOKUP($D$3,MemberData!$D$6:$JY$18,$C73*3+2,0)),"",VLOOKUP($D$3,MemberData!$D$6:$JY$18,$C73*3+2,0))</f>
        <v/>
      </c>
      <c r="I73" s="123" t="str">
        <f>IF(ISBLANK(VLOOKUP($D$3,MemberData!$D$6:$JY$18,$C73*3+3,0)),"",VLOOKUP($D$3,MemberData!$D$6:$JY$18,$C73*3+3,0))</f>
        <v/>
      </c>
      <c r="J73" s="91" t="str">
        <f>IFERROR((H73-I73)/H73,"NA")</f>
        <v>NA</v>
      </c>
    </row>
    <row r="74" spans="3:10">
      <c r="C74" s="243">
        <f t="shared" si="23"/>
        <v>68</v>
      </c>
      <c r="D74" s="229" t="s">
        <v>306</v>
      </c>
      <c r="E74" s="85" t="s">
        <v>189</v>
      </c>
      <c r="F74" s="234" t="s">
        <v>307</v>
      </c>
      <c r="G74" s="122" t="str">
        <f>IF(ISBLANK(VLOOKUP($D$3,MemberData!$D$6:$JY$18,$C74*3+1,0)),"",VLOOKUP($D$3,MemberData!$D$6:$JY$18,$C74*3+1,0))</f>
        <v/>
      </c>
      <c r="H74" s="123" t="str">
        <f>IF(ISBLANK(VLOOKUP($D$3,MemberData!$D$6:$JY$18,$C74*3+2,0)),"",VLOOKUP($D$3,MemberData!$D$6:$JY$18,$C74*3+2,0))</f>
        <v/>
      </c>
      <c r="I74" s="123" t="str">
        <f>IF(ISBLANK(VLOOKUP($D$3,MemberData!$D$6:$JY$18,$C74*3+3,0)),"",VLOOKUP($D$3,MemberData!$D$6:$JY$18,$C74*3+3,0))</f>
        <v/>
      </c>
      <c r="J74" s="91" t="str">
        <f t="shared" si="22"/>
        <v>NA</v>
      </c>
    </row>
    <row r="75" spans="3:10">
      <c r="C75" s="243">
        <f t="shared" si="23"/>
        <v>69</v>
      </c>
      <c r="D75" s="85" t="s">
        <v>40</v>
      </c>
      <c r="E75" s="85" t="s">
        <v>189</v>
      </c>
      <c r="F75" s="86" t="s">
        <v>146</v>
      </c>
      <c r="G75" s="122" t="str">
        <f>IF(ISBLANK(VLOOKUP($D$3,MemberData!$D$6:$JY$18,$C75*3+1,0)),"",VLOOKUP($D$3,MemberData!$D$6:$JY$18,$C75*3+1,0))</f>
        <v/>
      </c>
      <c r="H75" s="123" t="str">
        <f>IF(ISBLANK(VLOOKUP($D$3,MemberData!$D$6:$JY$18,$C75*3+2,0)),"",VLOOKUP($D$3,MemberData!$D$6:$JY$18,$C75*3+2,0))</f>
        <v/>
      </c>
      <c r="I75" s="123" t="str">
        <f>IF(ISBLANK(VLOOKUP($D$3,MemberData!$D$6:$JY$18,$C75*3+3,0)),"",VLOOKUP($D$3,MemberData!$D$6:$JY$18,$C75*3+3,0))</f>
        <v/>
      </c>
      <c r="J75" s="91" t="str">
        <f>IFERROR((H75-I75)/H75,"NA")</f>
        <v>NA</v>
      </c>
    </row>
    <row r="76" spans="3:10">
      <c r="C76" s="243">
        <f t="shared" si="23"/>
        <v>70</v>
      </c>
      <c r="D76" s="229" t="s">
        <v>308</v>
      </c>
      <c r="E76" s="229" t="s">
        <v>175</v>
      </c>
      <c r="F76" s="234" t="s">
        <v>307</v>
      </c>
      <c r="G76" s="122" t="str">
        <f>IF(ISBLANK(VLOOKUP($D$3,MemberData!$D$6:$JY$18,$C76*3+1,0)),"",VLOOKUP($D$3,MemberData!$D$6:$JY$18,$C76*3+1,0))</f>
        <v/>
      </c>
      <c r="H76" s="123" t="str">
        <f>IF(ISBLANK(VLOOKUP($D$3,MemberData!$D$6:$JY$18,$C76*3+2,0)),"",VLOOKUP($D$3,MemberData!$D$6:$JY$18,$C76*3+2,0))</f>
        <v/>
      </c>
      <c r="I76" s="123" t="str">
        <f>IF(ISBLANK(VLOOKUP($D$3,MemberData!$D$6:$JY$18,$C76*3+3,0)),"",VLOOKUP($D$3,MemberData!$D$6:$JY$18,$C76*3+3,0))</f>
        <v/>
      </c>
      <c r="J76" s="91" t="str">
        <f t="shared" si="22"/>
        <v>NA</v>
      </c>
    </row>
    <row r="77" spans="3:10">
      <c r="C77" s="243">
        <f t="shared" si="23"/>
        <v>71</v>
      </c>
      <c r="D77" s="85" t="s">
        <v>38</v>
      </c>
      <c r="E77" s="85" t="s">
        <v>189</v>
      </c>
      <c r="F77" s="86" t="s">
        <v>146</v>
      </c>
      <c r="G77" s="122" t="str">
        <f>IF(ISBLANK(VLOOKUP($D$3,MemberData!$D$6:$JY$18,$C77*3+1,0)),"",VLOOKUP($D$3,MemberData!$D$6:$JY$18,$C77*3+1,0))</f>
        <v/>
      </c>
      <c r="H77" s="123" t="str">
        <f>IF(ISBLANK(VLOOKUP($D$3,MemberData!$D$6:$JY$18,$C77*3+2,0)),"",VLOOKUP($D$3,MemberData!$D$6:$JY$18,$C77*3+2,0))</f>
        <v/>
      </c>
      <c r="I77" s="123" t="str">
        <f>IF(ISBLANK(VLOOKUP($D$3,MemberData!$D$6:$JY$18,$C77*3+3,0)),"",VLOOKUP($D$3,MemberData!$D$6:$JY$18,$C77*3+3,0))</f>
        <v/>
      </c>
      <c r="J77" s="91" t="str">
        <f>IFERROR((H77-I77)/H77,"NA")</f>
        <v>NA</v>
      </c>
    </row>
    <row r="78" spans="3:10">
      <c r="C78" s="243">
        <f t="shared" si="23"/>
        <v>72</v>
      </c>
      <c r="D78" s="229" t="s">
        <v>254</v>
      </c>
      <c r="E78" s="85" t="s">
        <v>189</v>
      </c>
      <c r="F78" s="234" t="s">
        <v>307</v>
      </c>
      <c r="G78" s="122" t="str">
        <f>IF(ISBLANK(VLOOKUP($D$3,MemberData!$D$6:$JY$18,$C78*3+1,0)),"",VLOOKUP($D$3,MemberData!$D$6:$JY$18,$C78*3+1,0))</f>
        <v/>
      </c>
      <c r="H78" s="123" t="str">
        <f>IF(ISBLANK(VLOOKUP($D$3,MemberData!$D$6:$JY$18,$C78*3+2,0)),"",VLOOKUP($D$3,MemberData!$D$6:$JY$18,$C78*3+2,0))</f>
        <v/>
      </c>
      <c r="I78" s="123" t="str">
        <f>IF(ISBLANK(VLOOKUP($D$3,MemberData!$D$6:$JY$18,$C78*3+3,0)),"",VLOOKUP($D$3,MemberData!$D$6:$JY$18,$C78*3+3,0))</f>
        <v/>
      </c>
      <c r="J78" s="91" t="str">
        <f>IFERROR((H78-I78)/H78,"NA")</f>
        <v>NA</v>
      </c>
    </row>
    <row r="79" spans="3:10">
      <c r="C79" s="243">
        <f t="shared" si="23"/>
        <v>73</v>
      </c>
      <c r="D79" s="85" t="s">
        <v>174</v>
      </c>
      <c r="E79" s="85" t="s">
        <v>189</v>
      </c>
      <c r="F79" s="86" t="s">
        <v>146</v>
      </c>
      <c r="G79" s="122" t="str">
        <f>IF(ISBLANK(VLOOKUP($D$3,MemberData!$D$6:$JY$18,$C79*3+1,0)),"",VLOOKUP($D$3,MemberData!$D$6:$JY$18,$C79*3+1,0))</f>
        <v/>
      </c>
      <c r="H79" s="123" t="str">
        <f>IF(ISBLANK(VLOOKUP($D$3,MemberData!$D$6:$JY$18,$C79*3+2,0)),"",VLOOKUP($D$3,MemberData!$D$6:$JY$18,$C79*3+2,0))</f>
        <v/>
      </c>
      <c r="I79" s="123" t="str">
        <f>IF(ISBLANK(VLOOKUP($D$3,MemberData!$D$6:$JY$18,$C79*3+3,0)),"",VLOOKUP($D$3,MemberData!$D$6:$JY$18,$C79*3+3,0))</f>
        <v/>
      </c>
      <c r="J79" s="91" t="str">
        <f>IFERROR((H79-I79)/H79,"NA")</f>
        <v>NA</v>
      </c>
    </row>
    <row r="80" spans="3:10">
      <c r="C80" s="243">
        <f t="shared" si="23"/>
        <v>74</v>
      </c>
      <c r="D80" s="73" t="s">
        <v>172</v>
      </c>
      <c r="E80" s="73" t="s">
        <v>189</v>
      </c>
      <c r="F80" s="72" t="s">
        <v>146</v>
      </c>
      <c r="G80" s="89" t="str">
        <f>IF(ISBLANK(VLOOKUP($D$3,MemberData!$D$6:$JY$18,$C80*3+1,0)),"",VLOOKUP($D$3,MemberData!$D$6:$JY$18,$C80*3+1,0))</f>
        <v/>
      </c>
      <c r="H80" s="90" t="str">
        <f>IF(ISBLANK(VLOOKUP($D$3,MemberData!$D$6:$JY$18,$C80*3+2,0)),"",VLOOKUP($D$3,MemberData!$D$6:$JY$18,$C80*3+2,0))</f>
        <v/>
      </c>
      <c r="I80" s="90" t="str">
        <f>IF(ISBLANK(VLOOKUP($D$3,MemberData!$D$6:$JY$18,$C80*3+3,0)),"",VLOOKUP($D$3,MemberData!$D$6:$JY$18,$C80*3+3,0))</f>
        <v/>
      </c>
      <c r="J80" s="91" t="str">
        <f>IFERROR((H80-I80)/H80,"NA")</f>
        <v>NA</v>
      </c>
    </row>
    <row r="81" spans="3:10">
      <c r="C81" s="243">
        <f t="shared" si="23"/>
        <v>75</v>
      </c>
      <c r="D81" s="73" t="s">
        <v>48</v>
      </c>
      <c r="E81" s="73" t="s">
        <v>189</v>
      </c>
      <c r="F81" s="234" t="s">
        <v>307</v>
      </c>
      <c r="G81" s="89" t="str">
        <f>IF(ISBLANK(VLOOKUP($D$3,MemberData!$D$6:$JY$18,$C81*3+1,0)),"",VLOOKUP($D$3,MemberData!$D$6:$JY$18,$C81*3+1,0))</f>
        <v/>
      </c>
      <c r="H81" s="90" t="str">
        <f>IF(ISBLANK(VLOOKUP($D$3,MemberData!$D$6:$JY$18,$C81*3+2,0)),"",VLOOKUP($D$3,MemberData!$D$6:$JY$18,$C81*3+2,0))</f>
        <v/>
      </c>
      <c r="I81" s="90" t="str">
        <f>IF(ISBLANK(VLOOKUP($D$3,MemberData!$D$6:$JY$18,$C81*3+3,0)),"",VLOOKUP($D$3,MemberData!$D$6:$JY$18,$C81*3+3,0))</f>
        <v/>
      </c>
      <c r="J81" s="91" t="str">
        <f>IFERROR((H81-I81)/H81,"NA")</f>
        <v>NA</v>
      </c>
    </row>
    <row r="82" spans="3:10">
      <c r="C82" s="244">
        <f t="shared" si="23"/>
        <v>76</v>
      </c>
      <c r="D82" s="87" t="s">
        <v>23</v>
      </c>
      <c r="E82" s="73" t="s">
        <v>189</v>
      </c>
      <c r="F82" s="88" t="s">
        <v>35</v>
      </c>
      <c r="G82" s="89" t="str">
        <f>IF(ISBLANK(VLOOKUP($D$3,MemberData!$D$6:$JY$18,$C82*3+1,0)),"",VLOOKUP($D$3,MemberData!$D$6:$JY$18,$C82*3+1,0))</f>
        <v/>
      </c>
      <c r="H82" s="90" t="str">
        <f>IF(ISBLANK(VLOOKUP($D$3,MemberData!$D$6:$JY$18,$C82*3+2,0)),"",VLOOKUP($D$3,MemberData!$D$6:$JY$18,$C82*3+2,0))</f>
        <v/>
      </c>
      <c r="I82" s="90" t="str">
        <f>IF(ISBLANK(VLOOKUP($D$3,MemberData!$D$6:$JY$18,$C82*3+3,0)),"",VLOOKUP($D$3,MemberData!$D$6:$JY$18,$C82*3+3,0))</f>
        <v/>
      </c>
      <c r="J82" s="91" t="str">
        <f t="shared" ref="J82:J99" si="24">IFERROR((I82-H82)/H82,"NA")</f>
        <v>NA</v>
      </c>
    </row>
    <row r="83" spans="3:10">
      <c r="C83" s="244">
        <f t="shared" si="23"/>
        <v>77</v>
      </c>
      <c r="D83" s="229" t="s">
        <v>303</v>
      </c>
      <c r="E83" s="73" t="s">
        <v>189</v>
      </c>
      <c r="F83" s="88" t="s">
        <v>35</v>
      </c>
      <c r="G83" s="89" t="str">
        <f>IF(ISBLANK(VLOOKUP($D$3,MemberData!$D$6:$JY$18,$C83*3+1,0)),"",VLOOKUP($D$3,MemberData!$D$6:$JY$18,$C83*3+1,0))</f>
        <v/>
      </c>
      <c r="H83" s="90" t="str">
        <f>IF(ISBLANK(VLOOKUP($D$3,MemberData!$D$6:$JY$18,$C83*3+2,0)),"",VLOOKUP($D$3,MemberData!$D$6:$JY$18,$C83*3+2,0))</f>
        <v/>
      </c>
      <c r="I83" s="90" t="str">
        <f>IF(ISBLANK(VLOOKUP($D$3,MemberData!$D$6:$JY$18,$C83*3+3,0)),"",VLOOKUP($D$3,MemberData!$D$6:$JY$18,$C83*3+3,0))</f>
        <v/>
      </c>
      <c r="J83" s="91" t="str">
        <f t="shared" si="24"/>
        <v>NA</v>
      </c>
    </row>
    <row r="84" spans="3:10">
      <c r="C84" s="244">
        <f t="shared" si="23"/>
        <v>78</v>
      </c>
      <c r="D84" s="229" t="s">
        <v>302</v>
      </c>
      <c r="E84" s="73" t="s">
        <v>189</v>
      </c>
      <c r="F84" s="88" t="s">
        <v>35</v>
      </c>
      <c r="G84" s="89" t="str">
        <f>IF(ISBLANK(VLOOKUP($D$3,MemberData!$D$6:$JY$18,$C84*3+1,0)),"",VLOOKUP($D$3,MemberData!$D$6:$JY$18,$C84*3+1,0))</f>
        <v/>
      </c>
      <c r="H84" s="90" t="str">
        <f>IF(ISBLANK(VLOOKUP($D$3,MemberData!$D$6:$JY$18,$C84*3+2,0)),"",VLOOKUP($D$3,MemberData!$D$6:$JY$18,$C84*3+2,0))</f>
        <v/>
      </c>
      <c r="I84" s="90" t="str">
        <f>IF(ISBLANK(VLOOKUP($D$3,MemberData!$D$6:$JY$18,$C84*3+3,0)),"",VLOOKUP($D$3,MemberData!$D$6:$JY$18,$C84*3+3,0))</f>
        <v/>
      </c>
      <c r="J84" s="91" t="str">
        <f t="shared" si="24"/>
        <v>NA</v>
      </c>
    </row>
    <row r="85" spans="3:10">
      <c r="C85" s="244">
        <f t="shared" si="23"/>
        <v>79</v>
      </c>
      <c r="D85" s="87" t="s">
        <v>20</v>
      </c>
      <c r="E85" s="73" t="s">
        <v>189</v>
      </c>
      <c r="F85" s="88" t="s">
        <v>35</v>
      </c>
      <c r="G85" s="89" t="str">
        <f>IF(ISBLANK(VLOOKUP($D$3,MemberData!$D$6:$JY$18,$C85*3+1,0)),"",VLOOKUP($D$3,MemberData!$D$6:$JY$18,$C85*3+1,0))</f>
        <v/>
      </c>
      <c r="H85" s="90" t="str">
        <f>IF(ISBLANK(VLOOKUP($D$3,MemberData!$D$6:$JY$18,$C85*3+2,0)),"",VLOOKUP($D$3,MemberData!$D$6:$JY$18,$C85*3+2,0))</f>
        <v/>
      </c>
      <c r="I85" s="90" t="str">
        <f>IF(ISBLANK(VLOOKUP($D$3,MemberData!$D$6:$JY$18,$C85*3+3,0)),"",VLOOKUP($D$3,MemberData!$D$6:$JY$18,$C85*3+3,0))</f>
        <v/>
      </c>
      <c r="J85" s="91" t="str">
        <f t="shared" si="24"/>
        <v>NA</v>
      </c>
    </row>
    <row r="86" spans="3:10">
      <c r="C86" s="244">
        <f t="shared" si="23"/>
        <v>80</v>
      </c>
      <c r="D86" s="87" t="s">
        <v>249</v>
      </c>
      <c r="E86" s="73" t="s">
        <v>189</v>
      </c>
      <c r="F86" s="88" t="s">
        <v>35</v>
      </c>
      <c r="G86" s="89" t="str">
        <f>IF(ISBLANK(VLOOKUP($D$3,MemberData!$D$6:$JY$18,$C86*3+1,0)),"",VLOOKUP($D$3,MemberData!$D$6:$JY$18,$C86*3+1,0))</f>
        <v/>
      </c>
      <c r="H86" s="90" t="str">
        <f>IF(ISBLANK(VLOOKUP($D$3,MemberData!$D$6:$JY$18,$C86*3+2,0)),"",VLOOKUP($D$3,MemberData!$D$6:$JY$18,$C86*3+2,0))</f>
        <v/>
      </c>
      <c r="I86" s="90" t="str">
        <f>IF(ISBLANK(VLOOKUP($D$3,MemberData!$D$6:$JY$18,$C86*3+3,0)),"",VLOOKUP($D$3,MemberData!$D$6:$JY$18,$C86*3+3,0))</f>
        <v/>
      </c>
      <c r="J86" s="91" t="str">
        <f t="shared" si="24"/>
        <v>NA</v>
      </c>
    </row>
    <row r="87" spans="3:10">
      <c r="C87" s="244">
        <f t="shared" si="23"/>
        <v>81</v>
      </c>
      <c r="D87" s="87" t="s">
        <v>251</v>
      </c>
      <c r="E87" s="73" t="s">
        <v>189</v>
      </c>
      <c r="F87" s="88" t="s">
        <v>35</v>
      </c>
      <c r="G87" s="89" t="str">
        <f>IF(ISBLANK(VLOOKUP($D$3,MemberData!$D$6:$JY$18,$C87*3+1,0)),"",VLOOKUP($D$3,MemberData!$D$6:$JY$18,$C87*3+1,0))</f>
        <v/>
      </c>
      <c r="H87" s="90" t="str">
        <f>IF(ISBLANK(VLOOKUP($D$3,MemberData!$D$6:$JY$18,$C87*3+2,0)),"",VLOOKUP($D$3,MemberData!$D$6:$JY$18,$C87*3+2,0))</f>
        <v/>
      </c>
      <c r="I87" s="90" t="str">
        <f>IF(ISBLANK(VLOOKUP($D$3,MemberData!$D$6:$JY$18,$C87*3+3,0)),"",VLOOKUP($D$3,MemberData!$D$6:$JY$18,$C87*3+3,0))</f>
        <v/>
      </c>
      <c r="J87" s="91" t="str">
        <f t="shared" si="24"/>
        <v>NA</v>
      </c>
    </row>
    <row r="88" spans="3:10">
      <c r="C88" s="244">
        <f t="shared" si="23"/>
        <v>82</v>
      </c>
      <c r="D88" s="229" t="s">
        <v>304</v>
      </c>
      <c r="E88" s="229" t="s">
        <v>189</v>
      </c>
      <c r="F88" s="234" t="s">
        <v>307</v>
      </c>
      <c r="G88" s="89" t="str">
        <f>IF(ISBLANK(VLOOKUP($D$3,MemberData!$D$6:$JY$18,$C88*3+1,0)),"",VLOOKUP($D$3,MemberData!$D$6:$JY$18,$C88*3+1,0))</f>
        <v/>
      </c>
      <c r="H88" s="90" t="str">
        <f>IF(ISBLANK(VLOOKUP($D$3,MemberData!$D$6:$JY$18,$C88*3+2,0)),"",VLOOKUP($D$3,MemberData!$D$6:$JY$18,$C88*3+2,0))</f>
        <v/>
      </c>
      <c r="I88" s="90" t="str">
        <f>IF(ISBLANK(VLOOKUP($D$3,MemberData!$D$6:$JY$18,$C88*3+3,0)),"",VLOOKUP($D$3,MemberData!$D$6:$JY$18,$C88*3+3,0))</f>
        <v/>
      </c>
      <c r="J88" s="91" t="str">
        <f t="shared" si="24"/>
        <v>NA</v>
      </c>
    </row>
    <row r="89" spans="3:10">
      <c r="C89" s="244">
        <f t="shared" si="23"/>
        <v>83</v>
      </c>
      <c r="D89" s="229" t="s">
        <v>312</v>
      </c>
      <c r="E89" s="229" t="s">
        <v>189</v>
      </c>
      <c r="F89" s="234" t="s">
        <v>307</v>
      </c>
      <c r="G89" s="89" t="str">
        <f>IF(ISBLANK(VLOOKUP($D$3,MemberData!$D$6:$JY$18,$C89*3+1,0)),"",VLOOKUP($D$3,MemberData!$D$6:$JY$18,$C89*3+1,0))</f>
        <v/>
      </c>
      <c r="H89" s="90" t="str">
        <f>IF(ISBLANK(VLOOKUP($D$3,MemberData!$D$6:$JY$18,$C89*3+2,0)),"",VLOOKUP($D$3,MemberData!$D$6:$JY$18,$C89*3+2,0))</f>
        <v/>
      </c>
      <c r="I89" s="90" t="str">
        <f>IF(ISBLANK(VLOOKUP($D$3,MemberData!$D$6:$JY$18,$C89*3+3,0)),"",VLOOKUP($D$3,MemberData!$D$6:$JY$18,$C89*3+3,0))</f>
        <v/>
      </c>
      <c r="J89" s="91" t="str">
        <f t="shared" si="24"/>
        <v>NA</v>
      </c>
    </row>
    <row r="90" spans="3:10">
      <c r="C90" s="244">
        <f t="shared" si="23"/>
        <v>84</v>
      </c>
      <c r="D90" s="73" t="s">
        <v>170</v>
      </c>
      <c r="E90" s="73" t="s">
        <v>189</v>
      </c>
      <c r="F90" s="72" t="s">
        <v>146</v>
      </c>
      <c r="G90" s="89" t="str">
        <f>IF(ISBLANK(VLOOKUP($D$3,MemberData!$D$6:$JY$18,$C90*3+1,0)),"",VLOOKUP($D$3,MemberData!$D$6:$JY$18,$C90*3+1,0))</f>
        <v/>
      </c>
      <c r="H90" s="90" t="str">
        <f>IF(ISBLANK(VLOOKUP($D$3,MemberData!$D$6:$JY$18,$C90*3+2,0)),"",VLOOKUP($D$3,MemberData!$D$6:$JY$18,$C90*3+2,0))</f>
        <v/>
      </c>
      <c r="I90" s="90" t="str">
        <f>IF(ISBLANK(VLOOKUP($D$3,MemberData!$D$6:$JY$18,$C90*3+3,0)),"",VLOOKUP($D$3,MemberData!$D$6:$JY$18,$C90*3+3,0))</f>
        <v/>
      </c>
      <c r="J90" s="91" t="str">
        <f t="shared" si="24"/>
        <v>NA</v>
      </c>
    </row>
    <row r="91" spans="3:10">
      <c r="C91" s="244">
        <f t="shared" si="23"/>
        <v>85</v>
      </c>
      <c r="D91" s="85" t="s">
        <v>42</v>
      </c>
      <c r="E91" s="85" t="s">
        <v>189</v>
      </c>
      <c r="F91" s="86" t="s">
        <v>146</v>
      </c>
      <c r="G91" s="122" t="str">
        <f>IF(ISBLANK(VLOOKUP($D$3,MemberData!$D$6:$JY$18,$C91*3+1,0)),"",VLOOKUP($D$3,MemberData!$D$6:$JY$18,$C91*3+1,0))</f>
        <v/>
      </c>
      <c r="H91" s="123" t="str">
        <f>IF(ISBLANK(VLOOKUP($D$3,MemberData!$D$6:$JY$18,$C91*3+2,0)),"",VLOOKUP($D$3,MemberData!$D$6:$JY$18,$C91*3+2,0))</f>
        <v/>
      </c>
      <c r="I91" s="123" t="str">
        <f>IF(ISBLANK(VLOOKUP($D$3,MemberData!$D$6:$JY$18,$C91*3+3,0)),"",VLOOKUP($D$3,MemberData!$D$6:$JY$18,$C91*3+3,0))</f>
        <v/>
      </c>
      <c r="J91" s="91" t="str">
        <f>IFERROR((H91-I91)/H91,"NA")</f>
        <v>NA</v>
      </c>
    </row>
    <row r="92" spans="3:10">
      <c r="C92" s="244">
        <f t="shared" si="23"/>
        <v>86</v>
      </c>
      <c r="D92" s="229" t="s">
        <v>306</v>
      </c>
      <c r="E92" s="85" t="s">
        <v>189</v>
      </c>
      <c r="F92" s="234" t="s">
        <v>307</v>
      </c>
      <c r="G92" s="122" t="str">
        <f>IF(ISBLANK(VLOOKUP($D$3,MemberData!$D$6:$JY$18,$C92*3+1,0)),"",VLOOKUP($D$3,MemberData!$D$6:$JY$18,$C92*3+1,0))</f>
        <v/>
      </c>
      <c r="H92" s="123" t="str">
        <f>IF(ISBLANK(VLOOKUP($D$3,MemberData!$D$6:$JY$18,$C92*3+2,0)),"",VLOOKUP($D$3,MemberData!$D$6:$JY$18,$C92*3+2,0))</f>
        <v/>
      </c>
      <c r="I92" s="123" t="str">
        <f>IF(ISBLANK(VLOOKUP($D$3,MemberData!$D$6:$JY$18,$C92*3+3,0)),"",VLOOKUP($D$3,MemberData!$D$6:$JY$18,$C92*3+3,0))</f>
        <v/>
      </c>
      <c r="J92" s="91" t="str">
        <f t="shared" si="24"/>
        <v>NA</v>
      </c>
    </row>
    <row r="93" spans="3:10">
      <c r="C93" s="244">
        <f t="shared" si="23"/>
        <v>87</v>
      </c>
      <c r="D93" s="85" t="s">
        <v>40</v>
      </c>
      <c r="E93" s="85" t="s">
        <v>189</v>
      </c>
      <c r="F93" s="86" t="s">
        <v>146</v>
      </c>
      <c r="G93" s="122" t="str">
        <f>IF(ISBLANK(VLOOKUP($D$3,MemberData!$D$6:$JY$18,$C93*3+1,0)),"",VLOOKUP($D$3,MemberData!$D$6:$JY$18,$C93*3+1,0))</f>
        <v/>
      </c>
      <c r="H93" s="123" t="str">
        <f>IF(ISBLANK(VLOOKUP($D$3,MemberData!$D$6:$JY$18,$C93*3+2,0)),"",VLOOKUP($D$3,MemberData!$D$6:$JY$18,$C93*3+2,0))</f>
        <v/>
      </c>
      <c r="I93" s="123" t="str">
        <f>IF(ISBLANK(VLOOKUP($D$3,MemberData!$D$6:$JY$18,$C93*3+3,0)),"",VLOOKUP($D$3,MemberData!$D$6:$JY$18,$C93*3+3,0))</f>
        <v/>
      </c>
      <c r="J93" s="91" t="str">
        <f>IFERROR((H93-I93)/H93,"NA")</f>
        <v>NA</v>
      </c>
    </row>
    <row r="94" spans="3:10">
      <c r="C94" s="244">
        <f t="shared" si="23"/>
        <v>88</v>
      </c>
      <c r="D94" s="229" t="s">
        <v>308</v>
      </c>
      <c r="E94" s="229" t="s">
        <v>175</v>
      </c>
      <c r="F94" s="234" t="s">
        <v>307</v>
      </c>
      <c r="G94" s="122" t="str">
        <f>IF(ISBLANK(VLOOKUP($D$3,MemberData!$D$6:$JY$18,$C94*3+1,0)),"",VLOOKUP($D$3,MemberData!$D$6:$JY$18,$C94*3+1,0))</f>
        <v/>
      </c>
      <c r="H94" s="123" t="str">
        <f>IF(ISBLANK(VLOOKUP($D$3,MemberData!$D$6:$JY$18,$C94*3+2,0)),"",VLOOKUP($D$3,MemberData!$D$6:$JY$18,$C94*3+2,0))</f>
        <v/>
      </c>
      <c r="I94" s="123" t="str">
        <f>IF(ISBLANK(VLOOKUP($D$3,MemberData!$D$6:$JY$18,$C94*3+3,0)),"",VLOOKUP($D$3,MemberData!$D$6:$JY$18,$C94*3+3,0))</f>
        <v/>
      </c>
      <c r="J94" s="91" t="str">
        <f t="shared" si="24"/>
        <v>NA</v>
      </c>
    </row>
    <row r="95" spans="3:10">
      <c r="C95" s="244">
        <f t="shared" si="23"/>
        <v>89</v>
      </c>
      <c r="D95" s="85" t="s">
        <v>38</v>
      </c>
      <c r="E95" s="85" t="s">
        <v>189</v>
      </c>
      <c r="F95" s="86" t="s">
        <v>146</v>
      </c>
      <c r="G95" s="122" t="str">
        <f>IF(ISBLANK(VLOOKUP($D$3,MemberData!$D$6:$JY$18,$C95*3+1,0)),"",VLOOKUP($D$3,MemberData!$D$6:$JY$18,$C95*3+1,0))</f>
        <v/>
      </c>
      <c r="H95" s="123" t="str">
        <f>IF(ISBLANK(VLOOKUP($D$3,MemberData!$D$6:$JY$18,$C95*3+2,0)),"",VLOOKUP($D$3,MemberData!$D$6:$JY$18,$C95*3+2,0))</f>
        <v/>
      </c>
      <c r="I95" s="123" t="str">
        <f>IF(ISBLANK(VLOOKUP($D$3,MemberData!$D$6:$JY$18,$C95*3+3,0)),"",VLOOKUP($D$3,MemberData!$D$6:$JY$18,$C95*3+3,0))</f>
        <v/>
      </c>
      <c r="J95" s="91" t="str">
        <f>IFERROR((H95-I95)/H95,"NA")</f>
        <v>NA</v>
      </c>
    </row>
    <row r="96" spans="3:10">
      <c r="C96" s="244">
        <f t="shared" si="23"/>
        <v>90</v>
      </c>
      <c r="D96" s="229" t="s">
        <v>254</v>
      </c>
      <c r="E96" s="85" t="s">
        <v>189</v>
      </c>
      <c r="F96" s="234" t="s">
        <v>307</v>
      </c>
      <c r="G96" s="122" t="str">
        <f>IF(ISBLANK(VLOOKUP($D$3,MemberData!$D$6:$JY$18,$C96*3+1,0)),"",VLOOKUP($D$3,MemberData!$D$6:$JY$18,$C96*3+1,0))</f>
        <v/>
      </c>
      <c r="H96" s="123" t="str">
        <f>IF(ISBLANK(VLOOKUP($D$3,MemberData!$D$6:$JY$18,$C96*3+2,0)),"",VLOOKUP($D$3,MemberData!$D$6:$JY$18,$C96*3+2,0))</f>
        <v/>
      </c>
      <c r="I96" s="123" t="str">
        <f>IF(ISBLANK(VLOOKUP($D$3,MemberData!$D$6:$JY$18,$C96*3+3,0)),"",VLOOKUP($D$3,MemberData!$D$6:$JY$18,$C96*3+3,0))</f>
        <v/>
      </c>
      <c r="J96" s="91" t="str">
        <f>IFERROR((H96-I96)/H96,"NA")</f>
        <v>NA</v>
      </c>
    </row>
    <row r="97" spans="3:10">
      <c r="C97" s="244">
        <f t="shared" si="23"/>
        <v>91</v>
      </c>
      <c r="D97" s="85" t="s">
        <v>174</v>
      </c>
      <c r="E97" s="85" t="s">
        <v>189</v>
      </c>
      <c r="F97" s="86" t="s">
        <v>146</v>
      </c>
      <c r="G97" s="122" t="str">
        <f>IF(ISBLANK(VLOOKUP($D$3,MemberData!$D$6:$JY$18,$C97*3+1,0)),"",VLOOKUP($D$3,MemberData!$D$6:$JY$18,$C97*3+1,0))</f>
        <v/>
      </c>
      <c r="H97" s="123" t="str">
        <f>IF(ISBLANK(VLOOKUP($D$3,MemberData!$D$6:$JY$18,$C97*3+2,0)),"",VLOOKUP($D$3,MemberData!$D$6:$JY$18,$C97*3+2,0))</f>
        <v/>
      </c>
      <c r="I97" s="123" t="str">
        <f>IF(ISBLANK(VLOOKUP($D$3,MemberData!$D$6:$JY$18,$C97*3+3,0)),"",VLOOKUP($D$3,MemberData!$D$6:$JY$18,$C97*3+3,0))</f>
        <v/>
      </c>
      <c r="J97" s="91" t="str">
        <f>IFERROR((H97-I97)/H97,"NA")</f>
        <v>NA</v>
      </c>
    </row>
    <row r="98" spans="3:10">
      <c r="C98" s="244">
        <f t="shared" si="23"/>
        <v>92</v>
      </c>
      <c r="D98" s="73" t="s">
        <v>172</v>
      </c>
      <c r="E98" s="73" t="s">
        <v>189</v>
      </c>
      <c r="F98" s="72" t="s">
        <v>146</v>
      </c>
      <c r="G98" s="89" t="str">
        <f>IF(ISBLANK(VLOOKUP($D$3,MemberData!$D$6:$JY$18,$C98*3+1,0)),"",VLOOKUP($D$3,MemberData!$D$6:$JY$18,$C98*3+1,0))</f>
        <v/>
      </c>
      <c r="H98" s="90" t="str">
        <f>IF(ISBLANK(VLOOKUP($D$3,MemberData!$D$6:$JY$18,$C98*3+2,0)),"",VLOOKUP($D$3,MemberData!$D$6:$JY$18,$C98*3+2,0))</f>
        <v/>
      </c>
      <c r="I98" s="90" t="str">
        <f>IF(ISBLANK(VLOOKUP($D$3,MemberData!$D$6:$JY$18,$C98*3+3,0)),"",VLOOKUP($D$3,MemberData!$D$6:$JY$18,$C98*3+3,0))</f>
        <v/>
      </c>
      <c r="J98" s="91" t="str">
        <f t="shared" si="24"/>
        <v>NA</v>
      </c>
    </row>
    <row r="99" spans="3:10">
      <c r="C99" s="244">
        <f t="shared" si="23"/>
        <v>93</v>
      </c>
      <c r="D99" s="73" t="s">
        <v>48</v>
      </c>
      <c r="E99" s="73" t="s">
        <v>189</v>
      </c>
      <c r="F99" s="234" t="s">
        <v>307</v>
      </c>
      <c r="G99" s="89" t="str">
        <f>IF(ISBLANK(VLOOKUP($D$3,MemberData!$D$6:$JY$18,$C99*3+1,0)),"",VLOOKUP($D$3,MemberData!$D$6:$JY$18,$C99*3+1,0))</f>
        <v/>
      </c>
      <c r="H99" s="90" t="str">
        <f>IF(ISBLANK(VLOOKUP($D$3,MemberData!$D$6:$JY$18,$C99*3+2,0)),"",VLOOKUP($D$3,MemberData!$D$6:$JY$18,$C99*3+2,0))</f>
        <v/>
      </c>
      <c r="I99" s="90" t="str">
        <f>IF(ISBLANK(VLOOKUP($D$3,MemberData!$D$6:$JY$18,$C99*3+3,0)),"",VLOOKUP($D$3,MemberData!$D$6:$JY$18,$C99*3+3,0))</f>
        <v/>
      </c>
      <c r="J99" s="91" t="str">
        <f t="shared" si="24"/>
        <v>NA</v>
      </c>
    </row>
  </sheetData>
  <mergeCells count="45">
    <mergeCell ref="P46:P53"/>
    <mergeCell ref="Q46:Q53"/>
    <mergeCell ref="R46:R53"/>
    <mergeCell ref="T46:T53"/>
    <mergeCell ref="Y38:Y45"/>
    <mergeCell ref="Y46:Y53"/>
    <mergeCell ref="P38:P45"/>
    <mergeCell ref="Q38:Q45"/>
    <mergeCell ref="R38:R45"/>
    <mergeCell ref="T38:T45"/>
    <mergeCell ref="S46:S53"/>
    <mergeCell ref="P6:P13"/>
    <mergeCell ref="P14:P21"/>
    <mergeCell ref="P22:P29"/>
    <mergeCell ref="R22:R29"/>
    <mergeCell ref="Q6:Q13"/>
    <mergeCell ref="R6:R13"/>
    <mergeCell ref="R14:R21"/>
    <mergeCell ref="T6:T13"/>
    <mergeCell ref="AB1:AC1"/>
    <mergeCell ref="AD1:AD2"/>
    <mergeCell ref="R30:R37"/>
    <mergeCell ref="T14:T21"/>
    <mergeCell ref="T22:T29"/>
    <mergeCell ref="T30:T37"/>
    <mergeCell ref="Y30:Y37"/>
    <mergeCell ref="P2:R2"/>
    <mergeCell ref="Y6:Y13"/>
    <mergeCell ref="Y14:Y21"/>
    <mergeCell ref="Y22:Y29"/>
    <mergeCell ref="P30:P37"/>
    <mergeCell ref="Q14:Q21"/>
    <mergeCell ref="Q22:Q29"/>
    <mergeCell ref="Q30:Q37"/>
    <mergeCell ref="Q54:Q61"/>
    <mergeCell ref="R54:R61"/>
    <mergeCell ref="T54:T61"/>
    <mergeCell ref="Y54:Y61"/>
    <mergeCell ref="P54:P61"/>
    <mergeCell ref="S54:S61"/>
    <mergeCell ref="S6:S13"/>
    <mergeCell ref="S14:S21"/>
    <mergeCell ref="S22:S29"/>
    <mergeCell ref="S30:S37"/>
    <mergeCell ref="S38:S45"/>
  </mergeCells>
  <conditionalFormatting sqref="D7:D13 D15:D36">
    <cfRule type="duplicateValues" dxfId="346" priority="52"/>
  </conditionalFormatting>
  <conditionalFormatting sqref="D14">
    <cfRule type="duplicateValues" dxfId="345" priority="50"/>
  </conditionalFormatting>
  <conditionalFormatting sqref="D35">
    <cfRule type="duplicateValues" dxfId="344" priority="46"/>
  </conditionalFormatting>
  <conditionalFormatting sqref="D35">
    <cfRule type="duplicateValues" dxfId="343" priority="44"/>
  </conditionalFormatting>
  <conditionalFormatting sqref="D35">
    <cfRule type="duplicateValues" dxfId="342" priority="43"/>
  </conditionalFormatting>
  <conditionalFormatting sqref="D34">
    <cfRule type="duplicateValues" dxfId="341" priority="42"/>
  </conditionalFormatting>
  <conditionalFormatting sqref="D36:D38">
    <cfRule type="duplicateValues" dxfId="340" priority="41"/>
  </conditionalFormatting>
  <conditionalFormatting sqref="D37">
    <cfRule type="duplicateValues" dxfId="339" priority="40"/>
  </conditionalFormatting>
  <conditionalFormatting sqref="D37">
    <cfRule type="duplicateValues" dxfId="338" priority="39"/>
  </conditionalFormatting>
  <conditionalFormatting sqref="D37">
    <cfRule type="duplicateValues" dxfId="337" priority="38"/>
  </conditionalFormatting>
  <conditionalFormatting sqref="D36">
    <cfRule type="duplicateValues" dxfId="336" priority="37"/>
  </conditionalFormatting>
  <conditionalFormatting sqref="D35">
    <cfRule type="duplicateValues" dxfId="335" priority="36"/>
  </conditionalFormatting>
  <conditionalFormatting sqref="D38:D40 D43:D49 D51 D53:D56">
    <cfRule type="duplicateValues" dxfId="334" priority="35"/>
  </conditionalFormatting>
  <conditionalFormatting sqref="D45">
    <cfRule type="duplicateValues" dxfId="333" priority="34"/>
  </conditionalFormatting>
  <conditionalFormatting sqref="D46">
    <cfRule type="duplicateValues" dxfId="332" priority="33"/>
  </conditionalFormatting>
  <conditionalFormatting sqref="D36">
    <cfRule type="duplicateValues" dxfId="331" priority="32"/>
  </conditionalFormatting>
  <conditionalFormatting sqref="D36">
    <cfRule type="duplicateValues" dxfId="330" priority="31"/>
  </conditionalFormatting>
  <conditionalFormatting sqref="D36">
    <cfRule type="duplicateValues" dxfId="329" priority="30"/>
  </conditionalFormatting>
  <conditionalFormatting sqref="D35">
    <cfRule type="duplicateValues" dxfId="328" priority="29"/>
  </conditionalFormatting>
  <conditionalFormatting sqref="D38">
    <cfRule type="duplicateValues" dxfId="327" priority="28"/>
  </conditionalFormatting>
  <conditionalFormatting sqref="D38">
    <cfRule type="duplicateValues" dxfId="326" priority="27"/>
  </conditionalFormatting>
  <conditionalFormatting sqref="D38">
    <cfRule type="duplicateValues" dxfId="325" priority="26"/>
  </conditionalFormatting>
  <conditionalFormatting sqref="D37">
    <cfRule type="duplicateValues" dxfId="324" priority="25"/>
  </conditionalFormatting>
  <conditionalFormatting sqref="D36">
    <cfRule type="duplicateValues" dxfId="323" priority="24"/>
  </conditionalFormatting>
  <conditionalFormatting sqref="D46">
    <cfRule type="duplicateValues" dxfId="322" priority="23"/>
  </conditionalFormatting>
  <conditionalFormatting sqref="D47">
    <cfRule type="duplicateValues" dxfId="321" priority="22"/>
  </conditionalFormatting>
  <conditionalFormatting sqref="G6">
    <cfRule type="cellIs" dxfId="320" priority="21" operator="lessThan">
      <formula>1</formula>
    </cfRule>
  </conditionalFormatting>
  <conditionalFormatting sqref="D41:D42">
    <cfRule type="duplicateValues" dxfId="319" priority="20"/>
  </conditionalFormatting>
  <conditionalFormatting sqref="D50">
    <cfRule type="duplicateValues" dxfId="318" priority="19"/>
  </conditionalFormatting>
  <conditionalFormatting sqref="D52">
    <cfRule type="duplicateValues" dxfId="317" priority="18"/>
  </conditionalFormatting>
  <conditionalFormatting sqref="D64 D67:D73 D75 D77:D81">
    <cfRule type="duplicateValues" dxfId="316" priority="17"/>
  </conditionalFormatting>
  <conditionalFormatting sqref="D69">
    <cfRule type="duplicateValues" dxfId="315" priority="16"/>
  </conditionalFormatting>
  <conditionalFormatting sqref="D70">
    <cfRule type="duplicateValues" dxfId="314" priority="15"/>
  </conditionalFormatting>
  <conditionalFormatting sqref="D70">
    <cfRule type="duplicateValues" dxfId="313" priority="14"/>
  </conditionalFormatting>
  <conditionalFormatting sqref="D71">
    <cfRule type="duplicateValues" dxfId="312" priority="13"/>
  </conditionalFormatting>
  <conditionalFormatting sqref="D65:D66">
    <cfRule type="duplicateValues" dxfId="311" priority="12"/>
  </conditionalFormatting>
  <conditionalFormatting sqref="D74">
    <cfRule type="duplicateValues" dxfId="310" priority="11"/>
  </conditionalFormatting>
  <conditionalFormatting sqref="D76">
    <cfRule type="duplicateValues" dxfId="309" priority="10"/>
  </conditionalFormatting>
  <conditionalFormatting sqref="D82 D85:D91 D93 D95:D99">
    <cfRule type="duplicateValues" dxfId="308" priority="9"/>
  </conditionalFormatting>
  <conditionalFormatting sqref="D87">
    <cfRule type="duplicateValues" dxfId="307" priority="8"/>
  </conditionalFormatting>
  <conditionalFormatting sqref="D88">
    <cfRule type="duplicateValues" dxfId="306" priority="7"/>
  </conditionalFormatting>
  <conditionalFormatting sqref="D88">
    <cfRule type="duplicateValues" dxfId="305" priority="6"/>
  </conditionalFormatting>
  <conditionalFormatting sqref="D89">
    <cfRule type="duplicateValues" dxfId="304" priority="5"/>
  </conditionalFormatting>
  <conditionalFormatting sqref="D83:D84">
    <cfRule type="duplicateValues" dxfId="303" priority="4"/>
  </conditionalFormatting>
  <conditionalFormatting sqref="D92">
    <cfRule type="duplicateValues" dxfId="302" priority="3"/>
  </conditionalFormatting>
  <conditionalFormatting sqref="D94">
    <cfRule type="duplicateValues" dxfId="301" priority="2"/>
  </conditionalFormatting>
  <conditionalFormatting sqref="D57">
    <cfRule type="duplicateValues" dxfId="300" priority="1"/>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[1]Reference!#REF!</xm:f>
          </x14:formula1>
          <xm:sqref>F6 AC5:AC15</xm:sqref>
        </x14:dataValidation>
        <x14:dataValidation type="list" allowBlank="1" showInputMessage="1" showErrorMessage="1">
          <x14:formula1>
            <xm:f>[2]Reference!#REF!</xm:f>
          </x14:formula1>
          <xm:sqref>F1 F4 F100:F1048576</xm:sqref>
        </x14:dataValidation>
        <x14:dataValidation type="list" showInputMessage="1" showErrorMessage="1">
          <x14:formula1>
            <xm:f>Reference!$A$30:$A$36</xm:f>
          </x14:formula1>
          <xm:sqref>F7:F99</xm:sqref>
        </x14:dataValidation>
        <x14:dataValidation type="list" allowBlank="1" showInputMessage="1" showErrorMessage="1">
          <x14:formula1>
            <xm:f>Reference!$A$10:$A$14</xm:f>
          </x14:formula1>
          <xm:sqref>D2</xm:sqref>
        </x14:dataValidation>
        <x14:dataValidation type="list" allowBlank="1" showInputMessage="1" showErrorMessage="1">
          <x14:formula1>
            <xm:f>Reference!$F$9:$F$21</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4"/>
  <sheetViews>
    <sheetView showGridLines="0" workbookViewId="0">
      <pane xSplit="1" ySplit="1" topLeftCell="B2" activePane="bottomRight" state="frozen"/>
      <selection pane="topRight" activeCell="B1" sqref="B1"/>
      <selection pane="bottomLeft" activeCell="A2" sqref="A2"/>
      <selection pane="bottomRight" activeCell="O13" sqref="O13"/>
    </sheetView>
  </sheetViews>
  <sheetFormatPr defaultColWidth="9.109375" defaultRowHeight="14.4"/>
  <cols>
    <col min="1" max="1" width="21.109375" style="29" customWidth="1"/>
    <col min="2" max="2" width="6.6640625" style="29" customWidth="1"/>
    <col min="3" max="3" width="20.5546875" style="29" customWidth="1"/>
    <col min="4" max="4" width="39.6640625" style="35" bestFit="1" customWidth="1"/>
    <col min="5" max="5" width="25.33203125" style="36" customWidth="1"/>
    <col min="6" max="6" width="30.88671875" style="36" customWidth="1"/>
    <col min="7" max="7" width="22.33203125" style="38" customWidth="1"/>
    <col min="8" max="8" width="16.6640625" style="29" customWidth="1"/>
    <col min="9" max="16384" width="9.109375" style="29"/>
  </cols>
  <sheetData>
    <row r="1" spans="1:10">
      <c r="A1" s="26" t="s">
        <v>99</v>
      </c>
      <c r="B1" s="26" t="s">
        <v>56</v>
      </c>
      <c r="C1" s="26" t="s">
        <v>100</v>
      </c>
      <c r="D1" s="27" t="s">
        <v>101</v>
      </c>
      <c r="E1" s="28" t="s">
        <v>102</v>
      </c>
      <c r="F1" s="28" t="s">
        <v>103</v>
      </c>
      <c r="G1" s="37" t="s">
        <v>104</v>
      </c>
      <c r="H1" s="26" t="s">
        <v>105</v>
      </c>
    </row>
    <row r="2" spans="1:10">
      <c r="A2" s="333" t="s">
        <v>106</v>
      </c>
      <c r="B2" s="30">
        <v>1</v>
      </c>
      <c r="C2" s="31" t="s">
        <v>107</v>
      </c>
      <c r="D2" s="32" t="s">
        <v>108</v>
      </c>
      <c r="E2" s="31" t="s">
        <v>89</v>
      </c>
      <c r="F2" s="30" t="s">
        <v>97</v>
      </c>
      <c r="G2" s="33" t="s">
        <v>109</v>
      </c>
      <c r="H2" s="31" t="s">
        <v>110</v>
      </c>
    </row>
    <row r="3" spans="1:10">
      <c r="A3" s="333"/>
      <c r="B3" s="30">
        <v>1</v>
      </c>
      <c r="C3" s="31" t="s">
        <v>107</v>
      </c>
      <c r="D3" s="32" t="s">
        <v>108</v>
      </c>
      <c r="E3" s="31" t="s">
        <v>91</v>
      </c>
      <c r="F3" s="30" t="s">
        <v>58</v>
      </c>
      <c r="G3" s="33" t="s">
        <v>141</v>
      </c>
      <c r="H3" s="31" t="s">
        <v>144</v>
      </c>
      <c r="J3" s="54" t="s">
        <v>161</v>
      </c>
    </row>
    <row r="4" spans="1:10">
      <c r="A4" s="333"/>
      <c r="B4" s="30">
        <v>1</v>
      </c>
      <c r="C4" s="31" t="s">
        <v>107</v>
      </c>
      <c r="D4" s="32" t="s">
        <v>108</v>
      </c>
      <c r="E4" s="31" t="s">
        <v>88</v>
      </c>
      <c r="F4" s="30" t="s">
        <v>61</v>
      </c>
      <c r="G4" s="33" t="s">
        <v>109</v>
      </c>
      <c r="H4" s="31" t="s">
        <v>144</v>
      </c>
    </row>
    <row r="5" spans="1:10">
      <c r="A5" s="333"/>
      <c r="B5" s="30">
        <v>1</v>
      </c>
      <c r="C5" s="31" t="s">
        <v>107</v>
      </c>
      <c r="D5" s="32" t="s">
        <v>108</v>
      </c>
      <c r="E5" s="31" t="s">
        <v>83</v>
      </c>
      <c r="F5" s="30" t="s">
        <v>64</v>
      </c>
      <c r="G5" s="33" t="s">
        <v>114</v>
      </c>
      <c r="H5" s="31" t="s">
        <v>144</v>
      </c>
    </row>
    <row r="6" spans="1:10">
      <c r="A6" s="333" t="s">
        <v>111</v>
      </c>
      <c r="B6" s="30">
        <v>1</v>
      </c>
      <c r="C6" s="31" t="s">
        <v>112</v>
      </c>
      <c r="D6" s="34" t="s">
        <v>113</v>
      </c>
      <c r="E6" s="31" t="s">
        <v>78</v>
      </c>
      <c r="F6" s="30" t="s">
        <v>94</v>
      </c>
      <c r="G6" s="33" t="s">
        <v>114</v>
      </c>
      <c r="H6" s="31" t="s">
        <v>110</v>
      </c>
    </row>
    <row r="7" spans="1:10">
      <c r="A7" s="333"/>
      <c r="B7" s="30">
        <v>1</v>
      </c>
      <c r="C7" s="31" t="s">
        <v>112</v>
      </c>
      <c r="D7" s="32" t="s">
        <v>113</v>
      </c>
      <c r="E7" s="31" t="s">
        <v>80</v>
      </c>
      <c r="F7" s="30" t="s">
        <v>70</v>
      </c>
      <c r="G7" s="33" t="s">
        <v>141</v>
      </c>
      <c r="H7" s="31" t="s">
        <v>144</v>
      </c>
    </row>
    <row r="8" spans="1:10">
      <c r="A8" s="333"/>
      <c r="B8" s="30">
        <v>1</v>
      </c>
      <c r="C8" s="31" t="s">
        <v>112</v>
      </c>
      <c r="D8" s="32" t="s">
        <v>113</v>
      </c>
      <c r="E8" s="31" t="s">
        <v>83</v>
      </c>
      <c r="F8" s="30" t="s">
        <v>64</v>
      </c>
      <c r="G8" s="33" t="s">
        <v>109</v>
      </c>
      <c r="H8" s="31" t="s">
        <v>144</v>
      </c>
    </row>
    <row r="9" spans="1:10">
      <c r="A9" s="333"/>
      <c r="B9" s="30">
        <v>1</v>
      </c>
      <c r="C9" s="31" t="s">
        <v>112</v>
      </c>
      <c r="D9" s="32" t="s">
        <v>113</v>
      </c>
      <c r="E9" s="31" t="s">
        <v>90</v>
      </c>
      <c r="F9" s="30" t="s">
        <v>63</v>
      </c>
      <c r="G9" s="33" t="s">
        <v>114</v>
      </c>
      <c r="H9" s="31" t="s">
        <v>144</v>
      </c>
    </row>
    <row r="10" spans="1:10">
      <c r="A10" s="333" t="s">
        <v>115</v>
      </c>
      <c r="B10" s="30">
        <v>1</v>
      </c>
      <c r="C10" s="31" t="s">
        <v>116</v>
      </c>
      <c r="D10" s="34" t="s">
        <v>117</v>
      </c>
      <c r="E10" s="31" t="s">
        <v>78</v>
      </c>
      <c r="F10" s="30" t="s">
        <v>94</v>
      </c>
      <c r="G10" s="33" t="s">
        <v>109</v>
      </c>
      <c r="H10" s="31" t="s">
        <v>110</v>
      </c>
    </row>
    <row r="11" spans="1:10">
      <c r="A11" s="333"/>
      <c r="B11" s="30">
        <v>1</v>
      </c>
      <c r="C11" s="31" t="s">
        <v>116</v>
      </c>
      <c r="D11" s="32" t="s">
        <v>117</v>
      </c>
      <c r="E11" s="31" t="s">
        <v>76</v>
      </c>
      <c r="F11" s="30" t="s">
        <v>66</v>
      </c>
      <c r="G11" s="33" t="s">
        <v>141</v>
      </c>
      <c r="H11" s="31" t="s">
        <v>144</v>
      </c>
    </row>
    <row r="12" spans="1:10">
      <c r="A12" s="333"/>
      <c r="B12" s="30">
        <v>1</v>
      </c>
      <c r="C12" s="31" t="s">
        <v>116</v>
      </c>
      <c r="D12" s="32" t="s">
        <v>117</v>
      </c>
      <c r="E12" s="31" t="s">
        <v>78</v>
      </c>
      <c r="F12" s="30" t="s">
        <v>94</v>
      </c>
      <c r="G12" s="33" t="s">
        <v>109</v>
      </c>
      <c r="H12" s="31" t="s">
        <v>144</v>
      </c>
    </row>
    <row r="13" spans="1:10">
      <c r="A13" s="333"/>
      <c r="B13" s="30">
        <v>1</v>
      </c>
      <c r="C13" s="31" t="s">
        <v>116</v>
      </c>
      <c r="D13" s="32" t="s">
        <v>117</v>
      </c>
      <c r="E13" s="31" t="s">
        <v>85</v>
      </c>
      <c r="F13" s="30" t="s">
        <v>65</v>
      </c>
      <c r="G13" s="33" t="s">
        <v>114</v>
      </c>
      <c r="H13" s="31" t="s">
        <v>144</v>
      </c>
    </row>
    <row r="14" spans="1:10">
      <c r="A14" s="333" t="s">
        <v>118</v>
      </c>
      <c r="B14" s="30">
        <v>1</v>
      </c>
      <c r="C14" s="31" t="s">
        <v>119</v>
      </c>
      <c r="D14" s="32" t="s">
        <v>120</v>
      </c>
      <c r="E14" s="31" t="s">
        <v>90</v>
      </c>
      <c r="F14" s="30" t="s">
        <v>143</v>
      </c>
      <c r="G14" s="33" t="s">
        <v>109</v>
      </c>
      <c r="H14" s="31" t="s">
        <v>110</v>
      </c>
    </row>
    <row r="15" spans="1:10">
      <c r="A15" s="333"/>
      <c r="B15" s="30">
        <v>1</v>
      </c>
      <c r="C15" s="31" t="s">
        <v>119</v>
      </c>
      <c r="D15" s="32" t="s">
        <v>120</v>
      </c>
      <c r="E15" s="31" t="s">
        <v>91</v>
      </c>
      <c r="F15" s="30" t="s">
        <v>58</v>
      </c>
      <c r="G15" s="33" t="s">
        <v>141</v>
      </c>
      <c r="H15" s="31" t="s">
        <v>144</v>
      </c>
    </row>
    <row r="16" spans="1:10">
      <c r="A16" s="333"/>
      <c r="B16" s="30">
        <v>1</v>
      </c>
      <c r="C16" s="31" t="s">
        <v>119</v>
      </c>
      <c r="D16" s="32" t="s">
        <v>120</v>
      </c>
      <c r="E16" s="31" t="s">
        <v>88</v>
      </c>
      <c r="F16" s="30" t="s">
        <v>61</v>
      </c>
      <c r="G16" s="33" t="s">
        <v>109</v>
      </c>
      <c r="H16" s="31" t="s">
        <v>144</v>
      </c>
    </row>
    <row r="17" spans="1:8">
      <c r="A17" s="333"/>
      <c r="B17" s="30">
        <v>1</v>
      </c>
      <c r="C17" s="31" t="s">
        <v>119</v>
      </c>
      <c r="D17" s="32" t="s">
        <v>120</v>
      </c>
      <c r="E17" s="31" t="s">
        <v>81</v>
      </c>
      <c r="F17" s="30" t="s">
        <v>60</v>
      </c>
      <c r="G17" s="33" t="s">
        <v>114</v>
      </c>
      <c r="H17" s="31" t="s">
        <v>144</v>
      </c>
    </row>
    <row r="18" spans="1:8">
      <c r="A18" s="333" t="s">
        <v>121</v>
      </c>
      <c r="B18" s="30">
        <v>1</v>
      </c>
      <c r="C18" s="31" t="s">
        <v>122</v>
      </c>
      <c r="D18" s="32" t="s">
        <v>123</v>
      </c>
      <c r="E18" s="31" t="s">
        <v>75</v>
      </c>
      <c r="F18" s="30" t="s">
        <v>92</v>
      </c>
      <c r="G18" s="33" t="s">
        <v>109</v>
      </c>
      <c r="H18" s="31" t="s">
        <v>110</v>
      </c>
    </row>
    <row r="19" spans="1:8">
      <c r="A19" s="333"/>
      <c r="B19" s="30">
        <v>1</v>
      </c>
      <c r="C19" s="31"/>
      <c r="D19" s="32"/>
      <c r="E19" s="31" t="s">
        <v>76</v>
      </c>
      <c r="F19" s="30" t="s">
        <v>66</v>
      </c>
      <c r="G19" s="33" t="s">
        <v>141</v>
      </c>
      <c r="H19" s="31" t="s">
        <v>144</v>
      </c>
    </row>
    <row r="20" spans="1:8">
      <c r="A20" s="333"/>
      <c r="B20" s="30">
        <v>1</v>
      </c>
      <c r="C20" s="31"/>
      <c r="D20" s="32"/>
      <c r="E20" s="31" t="s">
        <v>77</v>
      </c>
      <c r="F20" s="30" t="s">
        <v>68</v>
      </c>
      <c r="G20" s="33" t="s">
        <v>109</v>
      </c>
      <c r="H20" s="31" t="s">
        <v>144</v>
      </c>
    </row>
    <row r="21" spans="1:8">
      <c r="A21" s="333"/>
      <c r="B21" s="30">
        <v>1</v>
      </c>
      <c r="C21" s="31"/>
      <c r="D21" s="32"/>
      <c r="E21" s="31" t="s">
        <v>82</v>
      </c>
      <c r="F21" s="30" t="s">
        <v>96</v>
      </c>
      <c r="G21" s="33" t="s">
        <v>114</v>
      </c>
      <c r="H21" s="31" t="s">
        <v>144</v>
      </c>
    </row>
    <row r="22" spans="1:8">
      <c r="A22" s="333" t="s">
        <v>124</v>
      </c>
      <c r="B22" s="30">
        <v>1</v>
      </c>
      <c r="C22" s="31"/>
      <c r="D22" s="32"/>
      <c r="E22" s="31" t="s">
        <v>86</v>
      </c>
      <c r="F22" s="30" t="s">
        <v>93</v>
      </c>
      <c r="G22" s="33" t="s">
        <v>109</v>
      </c>
      <c r="H22" s="31" t="s">
        <v>110</v>
      </c>
    </row>
    <row r="23" spans="1:8">
      <c r="A23" s="333"/>
      <c r="B23" s="30">
        <v>1</v>
      </c>
      <c r="C23" s="31"/>
      <c r="D23" s="32"/>
      <c r="E23" s="31" t="s">
        <v>84</v>
      </c>
      <c r="F23" s="30" t="s">
        <v>67</v>
      </c>
      <c r="G23" s="33" t="s">
        <v>141</v>
      </c>
      <c r="H23" s="31" t="s">
        <v>144</v>
      </c>
    </row>
    <row r="24" spans="1:8">
      <c r="A24" s="333"/>
      <c r="B24" s="30">
        <v>1</v>
      </c>
      <c r="C24" s="31"/>
      <c r="D24" s="32"/>
      <c r="E24" s="31" t="s">
        <v>85</v>
      </c>
      <c r="F24" s="30" t="s">
        <v>65</v>
      </c>
      <c r="G24" s="33" t="s">
        <v>109</v>
      </c>
      <c r="H24" s="31" t="s">
        <v>144</v>
      </c>
    </row>
    <row r="25" spans="1:8">
      <c r="A25" s="333"/>
      <c r="B25" s="30">
        <v>1</v>
      </c>
      <c r="C25" s="31"/>
      <c r="D25" s="32"/>
      <c r="E25" s="31" t="s">
        <v>78</v>
      </c>
      <c r="F25" s="30" t="s">
        <v>94</v>
      </c>
      <c r="G25" s="33" t="s">
        <v>114</v>
      </c>
      <c r="H25" s="31" t="s">
        <v>144</v>
      </c>
    </row>
    <row r="26" spans="1:8">
      <c r="A26" s="333" t="s">
        <v>125</v>
      </c>
      <c r="B26" s="30">
        <v>1</v>
      </c>
      <c r="C26" s="31"/>
      <c r="D26" s="32"/>
      <c r="E26" s="31" t="s">
        <v>78</v>
      </c>
      <c r="F26" s="30" t="s">
        <v>94</v>
      </c>
      <c r="G26" s="33" t="s">
        <v>109</v>
      </c>
      <c r="H26" s="31" t="s">
        <v>110</v>
      </c>
    </row>
    <row r="27" spans="1:8">
      <c r="A27" s="333"/>
      <c r="B27" s="30">
        <v>1</v>
      </c>
      <c r="C27" s="31"/>
      <c r="D27" s="32"/>
      <c r="E27" s="31" t="s">
        <v>76</v>
      </c>
      <c r="F27" s="30" t="s">
        <v>66</v>
      </c>
      <c r="G27" s="33" t="s">
        <v>141</v>
      </c>
      <c r="H27" s="31" t="s">
        <v>144</v>
      </c>
    </row>
    <row r="28" spans="1:8">
      <c r="A28" s="333"/>
      <c r="B28" s="30">
        <v>1</v>
      </c>
      <c r="C28" s="31"/>
      <c r="D28" s="32"/>
      <c r="E28" s="31" t="s">
        <v>75</v>
      </c>
      <c r="F28" s="30" t="s">
        <v>59</v>
      </c>
      <c r="G28" s="33" t="s">
        <v>109</v>
      </c>
      <c r="H28" s="31" t="s">
        <v>144</v>
      </c>
    </row>
    <row r="29" spans="1:8">
      <c r="A29" s="333"/>
      <c r="B29" s="30">
        <v>1</v>
      </c>
      <c r="C29" s="31"/>
      <c r="D29" s="32"/>
      <c r="E29" s="31" t="s">
        <v>90</v>
      </c>
      <c r="F29" s="30" t="s">
        <v>63</v>
      </c>
      <c r="G29" s="33" t="s">
        <v>114</v>
      </c>
      <c r="H29" s="31" t="s">
        <v>144</v>
      </c>
    </row>
    <row r="30" spans="1:8">
      <c r="A30" s="333" t="s">
        <v>126</v>
      </c>
      <c r="B30" s="30">
        <v>1</v>
      </c>
      <c r="C30" s="31"/>
      <c r="D30" s="32"/>
      <c r="E30" s="31" t="s">
        <v>84</v>
      </c>
      <c r="F30" s="30" t="s">
        <v>98</v>
      </c>
      <c r="G30" s="33" t="s">
        <v>114</v>
      </c>
      <c r="H30" s="31" t="s">
        <v>110</v>
      </c>
    </row>
    <row r="31" spans="1:8">
      <c r="A31" s="333"/>
      <c r="B31" s="30">
        <v>1</v>
      </c>
      <c r="C31" s="31"/>
      <c r="D31" s="32"/>
      <c r="E31" s="31" t="s">
        <v>88</v>
      </c>
      <c r="F31" s="30" t="s">
        <v>61</v>
      </c>
      <c r="G31" s="33" t="s">
        <v>109</v>
      </c>
      <c r="H31" s="31" t="s">
        <v>144</v>
      </c>
    </row>
    <row r="32" spans="1:8">
      <c r="A32" s="333"/>
      <c r="B32" s="30">
        <v>1</v>
      </c>
      <c r="C32" s="31"/>
      <c r="D32" s="32"/>
      <c r="E32" s="31" t="s">
        <v>89</v>
      </c>
      <c r="F32" s="30" t="s">
        <v>71</v>
      </c>
      <c r="G32" s="33" t="s">
        <v>109</v>
      </c>
      <c r="H32" s="31" t="s">
        <v>144</v>
      </c>
    </row>
    <row r="33" spans="1:8">
      <c r="A33" s="333"/>
      <c r="B33" s="30">
        <v>1</v>
      </c>
      <c r="C33" s="31"/>
      <c r="D33" s="32"/>
      <c r="E33" s="31" t="s">
        <v>90</v>
      </c>
      <c r="F33" s="30" t="s">
        <v>63</v>
      </c>
      <c r="G33" s="33" t="s">
        <v>109</v>
      </c>
      <c r="H33" s="31" t="s">
        <v>144</v>
      </c>
    </row>
    <row r="34" spans="1:8">
      <c r="A34" s="333" t="s">
        <v>127</v>
      </c>
      <c r="B34" s="30">
        <v>1</v>
      </c>
      <c r="C34" s="31"/>
      <c r="D34" s="32"/>
      <c r="E34" s="31" t="s">
        <v>80</v>
      </c>
      <c r="F34" s="30" t="s">
        <v>128</v>
      </c>
      <c r="G34" s="33" t="s">
        <v>114</v>
      </c>
      <c r="H34" s="31" t="s">
        <v>110</v>
      </c>
    </row>
    <row r="35" spans="1:8">
      <c r="A35" s="333"/>
      <c r="B35" s="30">
        <v>1</v>
      </c>
      <c r="C35" s="31"/>
      <c r="D35" s="32"/>
      <c r="E35" s="31" t="s">
        <v>85</v>
      </c>
      <c r="F35" s="30" t="s">
        <v>65</v>
      </c>
      <c r="G35" s="33" t="s">
        <v>109</v>
      </c>
      <c r="H35" s="31" t="s">
        <v>144</v>
      </c>
    </row>
    <row r="36" spans="1:8">
      <c r="A36" s="333"/>
      <c r="B36" s="30">
        <v>1</v>
      </c>
      <c r="C36" s="31"/>
      <c r="D36" s="32"/>
      <c r="E36" s="31" t="s">
        <v>86</v>
      </c>
      <c r="F36" s="30" t="s">
        <v>69</v>
      </c>
      <c r="G36" s="33" t="s">
        <v>109</v>
      </c>
      <c r="H36" s="31" t="s">
        <v>144</v>
      </c>
    </row>
    <row r="37" spans="1:8">
      <c r="A37" s="333"/>
      <c r="B37" s="30">
        <v>1</v>
      </c>
      <c r="C37" s="31"/>
      <c r="D37" s="32"/>
      <c r="E37" s="31" t="s">
        <v>87</v>
      </c>
      <c r="F37" s="30" t="s">
        <v>62</v>
      </c>
      <c r="G37" s="33" t="s">
        <v>109</v>
      </c>
      <c r="H37" s="31" t="s">
        <v>144</v>
      </c>
    </row>
    <row r="38" spans="1:8">
      <c r="A38" s="333" t="s">
        <v>129</v>
      </c>
      <c r="B38" s="30">
        <v>1</v>
      </c>
      <c r="C38" s="31"/>
      <c r="D38" s="32"/>
      <c r="E38" s="31" t="s">
        <v>130</v>
      </c>
      <c r="F38" s="30" t="s">
        <v>131</v>
      </c>
      <c r="G38" s="33" t="s">
        <v>114</v>
      </c>
      <c r="H38" s="31" t="s">
        <v>110</v>
      </c>
    </row>
    <row r="39" spans="1:8">
      <c r="A39" s="333"/>
      <c r="B39" s="30">
        <v>1</v>
      </c>
      <c r="C39" s="31"/>
      <c r="D39" s="32"/>
      <c r="E39" s="31" t="s">
        <v>91</v>
      </c>
      <c r="F39" s="30" t="s">
        <v>58</v>
      </c>
      <c r="G39" s="33" t="s">
        <v>141</v>
      </c>
      <c r="H39" s="31" t="s">
        <v>144</v>
      </c>
    </row>
    <row r="40" spans="1:8">
      <c r="A40" s="333"/>
      <c r="B40" s="30">
        <v>1</v>
      </c>
      <c r="C40" s="31"/>
      <c r="D40" s="32"/>
      <c r="E40" s="31" t="s">
        <v>90</v>
      </c>
      <c r="F40" s="30" t="s">
        <v>63</v>
      </c>
      <c r="G40" s="33" t="s">
        <v>109</v>
      </c>
      <c r="H40" s="31" t="s">
        <v>144</v>
      </c>
    </row>
    <row r="41" spans="1:8">
      <c r="A41" s="333"/>
      <c r="B41" s="30">
        <v>1</v>
      </c>
      <c r="C41" s="31"/>
      <c r="D41" s="32"/>
      <c r="E41" s="31" t="s">
        <v>77</v>
      </c>
      <c r="F41" s="30" t="s">
        <v>68</v>
      </c>
      <c r="G41" s="33" t="s">
        <v>114</v>
      </c>
      <c r="H41" s="31" t="s">
        <v>144</v>
      </c>
    </row>
    <row r="42" spans="1:8">
      <c r="A42" s="333" t="s">
        <v>132</v>
      </c>
      <c r="B42" s="30">
        <v>1</v>
      </c>
      <c r="C42" s="31"/>
      <c r="D42" s="32"/>
      <c r="E42" s="31" t="s">
        <v>75</v>
      </c>
      <c r="F42" s="30" t="s">
        <v>59</v>
      </c>
      <c r="G42" s="33" t="s">
        <v>109</v>
      </c>
      <c r="H42" s="31" t="s">
        <v>110</v>
      </c>
    </row>
    <row r="43" spans="1:8">
      <c r="A43" s="333"/>
      <c r="B43" s="30">
        <v>1</v>
      </c>
      <c r="C43" s="31"/>
      <c r="D43" s="32"/>
      <c r="E43" s="31" t="s">
        <v>76</v>
      </c>
      <c r="F43" s="30" t="s">
        <v>66</v>
      </c>
      <c r="G43" s="33" t="s">
        <v>141</v>
      </c>
      <c r="H43" s="31" t="s">
        <v>144</v>
      </c>
    </row>
    <row r="44" spans="1:8">
      <c r="A44" s="333"/>
      <c r="B44" s="30">
        <v>1</v>
      </c>
      <c r="C44" s="31"/>
      <c r="D44" s="32"/>
      <c r="E44" s="31" t="s">
        <v>78</v>
      </c>
      <c r="F44" s="30" t="s">
        <v>94</v>
      </c>
      <c r="G44" s="33" t="s">
        <v>109</v>
      </c>
      <c r="H44" s="31" t="s">
        <v>144</v>
      </c>
    </row>
    <row r="45" spans="1:8">
      <c r="A45" s="333"/>
      <c r="B45" s="30">
        <v>1</v>
      </c>
      <c r="C45" s="31"/>
      <c r="D45" s="32"/>
      <c r="E45" s="31" t="s">
        <v>89</v>
      </c>
      <c r="F45" s="30" t="s">
        <v>97</v>
      </c>
      <c r="G45" s="33" t="s">
        <v>114</v>
      </c>
      <c r="H45" s="31" t="s">
        <v>144</v>
      </c>
    </row>
    <row r="46" spans="1:8">
      <c r="A46" s="333" t="s">
        <v>133</v>
      </c>
      <c r="B46" s="30">
        <v>1</v>
      </c>
      <c r="C46" s="31"/>
      <c r="D46" s="32"/>
      <c r="E46" s="31" t="s">
        <v>83</v>
      </c>
      <c r="F46" s="30" t="s">
        <v>95</v>
      </c>
      <c r="G46" s="33" t="s">
        <v>109</v>
      </c>
      <c r="H46" s="31" t="s">
        <v>110</v>
      </c>
    </row>
    <row r="47" spans="1:8">
      <c r="A47" s="333"/>
      <c r="B47" s="30">
        <v>1</v>
      </c>
      <c r="C47" s="31"/>
      <c r="D47" s="32"/>
      <c r="E47" s="31" t="s">
        <v>80</v>
      </c>
      <c r="F47" s="30" t="s">
        <v>70</v>
      </c>
      <c r="G47" s="33" t="s">
        <v>141</v>
      </c>
      <c r="H47" s="31" t="s">
        <v>144</v>
      </c>
    </row>
    <row r="48" spans="1:8">
      <c r="A48" s="333"/>
      <c r="B48" s="30">
        <v>1</v>
      </c>
      <c r="C48" s="31"/>
      <c r="D48" s="32"/>
      <c r="E48" s="31" t="s">
        <v>81</v>
      </c>
      <c r="F48" s="30" t="s">
        <v>60</v>
      </c>
      <c r="G48" s="33" t="s">
        <v>109</v>
      </c>
      <c r="H48" s="31" t="s">
        <v>144</v>
      </c>
    </row>
    <row r="49" spans="1:8">
      <c r="A49" s="333"/>
      <c r="B49" s="30">
        <v>1</v>
      </c>
      <c r="C49" s="31"/>
      <c r="D49" s="32"/>
      <c r="E49" s="31" t="s">
        <v>90</v>
      </c>
      <c r="F49" s="30" t="s">
        <v>63</v>
      </c>
      <c r="G49" s="33" t="s">
        <v>114</v>
      </c>
      <c r="H49" s="31" t="s">
        <v>144</v>
      </c>
    </row>
    <row r="50" spans="1:8">
      <c r="A50" s="333" t="s">
        <v>134</v>
      </c>
      <c r="B50" s="30">
        <v>1</v>
      </c>
      <c r="C50" s="31"/>
      <c r="D50" s="32"/>
      <c r="E50" s="31" t="s">
        <v>80</v>
      </c>
      <c r="F50" s="30" t="s">
        <v>142</v>
      </c>
      <c r="G50" s="33" t="s">
        <v>114</v>
      </c>
      <c r="H50" s="31" t="s">
        <v>110</v>
      </c>
    </row>
    <row r="51" spans="1:8">
      <c r="A51" s="333"/>
      <c r="B51" s="30">
        <v>1</v>
      </c>
      <c r="C51" s="31"/>
      <c r="D51" s="32"/>
      <c r="E51" s="31" t="s">
        <v>75</v>
      </c>
      <c r="F51" s="30" t="s">
        <v>59</v>
      </c>
      <c r="G51" s="33" t="s">
        <v>109</v>
      </c>
      <c r="H51" s="31" t="s">
        <v>144</v>
      </c>
    </row>
    <row r="52" spans="1:8">
      <c r="A52" s="333"/>
      <c r="B52" s="30"/>
      <c r="C52" s="31"/>
      <c r="D52" s="32"/>
      <c r="E52" s="31" t="s">
        <v>77</v>
      </c>
      <c r="F52" s="30" t="s">
        <v>68</v>
      </c>
      <c r="G52" s="33" t="s">
        <v>109</v>
      </c>
      <c r="H52" s="31" t="s">
        <v>144</v>
      </c>
    </row>
    <row r="53" spans="1:8">
      <c r="A53" s="333"/>
      <c r="B53" s="30">
        <v>1</v>
      </c>
      <c r="C53" s="31"/>
      <c r="D53" s="32"/>
      <c r="E53" s="31" t="s">
        <v>78</v>
      </c>
      <c r="F53" s="30" t="s">
        <v>74</v>
      </c>
      <c r="G53" s="33" t="s">
        <v>109</v>
      </c>
      <c r="H53" s="31" t="s">
        <v>144</v>
      </c>
    </row>
    <row r="54" spans="1:8">
      <c r="A54" s="333"/>
      <c r="B54" s="30">
        <v>1</v>
      </c>
      <c r="C54" s="31"/>
      <c r="D54" s="32"/>
      <c r="E54" s="31" t="s">
        <v>79</v>
      </c>
      <c r="F54" s="30" t="s">
        <v>73</v>
      </c>
      <c r="G54" s="33" t="s">
        <v>109</v>
      </c>
      <c r="H54" s="31" t="s">
        <v>144</v>
      </c>
    </row>
    <row r="55" spans="1:8">
      <c r="A55" s="333" t="s">
        <v>135</v>
      </c>
      <c r="B55" s="30">
        <v>1</v>
      </c>
      <c r="C55" s="31"/>
      <c r="D55" s="32"/>
      <c r="E55" s="31" t="s">
        <v>88</v>
      </c>
      <c r="F55" s="30" t="s">
        <v>61</v>
      </c>
      <c r="G55" s="33" t="s">
        <v>114</v>
      </c>
      <c r="H55" s="31" t="s">
        <v>110</v>
      </c>
    </row>
    <row r="56" spans="1:8">
      <c r="A56" s="333"/>
      <c r="B56" s="30">
        <v>1</v>
      </c>
      <c r="C56" s="31"/>
      <c r="D56" s="32"/>
      <c r="E56" s="31" t="s">
        <v>84</v>
      </c>
      <c r="F56" s="30" t="s">
        <v>67</v>
      </c>
      <c r="G56" s="33" t="s">
        <v>141</v>
      </c>
      <c r="H56" s="31" t="s">
        <v>144</v>
      </c>
    </row>
    <row r="57" spans="1:8">
      <c r="A57" s="333"/>
      <c r="B57" s="30">
        <v>1</v>
      </c>
      <c r="C57" s="31"/>
      <c r="D57" s="32"/>
      <c r="E57" s="31" t="s">
        <v>86</v>
      </c>
      <c r="F57" s="30" t="s">
        <v>69</v>
      </c>
      <c r="G57" s="33" t="s">
        <v>109</v>
      </c>
      <c r="H57" s="31" t="s">
        <v>144</v>
      </c>
    </row>
    <row r="58" spans="1:8">
      <c r="A58" s="333"/>
      <c r="B58" s="30">
        <v>1</v>
      </c>
      <c r="C58" s="31"/>
      <c r="D58" s="32"/>
      <c r="E58" s="31" t="s">
        <v>75</v>
      </c>
      <c r="F58" s="30" t="s">
        <v>59</v>
      </c>
      <c r="G58" s="33" t="s">
        <v>114</v>
      </c>
      <c r="H58" s="31" t="s">
        <v>144</v>
      </c>
    </row>
    <row r="59" spans="1:8">
      <c r="A59" s="333" t="s">
        <v>136</v>
      </c>
      <c r="B59" s="30">
        <v>1</v>
      </c>
      <c r="C59" s="31"/>
      <c r="D59" s="32"/>
      <c r="E59" s="31" t="s">
        <v>87</v>
      </c>
      <c r="F59" s="30" t="s">
        <v>137</v>
      </c>
      <c r="G59" s="33" t="s">
        <v>109</v>
      </c>
      <c r="H59" s="31" t="s">
        <v>110</v>
      </c>
    </row>
    <row r="60" spans="1:8">
      <c r="A60" s="333"/>
      <c r="B60" s="30">
        <v>1</v>
      </c>
      <c r="C60" s="31"/>
      <c r="D60" s="32"/>
      <c r="E60" s="31" t="s">
        <v>84</v>
      </c>
      <c r="F60" s="30" t="s">
        <v>67</v>
      </c>
      <c r="G60" s="33" t="s">
        <v>141</v>
      </c>
      <c r="H60" s="31" t="s">
        <v>144</v>
      </c>
    </row>
    <row r="61" spans="1:8">
      <c r="A61" s="333"/>
      <c r="B61" s="30">
        <v>1</v>
      </c>
      <c r="C61" s="31"/>
      <c r="D61" s="32"/>
      <c r="E61" s="31" t="s">
        <v>85</v>
      </c>
      <c r="F61" s="30" t="s">
        <v>65</v>
      </c>
      <c r="G61" s="33" t="s">
        <v>109</v>
      </c>
      <c r="H61" s="31" t="s">
        <v>144</v>
      </c>
    </row>
    <row r="62" spans="1:8">
      <c r="A62" s="333"/>
      <c r="B62" s="30">
        <v>1</v>
      </c>
      <c r="C62" s="31"/>
      <c r="D62" s="32"/>
      <c r="E62" s="31" t="s">
        <v>79</v>
      </c>
      <c r="F62" s="30" t="s">
        <v>73</v>
      </c>
      <c r="G62" s="33" t="s">
        <v>114</v>
      </c>
      <c r="H62" s="31" t="s">
        <v>144</v>
      </c>
    </row>
    <row r="63" spans="1:8">
      <c r="A63" s="333" t="s">
        <v>138</v>
      </c>
      <c r="B63" s="30">
        <v>1</v>
      </c>
      <c r="C63" s="31"/>
      <c r="D63" s="32"/>
      <c r="E63" s="31" t="s">
        <v>84</v>
      </c>
      <c r="F63" s="30" t="s">
        <v>98</v>
      </c>
      <c r="G63" s="33" t="s">
        <v>114</v>
      </c>
      <c r="H63" s="31" t="s">
        <v>110</v>
      </c>
    </row>
    <row r="64" spans="1:8">
      <c r="A64" s="333"/>
      <c r="B64" s="30">
        <v>1</v>
      </c>
      <c r="C64" s="31"/>
      <c r="D64" s="32"/>
      <c r="E64" s="31" t="s">
        <v>81</v>
      </c>
      <c r="F64" s="30" t="s">
        <v>60</v>
      </c>
      <c r="G64" s="33" t="s">
        <v>109</v>
      </c>
      <c r="H64" s="31" t="s">
        <v>144</v>
      </c>
    </row>
    <row r="65" spans="1:8">
      <c r="A65" s="333"/>
      <c r="B65" s="30">
        <v>1</v>
      </c>
      <c r="C65" s="31"/>
      <c r="D65" s="32"/>
      <c r="E65" s="31" t="s">
        <v>82</v>
      </c>
      <c r="F65" s="30" t="s">
        <v>72</v>
      </c>
      <c r="G65" s="33" t="s">
        <v>109</v>
      </c>
      <c r="H65" s="31" t="s">
        <v>144</v>
      </c>
    </row>
    <row r="66" spans="1:8">
      <c r="A66" s="333"/>
      <c r="B66" s="30">
        <v>1</v>
      </c>
      <c r="C66" s="31"/>
      <c r="D66" s="32"/>
      <c r="E66" s="31" t="s">
        <v>83</v>
      </c>
      <c r="F66" s="30" t="s">
        <v>64</v>
      </c>
      <c r="G66" s="33" t="s">
        <v>109</v>
      </c>
      <c r="H66" s="31" t="s">
        <v>144</v>
      </c>
    </row>
    <row r="67" spans="1:8">
      <c r="A67" s="333" t="s">
        <v>139</v>
      </c>
      <c r="B67" s="30">
        <v>1</v>
      </c>
      <c r="C67" s="31"/>
      <c r="D67" s="32"/>
      <c r="E67" s="31" t="s">
        <v>82</v>
      </c>
      <c r="F67" s="30" t="s">
        <v>96</v>
      </c>
      <c r="G67" s="33" t="s">
        <v>109</v>
      </c>
      <c r="H67" s="31" t="s">
        <v>110</v>
      </c>
    </row>
    <row r="68" spans="1:8">
      <c r="A68" s="333"/>
      <c r="B68" s="30">
        <v>1</v>
      </c>
      <c r="C68" s="31"/>
      <c r="D68" s="32"/>
      <c r="E68" s="31" t="s">
        <v>80</v>
      </c>
      <c r="F68" s="30" t="s">
        <v>70</v>
      </c>
      <c r="G68" s="33" t="s">
        <v>141</v>
      </c>
      <c r="H68" s="31" t="s">
        <v>144</v>
      </c>
    </row>
    <row r="69" spans="1:8">
      <c r="A69" s="333"/>
      <c r="B69" s="30">
        <v>1</v>
      </c>
      <c r="C69" s="31"/>
      <c r="D69" s="32"/>
      <c r="E69" s="31" t="s">
        <v>82</v>
      </c>
      <c r="F69" s="30" t="s">
        <v>72</v>
      </c>
      <c r="G69" s="33" t="s">
        <v>109</v>
      </c>
      <c r="H69" s="31" t="s">
        <v>144</v>
      </c>
    </row>
    <row r="70" spans="1:8">
      <c r="A70" s="333"/>
      <c r="B70" s="30">
        <v>1</v>
      </c>
      <c r="C70" s="31"/>
      <c r="D70" s="32"/>
      <c r="E70" s="31" t="s">
        <v>87</v>
      </c>
      <c r="F70" s="30" t="s">
        <v>137</v>
      </c>
      <c r="G70" s="33" t="s">
        <v>114</v>
      </c>
      <c r="H70" s="31" t="s">
        <v>144</v>
      </c>
    </row>
    <row r="71" spans="1:8">
      <c r="A71" s="333" t="s">
        <v>140</v>
      </c>
      <c r="B71" s="30">
        <v>1</v>
      </c>
      <c r="C71" s="31"/>
      <c r="D71" s="32"/>
      <c r="E71" s="31" t="s">
        <v>77</v>
      </c>
      <c r="F71" s="30" t="s">
        <v>68</v>
      </c>
      <c r="G71" s="33" t="s">
        <v>109</v>
      </c>
      <c r="H71" s="31" t="s">
        <v>110</v>
      </c>
    </row>
    <row r="72" spans="1:8">
      <c r="A72" s="333"/>
      <c r="B72" s="30">
        <v>1</v>
      </c>
      <c r="C72" s="31"/>
      <c r="D72" s="32"/>
      <c r="E72" s="31" t="s">
        <v>76</v>
      </c>
      <c r="F72" s="30" t="s">
        <v>66</v>
      </c>
      <c r="G72" s="33" t="s">
        <v>141</v>
      </c>
      <c r="H72" s="31" t="s">
        <v>144</v>
      </c>
    </row>
    <row r="73" spans="1:8">
      <c r="A73" s="333"/>
      <c r="B73" s="30">
        <v>1</v>
      </c>
      <c r="C73" s="31"/>
      <c r="D73" s="32"/>
      <c r="E73" s="31" t="s">
        <v>78</v>
      </c>
      <c r="F73" s="30" t="s">
        <v>94</v>
      </c>
      <c r="G73" s="33" t="s">
        <v>109</v>
      </c>
      <c r="H73" s="31" t="s">
        <v>144</v>
      </c>
    </row>
    <row r="74" spans="1:8">
      <c r="A74" s="333"/>
      <c r="B74" s="30">
        <v>1</v>
      </c>
      <c r="C74" s="31"/>
      <c r="D74" s="32"/>
      <c r="E74" s="31" t="s">
        <v>88</v>
      </c>
      <c r="F74" s="30" t="s">
        <v>61</v>
      </c>
      <c r="G74" s="33" t="s">
        <v>114</v>
      </c>
      <c r="H74" s="31" t="s">
        <v>144</v>
      </c>
    </row>
  </sheetData>
  <autoFilter ref="A1:H74"/>
  <mergeCells count="18">
    <mergeCell ref="A2:A5"/>
    <mergeCell ref="A6:A9"/>
    <mergeCell ref="A10:A13"/>
    <mergeCell ref="A26:A29"/>
    <mergeCell ref="A30:A33"/>
    <mergeCell ref="A34:A37"/>
    <mergeCell ref="A38:A41"/>
    <mergeCell ref="A14:A17"/>
    <mergeCell ref="A18:A21"/>
    <mergeCell ref="A22:A25"/>
    <mergeCell ref="A59:A62"/>
    <mergeCell ref="A63:A66"/>
    <mergeCell ref="A67:A70"/>
    <mergeCell ref="A71:A74"/>
    <mergeCell ref="A42:A45"/>
    <mergeCell ref="A46:A49"/>
    <mergeCell ref="A50:A54"/>
    <mergeCell ref="A55:A58"/>
  </mergeCells>
  <conditionalFormatting sqref="G1:G40 G43 G45:G48 G50:G73 G75:G1048576">
    <cfRule type="cellIs" dxfId="299" priority="6" operator="equal">
      <formula>"Test Leader"</formula>
    </cfRule>
  </conditionalFormatting>
  <conditionalFormatting sqref="G41">
    <cfRule type="cellIs" dxfId="298" priority="5" operator="equal">
      <formula>"Test Leader"</formula>
    </cfRule>
  </conditionalFormatting>
  <conditionalFormatting sqref="G44">
    <cfRule type="cellIs" dxfId="297" priority="4" operator="equal">
      <formula>"Test Leader"</formula>
    </cfRule>
  </conditionalFormatting>
  <conditionalFormatting sqref="G49">
    <cfRule type="cellIs" dxfId="296" priority="3" operator="equal">
      <formula>"Test Leader"</formula>
    </cfRule>
  </conditionalFormatting>
  <conditionalFormatting sqref="G74">
    <cfRule type="cellIs" dxfId="295" priority="2" operator="equal">
      <formula>"Test Leader"</formula>
    </cfRule>
  </conditionalFormatting>
  <conditionalFormatting sqref="G42">
    <cfRule type="cellIs" dxfId="294" priority="1" operator="equal">
      <formula>"Test Leader"</formula>
    </cfRule>
  </conditionalFormatting>
  <dataValidations count="2">
    <dataValidation type="list" allowBlank="1" showInputMessage="1" showErrorMessage="1" sqref="G2:G74">
      <formula1>"Same Project, Diff Project, Test Leader"</formula1>
    </dataValidation>
    <dataValidation type="list" allowBlank="1" showInputMessage="1" showErrorMessage="1" sqref="H2:H74">
      <formula1>"Evaluee, Part Leader"</formula1>
    </dataValidation>
  </dataValidations>
  <hyperlinks>
    <hyperlink ref="D6" r:id="rId1"/>
    <hyperlink ref="D10" r:id="rId2"/>
    <hyperlink ref="F2" r:id="rId3" display="mailto:Lan.hoang@lge.com"/>
    <hyperlink ref="F6" r:id="rId4" display="mailto:Lan.nguyen@lge.com"/>
    <hyperlink ref="F18" r:id="rId5" display="mailto:Cuong.tran@lge.com"/>
    <hyperlink ref="F22" r:id="rId6" display="mailto:Thuy1.le@lge.com"/>
    <hyperlink ref="F30" r:id="rId7" display="mailto:Kimoanh.nguyen@lge.com"/>
    <hyperlink ref="F34" r:id="rId8"/>
    <hyperlink ref="F38" r:id="rId9"/>
    <hyperlink ref="F46" r:id="rId10" display="mailto:Trang2.le@lge.com"/>
    <hyperlink ref="F63" r:id="rId11" display="mailto:Kimoanh.nguyen@lge.com"/>
    <hyperlink ref="F67" r:id="rId12" display="mailto:Phuong1.nguyen@lge.com"/>
    <hyperlink ref="F59" r:id="rId13"/>
    <hyperlink ref="F10" r:id="rId14" display="mailto:Lan.nguyen@lge.com"/>
    <hyperlink ref="F23" r:id="rId15"/>
    <hyperlink ref="F56" r:id="rId16"/>
    <hyperlink ref="F60" r:id="rId17"/>
    <hyperlink ref="F50" r:id="rId18" display="mailto:Thuy2.pham@lge.com"/>
    <hyperlink ref="F71" r:id="rId19"/>
    <hyperlink ref="F14" r:id="rId20"/>
    <hyperlink ref="F55" r:id="rId21" display="mailto:hoangphong.nguyen@lge.com"/>
    <hyperlink ref="F26" r:id="rId22" display="mailto:Lan.nguyen@lge.com"/>
    <hyperlink ref="F73" r:id="rId23" display="mailto:Lan.nguyen@lge.com"/>
    <hyperlink ref="F12" r:id="rId24" display="mailto:Lan.nguyen@lge.com"/>
    <hyperlink ref="F21" r:id="rId25" display="mailto:Phuong1.nguyen@lge.com"/>
    <hyperlink ref="F25" r:id="rId26" display="mailto:Lan.nguyen@lge.com"/>
    <hyperlink ref="F44" r:id="rId27" display="mailto:Lan.nguyen@lge.com"/>
    <hyperlink ref="F45" r:id="rId28" display="mailto:Lan.hoang@lge.com"/>
    <hyperlink ref="F70" r:id="rId29"/>
    <hyperlink ref="F74" r:id="rId30" display="mailto:hoangphong.nguyen@lge.com"/>
  </hyperlinks>
  <pageMargins left="0.7" right="0.7" top="0.75" bottom="0.75" header="0.3" footer="0.3"/>
  <pageSetup paperSize="9" orientation="portrait" r:id="rId3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8" tint="0.39997558519241921"/>
  </sheetPr>
  <dimension ref="A1:JY30"/>
  <sheetViews>
    <sheetView showGridLines="0" workbookViewId="0">
      <pane xSplit="4" ySplit="5" topLeftCell="E6" activePane="bottomRight" state="frozen"/>
      <selection pane="topRight" activeCell="E1" sqref="E1"/>
      <selection pane="bottomLeft" activeCell="A6" sqref="A6"/>
      <selection pane="bottomRight" activeCell="D6" sqref="D6:D18"/>
    </sheetView>
  </sheetViews>
  <sheetFormatPr defaultRowHeight="14.4"/>
  <cols>
    <col min="1" max="1" width="3.109375" style="18" customWidth="1"/>
    <col min="2" max="2" width="6.109375" customWidth="1"/>
    <col min="3" max="3" width="8.88671875" customWidth="1"/>
    <col min="4" max="4" width="37.33203125" customWidth="1"/>
    <col min="5" max="5" width="21.44140625" customWidth="1"/>
    <col min="6" max="6" width="14.21875" customWidth="1"/>
    <col min="7" max="7" width="7" customWidth="1"/>
    <col min="8" max="9" width="7" style="77" customWidth="1"/>
    <col min="10" max="10" width="7" customWidth="1"/>
    <col min="11" max="12" width="7" style="77" customWidth="1"/>
    <col min="13" max="13" width="7" customWidth="1"/>
    <col min="14" max="15" width="7" style="77" customWidth="1"/>
    <col min="16" max="16" width="7" customWidth="1"/>
    <col min="17" max="18" width="7" style="77" customWidth="1"/>
    <col min="19" max="19" width="7" customWidth="1"/>
    <col min="20" max="21" width="7" style="77" customWidth="1"/>
    <col min="22" max="22" width="7" customWidth="1"/>
    <col min="23" max="24" width="7" style="77" customWidth="1"/>
    <col min="25" max="25" width="7" customWidth="1"/>
    <col min="26" max="27" width="7" style="77" customWidth="1"/>
    <col min="28" max="28" width="7" customWidth="1"/>
    <col min="29" max="30" width="7" style="77" customWidth="1"/>
    <col min="31" max="60" width="6.44140625" customWidth="1"/>
    <col min="61" max="89" width="7" customWidth="1"/>
    <col min="90" max="90" width="8.33203125" customWidth="1"/>
    <col min="91" max="91" width="7.5546875" customWidth="1"/>
    <col min="92" max="92" width="7" customWidth="1"/>
    <col min="93" max="93" width="6.33203125" customWidth="1"/>
    <col min="94" max="94" width="6.88671875" customWidth="1"/>
    <col min="95" max="95" width="7" customWidth="1"/>
    <col min="96" max="96" width="6.33203125" customWidth="1"/>
    <col min="97" max="100" width="7" customWidth="1"/>
    <col min="101" max="102" width="7" style="77" customWidth="1"/>
    <col min="103" max="103" width="7" customWidth="1"/>
    <col min="104" max="105" width="7" style="77" customWidth="1"/>
    <col min="106" max="106" width="7" customWidth="1"/>
    <col min="107" max="108" width="7" style="77" customWidth="1"/>
    <col min="109" max="109" width="7" customWidth="1"/>
    <col min="110" max="111" width="7" style="77" customWidth="1"/>
    <col min="112" max="112" width="7" customWidth="1"/>
    <col min="113" max="114" width="7" style="77" customWidth="1"/>
    <col min="115" max="115" width="7" customWidth="1"/>
    <col min="116" max="117" width="7" style="77" customWidth="1"/>
    <col min="118" max="118" width="7" customWidth="1"/>
    <col min="119" max="120" width="7" style="77" customWidth="1"/>
    <col min="121" max="121" width="7" customWidth="1"/>
    <col min="122" max="123" width="7" style="77" customWidth="1"/>
    <col min="124" max="124" width="7" customWidth="1"/>
    <col min="125" max="126" width="7" style="77" customWidth="1"/>
    <col min="127" max="127" width="7" customWidth="1"/>
    <col min="128" max="129" width="7" style="77" customWidth="1"/>
    <col min="130" max="159" width="6.44140625" customWidth="1"/>
    <col min="160" max="177" width="7" customWidth="1"/>
  </cols>
  <sheetData>
    <row r="1" spans="1:285" ht="19.8">
      <c r="G1" s="371" t="s">
        <v>222</v>
      </c>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DB1" s="372" t="s">
        <v>187</v>
      </c>
      <c r="DC1" s="372"/>
      <c r="DD1" s="372"/>
      <c r="DE1" s="372"/>
      <c r="DF1" s="372"/>
      <c r="DG1" s="372"/>
      <c r="DH1" s="372"/>
      <c r="DI1" s="372"/>
      <c r="DJ1" s="372"/>
      <c r="DK1" s="372"/>
      <c r="DL1" s="372"/>
      <c r="DM1" s="372"/>
      <c r="DN1" s="372"/>
      <c r="DO1" s="372"/>
      <c r="DP1" s="372"/>
      <c r="DQ1" s="372"/>
      <c r="DR1" s="372"/>
      <c r="DS1" s="372"/>
      <c r="DT1" s="372"/>
      <c r="DU1" s="372"/>
      <c r="DV1" s="372"/>
      <c r="DW1" s="372"/>
      <c r="DX1" s="372"/>
      <c r="DY1" s="372"/>
      <c r="DZ1" s="372"/>
      <c r="EA1" s="372"/>
      <c r="EB1" s="372"/>
      <c r="EC1" s="372"/>
      <c r="ED1" s="372"/>
      <c r="EE1" s="372"/>
      <c r="EF1" s="372"/>
      <c r="EG1" s="372"/>
      <c r="EH1" s="372"/>
      <c r="EI1" s="372"/>
      <c r="EJ1" s="372"/>
      <c r="EK1" s="372"/>
      <c r="EL1" s="372"/>
      <c r="EM1" s="372"/>
      <c r="EN1" s="372"/>
      <c r="EO1" s="372"/>
      <c r="EP1" s="372"/>
      <c r="EQ1" s="372"/>
      <c r="ER1" s="372"/>
      <c r="ES1" s="372"/>
      <c r="ET1" s="372"/>
      <c r="EU1" s="372"/>
      <c r="EV1" s="372"/>
      <c r="EW1" s="372"/>
      <c r="EX1" s="372"/>
      <c r="EY1" s="372"/>
      <c r="EZ1" s="372"/>
      <c r="FA1" s="372"/>
      <c r="FB1" s="372"/>
      <c r="FC1" s="372"/>
      <c r="FV1" s="383" t="s">
        <v>360</v>
      </c>
      <c r="FW1" s="383"/>
      <c r="FX1" s="383"/>
      <c r="FY1" s="383"/>
      <c r="FZ1" s="383"/>
      <c r="GA1" s="383"/>
      <c r="GB1" s="383"/>
      <c r="GC1" s="383"/>
      <c r="GD1" s="383"/>
      <c r="GE1" s="383"/>
      <c r="GF1" s="383"/>
      <c r="GG1" s="383"/>
      <c r="GH1" s="383"/>
      <c r="GI1" s="383"/>
      <c r="GJ1" s="383"/>
      <c r="GK1" s="383"/>
      <c r="GL1" s="383"/>
      <c r="GM1" s="383"/>
      <c r="GN1" s="383"/>
      <c r="GO1" s="383"/>
      <c r="GP1" s="383"/>
      <c r="GQ1" s="383"/>
      <c r="GR1" s="383"/>
      <c r="GS1" s="383"/>
      <c r="GT1" s="383"/>
      <c r="GU1" s="383"/>
      <c r="GV1" s="383"/>
      <c r="GW1" s="383"/>
      <c r="GX1" s="383"/>
      <c r="GY1" s="383"/>
      <c r="GZ1" s="383"/>
      <c r="HA1" s="383"/>
      <c r="HB1" s="383"/>
      <c r="HC1" s="383"/>
      <c r="HD1" s="383"/>
      <c r="HE1" s="383"/>
      <c r="HF1" s="383"/>
      <c r="HG1" s="383"/>
      <c r="HH1" s="383"/>
      <c r="HI1" s="383"/>
      <c r="HJ1" s="383"/>
      <c r="HK1" s="383"/>
      <c r="HL1" s="383"/>
      <c r="HM1" s="383"/>
      <c r="HN1" s="383"/>
      <c r="HO1" s="383"/>
      <c r="HP1" s="383"/>
      <c r="HQ1" s="383"/>
      <c r="HR1" s="383"/>
      <c r="HS1" s="383"/>
      <c r="HT1" s="383"/>
      <c r="HU1" s="383"/>
      <c r="HV1" s="383"/>
      <c r="HW1" s="383"/>
      <c r="HX1" s="384" t="s">
        <v>370</v>
      </c>
      <c r="HY1" s="384"/>
      <c r="HZ1" s="384"/>
      <c r="IA1" s="384"/>
      <c r="IB1" s="384"/>
      <c r="IC1" s="384"/>
      <c r="ID1" s="384"/>
      <c r="IE1" s="384"/>
      <c r="IF1" s="384"/>
      <c r="IG1" s="384"/>
      <c r="IH1" s="384"/>
      <c r="II1" s="384"/>
      <c r="IJ1" s="384"/>
      <c r="IK1" s="384"/>
      <c r="IL1" s="384"/>
      <c r="IM1" s="384"/>
      <c r="IN1" s="384"/>
      <c r="IO1" s="384"/>
      <c r="IP1" s="384"/>
      <c r="IQ1" s="384"/>
      <c r="IR1" s="384"/>
      <c r="IS1" s="384"/>
      <c r="IT1" s="384"/>
      <c r="IU1" s="384"/>
      <c r="IV1" s="384"/>
      <c r="IW1" s="384"/>
      <c r="IX1" s="384"/>
      <c r="IY1" s="384"/>
      <c r="IZ1" s="384"/>
      <c r="JA1" s="384"/>
      <c r="JB1" s="384"/>
      <c r="JC1" s="384"/>
      <c r="JD1" s="384"/>
      <c r="JE1" s="384"/>
      <c r="JF1" s="384"/>
      <c r="JG1" s="384"/>
      <c r="JH1" s="384"/>
      <c r="JI1" s="384"/>
      <c r="JJ1" s="384"/>
      <c r="JK1" s="384"/>
      <c r="JL1" s="384"/>
      <c r="JM1" s="384"/>
      <c r="JN1" s="384"/>
      <c r="JO1" s="384"/>
      <c r="JP1" s="384"/>
      <c r="JQ1" s="384"/>
      <c r="JR1" s="384"/>
      <c r="JS1" s="384"/>
      <c r="JT1" s="384"/>
      <c r="JU1" s="384"/>
      <c r="JV1" s="384"/>
      <c r="JW1" s="384"/>
      <c r="JX1" s="384"/>
      <c r="JY1" s="384"/>
    </row>
    <row r="2" spans="1:285">
      <c r="A2" s="182"/>
      <c r="B2" s="50"/>
      <c r="C2" s="185"/>
      <c r="D2" s="185"/>
      <c r="E2" s="185"/>
      <c r="F2" s="185"/>
      <c r="G2" s="351" t="s">
        <v>35</v>
      </c>
      <c r="H2" s="352"/>
      <c r="I2" s="352"/>
      <c r="J2" s="352"/>
      <c r="K2" s="352"/>
      <c r="L2" s="352"/>
      <c r="M2" s="352"/>
      <c r="N2" s="352"/>
      <c r="O2" s="352"/>
      <c r="P2" s="352"/>
      <c r="Q2" s="352"/>
      <c r="R2" s="352"/>
      <c r="S2" s="352"/>
      <c r="T2" s="352"/>
      <c r="U2" s="352"/>
      <c r="V2" s="352"/>
      <c r="W2" s="352"/>
      <c r="X2" s="352"/>
      <c r="Y2" s="352"/>
      <c r="Z2" s="352"/>
      <c r="AA2" s="352"/>
      <c r="AB2" s="352"/>
      <c r="AC2" s="352"/>
      <c r="AD2" s="353"/>
      <c r="AE2" s="373" t="s">
        <v>146</v>
      </c>
      <c r="AF2" s="374"/>
      <c r="AG2" s="374"/>
      <c r="AH2" s="374"/>
      <c r="AI2" s="374"/>
      <c r="AJ2" s="374"/>
      <c r="AK2" s="374"/>
      <c r="AL2" s="374"/>
      <c r="AM2" s="374"/>
      <c r="AN2" s="374"/>
      <c r="AO2" s="374"/>
      <c r="AP2" s="374"/>
      <c r="AQ2" s="374"/>
      <c r="AR2" s="374"/>
      <c r="AS2" s="374"/>
      <c r="AT2" s="374"/>
      <c r="AU2" s="374"/>
      <c r="AV2" s="374"/>
      <c r="AW2" s="374"/>
      <c r="AX2" s="374"/>
      <c r="AY2" s="374"/>
      <c r="AZ2" s="374"/>
      <c r="BA2" s="374"/>
      <c r="BB2" s="374"/>
      <c r="BC2" s="374"/>
      <c r="BD2" s="374"/>
      <c r="BE2" s="374"/>
      <c r="BF2" s="374"/>
      <c r="BG2" s="374"/>
      <c r="BH2" s="375"/>
      <c r="BI2" s="343" t="s">
        <v>34</v>
      </c>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4"/>
      <c r="CH2" s="344"/>
      <c r="CI2" s="357"/>
      <c r="CJ2" s="358" t="s">
        <v>55</v>
      </c>
      <c r="CK2" s="358"/>
      <c r="CL2" s="358"/>
      <c r="CM2" s="358"/>
      <c r="CN2" s="358"/>
      <c r="CO2" s="358"/>
      <c r="CP2" s="358"/>
      <c r="CQ2" s="358"/>
      <c r="CR2" s="358"/>
      <c r="CS2" s="368"/>
      <c r="CT2" s="369"/>
      <c r="CU2" s="370"/>
      <c r="CV2" s="362" t="s">
        <v>179</v>
      </c>
      <c r="CW2" s="363"/>
      <c r="CX2" s="363"/>
      <c r="CY2" s="363"/>
      <c r="CZ2" s="363"/>
      <c r="DA2" s="363"/>
      <c r="DB2" s="351" t="s">
        <v>35</v>
      </c>
      <c r="DC2" s="352"/>
      <c r="DD2" s="352"/>
      <c r="DE2" s="352"/>
      <c r="DF2" s="352"/>
      <c r="DG2" s="352"/>
      <c r="DH2" s="352"/>
      <c r="DI2" s="352"/>
      <c r="DJ2" s="352"/>
      <c r="DK2" s="352"/>
      <c r="DL2" s="352"/>
      <c r="DM2" s="352"/>
      <c r="DN2" s="352"/>
      <c r="DO2" s="352"/>
      <c r="DP2" s="352"/>
      <c r="DQ2" s="352"/>
      <c r="DR2" s="352"/>
      <c r="DS2" s="352"/>
      <c r="DT2" s="352"/>
      <c r="DU2" s="352"/>
      <c r="DV2" s="352"/>
      <c r="DW2" s="352"/>
      <c r="DX2" s="352"/>
      <c r="DY2" s="353"/>
      <c r="DZ2" s="373" t="s">
        <v>146</v>
      </c>
      <c r="EA2" s="374"/>
      <c r="EB2" s="374"/>
      <c r="EC2" s="374"/>
      <c r="ED2" s="374"/>
      <c r="EE2" s="374"/>
      <c r="EF2" s="374"/>
      <c r="EG2" s="374"/>
      <c r="EH2" s="374"/>
      <c r="EI2" s="374"/>
      <c r="EJ2" s="374"/>
      <c r="EK2" s="374"/>
      <c r="EL2" s="374"/>
      <c r="EM2" s="374"/>
      <c r="EN2" s="374"/>
      <c r="EO2" s="374"/>
      <c r="EP2" s="374"/>
      <c r="EQ2" s="374"/>
      <c r="ER2" s="374"/>
      <c r="ES2" s="374"/>
      <c r="ET2" s="374"/>
      <c r="EU2" s="374"/>
      <c r="EV2" s="374"/>
      <c r="EW2" s="374"/>
      <c r="EX2" s="374"/>
      <c r="EY2" s="374"/>
      <c r="EZ2" s="374"/>
      <c r="FA2" s="374"/>
      <c r="FB2" s="374"/>
      <c r="FC2" s="375"/>
      <c r="FD2" s="343" t="s">
        <v>190</v>
      </c>
      <c r="FE2" s="344"/>
      <c r="FF2" s="344"/>
      <c r="FG2" s="344"/>
      <c r="FH2" s="344"/>
      <c r="FI2" s="344"/>
      <c r="FJ2" s="344"/>
      <c r="FK2" s="344"/>
      <c r="FL2" s="344"/>
      <c r="FM2" s="344"/>
      <c r="FN2" s="344"/>
      <c r="FO2" s="344"/>
      <c r="FP2" s="344"/>
      <c r="FQ2" s="344"/>
      <c r="FR2" s="344"/>
      <c r="FS2" s="344"/>
      <c r="FT2" s="344"/>
      <c r="FU2" s="344"/>
      <c r="FV2" s="351" t="s">
        <v>35</v>
      </c>
      <c r="FW2" s="352"/>
      <c r="FX2" s="352"/>
      <c r="FY2" s="352"/>
      <c r="FZ2" s="352"/>
      <c r="GA2" s="352"/>
      <c r="GB2" s="352"/>
      <c r="GC2" s="352"/>
      <c r="GD2" s="352"/>
      <c r="GE2" s="352"/>
      <c r="GF2" s="352"/>
      <c r="GG2" s="352"/>
      <c r="GH2" s="352"/>
      <c r="GI2" s="352"/>
      <c r="GJ2" s="352"/>
      <c r="GK2" s="352"/>
      <c r="GL2" s="352"/>
      <c r="GM2" s="352"/>
      <c r="GN2" s="352"/>
      <c r="GO2" s="352"/>
      <c r="GP2" s="352"/>
      <c r="GQ2" s="352"/>
      <c r="GR2" s="352"/>
      <c r="GS2" s="353"/>
      <c r="GT2" s="373" t="s">
        <v>146</v>
      </c>
      <c r="GU2" s="374"/>
      <c r="GV2" s="374"/>
      <c r="GW2" s="374"/>
      <c r="GX2" s="374"/>
      <c r="GY2" s="374"/>
      <c r="GZ2" s="374"/>
      <c r="HA2" s="374"/>
      <c r="HB2" s="374"/>
      <c r="HC2" s="374"/>
      <c r="HD2" s="374"/>
      <c r="HE2" s="374"/>
      <c r="HF2" s="374"/>
      <c r="HG2" s="374"/>
      <c r="HH2" s="374"/>
      <c r="HI2" s="374"/>
      <c r="HJ2" s="374"/>
      <c r="HK2" s="374"/>
      <c r="HL2" s="374"/>
      <c r="HM2" s="374"/>
      <c r="HN2" s="374"/>
      <c r="HO2" s="374"/>
      <c r="HP2" s="374"/>
      <c r="HQ2" s="374"/>
      <c r="HR2" s="374"/>
      <c r="HS2" s="374"/>
      <c r="HT2" s="374"/>
      <c r="HU2" s="374"/>
      <c r="HV2" s="374"/>
      <c r="HW2" s="375"/>
      <c r="HX2" s="351" t="s">
        <v>35</v>
      </c>
      <c r="HY2" s="352"/>
      <c r="HZ2" s="352"/>
      <c r="IA2" s="352"/>
      <c r="IB2" s="352"/>
      <c r="IC2" s="352"/>
      <c r="ID2" s="352"/>
      <c r="IE2" s="352"/>
      <c r="IF2" s="352"/>
      <c r="IG2" s="352"/>
      <c r="IH2" s="352"/>
      <c r="II2" s="352"/>
      <c r="IJ2" s="352"/>
      <c r="IK2" s="352"/>
      <c r="IL2" s="352"/>
      <c r="IM2" s="352"/>
      <c r="IN2" s="352"/>
      <c r="IO2" s="352"/>
      <c r="IP2" s="352"/>
      <c r="IQ2" s="352"/>
      <c r="IR2" s="352"/>
      <c r="IS2" s="352"/>
      <c r="IT2" s="352"/>
      <c r="IU2" s="353"/>
      <c r="IV2" s="373" t="s">
        <v>146</v>
      </c>
      <c r="IW2" s="374"/>
      <c r="IX2" s="374"/>
      <c r="IY2" s="374"/>
      <c r="IZ2" s="374"/>
      <c r="JA2" s="374"/>
      <c r="JB2" s="374"/>
      <c r="JC2" s="374"/>
      <c r="JD2" s="374"/>
      <c r="JE2" s="374"/>
      <c r="JF2" s="374"/>
      <c r="JG2" s="374"/>
      <c r="JH2" s="374"/>
      <c r="JI2" s="374"/>
      <c r="JJ2" s="374"/>
      <c r="JK2" s="374"/>
      <c r="JL2" s="374"/>
      <c r="JM2" s="374"/>
      <c r="JN2" s="374"/>
      <c r="JO2" s="374"/>
      <c r="JP2" s="374"/>
      <c r="JQ2" s="374"/>
      <c r="JR2" s="374"/>
      <c r="JS2" s="374"/>
      <c r="JT2" s="374"/>
      <c r="JU2" s="374"/>
      <c r="JV2" s="374"/>
      <c r="JW2" s="374"/>
      <c r="JX2" s="374"/>
      <c r="JY2" s="375"/>
    </row>
    <row r="3" spans="1:285" s="39" customFormat="1" ht="38.25" customHeight="1">
      <c r="A3" s="379"/>
      <c r="B3" s="379"/>
      <c r="C3" s="380" t="s">
        <v>0</v>
      </c>
      <c r="D3" s="380" t="s">
        <v>44</v>
      </c>
      <c r="E3" s="380" t="s">
        <v>30</v>
      </c>
      <c r="F3" s="380" t="s">
        <v>32</v>
      </c>
      <c r="G3" s="359" t="s">
        <v>23</v>
      </c>
      <c r="H3" s="360"/>
      <c r="I3" s="361"/>
      <c r="J3" s="340" t="s">
        <v>303</v>
      </c>
      <c r="K3" s="341"/>
      <c r="L3" s="342"/>
      <c r="M3" s="340" t="s">
        <v>302</v>
      </c>
      <c r="N3" s="341"/>
      <c r="O3" s="342"/>
      <c r="P3" s="359" t="s">
        <v>20</v>
      </c>
      <c r="Q3" s="360"/>
      <c r="R3" s="361"/>
      <c r="S3" s="359" t="s">
        <v>249</v>
      </c>
      <c r="T3" s="360"/>
      <c r="U3" s="361"/>
      <c r="V3" s="359" t="s">
        <v>251</v>
      </c>
      <c r="W3" s="360"/>
      <c r="X3" s="361"/>
      <c r="Y3" s="340" t="s">
        <v>304</v>
      </c>
      <c r="Z3" s="341"/>
      <c r="AA3" s="342"/>
      <c r="AB3" s="340" t="s">
        <v>312</v>
      </c>
      <c r="AC3" s="341"/>
      <c r="AD3" s="342"/>
      <c r="AE3" s="334" t="s">
        <v>244</v>
      </c>
      <c r="AF3" s="335"/>
      <c r="AG3" s="336"/>
      <c r="AH3" s="334" t="s">
        <v>42</v>
      </c>
      <c r="AI3" s="335"/>
      <c r="AJ3" s="336"/>
      <c r="AK3" s="340" t="s">
        <v>306</v>
      </c>
      <c r="AL3" s="341"/>
      <c r="AM3" s="342"/>
      <c r="AN3" s="334" t="s">
        <v>40</v>
      </c>
      <c r="AO3" s="335"/>
      <c r="AP3" s="336"/>
      <c r="AQ3" s="376" t="s">
        <v>308</v>
      </c>
      <c r="AR3" s="377"/>
      <c r="AS3" s="378"/>
      <c r="AT3" s="334" t="s">
        <v>38</v>
      </c>
      <c r="AU3" s="335"/>
      <c r="AV3" s="336"/>
      <c r="AW3" s="334" t="s">
        <v>254</v>
      </c>
      <c r="AX3" s="335"/>
      <c r="AY3" s="336"/>
      <c r="AZ3" s="334" t="s">
        <v>279</v>
      </c>
      <c r="BA3" s="335"/>
      <c r="BB3" s="336"/>
      <c r="BC3" s="334" t="s">
        <v>172</v>
      </c>
      <c r="BD3" s="335"/>
      <c r="BE3" s="336"/>
      <c r="BF3" s="334" t="s">
        <v>173</v>
      </c>
      <c r="BG3" s="335"/>
      <c r="BH3" s="336"/>
      <c r="BI3" s="345" t="s">
        <v>49</v>
      </c>
      <c r="BJ3" s="346"/>
      <c r="BK3" s="347"/>
      <c r="BL3" s="345" t="s">
        <v>270</v>
      </c>
      <c r="BM3" s="346"/>
      <c r="BN3" s="347"/>
      <c r="BO3" s="345" t="s">
        <v>268</v>
      </c>
      <c r="BP3" s="346"/>
      <c r="BQ3" s="347"/>
      <c r="BR3" s="345" t="s">
        <v>266</v>
      </c>
      <c r="BS3" s="346"/>
      <c r="BT3" s="347"/>
      <c r="BU3" s="345" t="s">
        <v>53</v>
      </c>
      <c r="BV3" s="346"/>
      <c r="BW3" s="347"/>
      <c r="BX3" s="340" t="s">
        <v>309</v>
      </c>
      <c r="BY3" s="341"/>
      <c r="BZ3" s="342"/>
      <c r="CA3" s="345" t="s">
        <v>54</v>
      </c>
      <c r="CB3" s="346"/>
      <c r="CC3" s="347"/>
      <c r="CD3" s="345" t="s">
        <v>371</v>
      </c>
      <c r="CE3" s="346"/>
      <c r="CF3" s="347"/>
      <c r="CG3" s="345" t="s">
        <v>29</v>
      </c>
      <c r="CH3" s="346"/>
      <c r="CI3" s="347"/>
      <c r="CJ3" s="348" t="s">
        <v>261</v>
      </c>
      <c r="CK3" s="349"/>
      <c r="CL3" s="350"/>
      <c r="CM3" s="348" t="s">
        <v>181</v>
      </c>
      <c r="CN3" s="349"/>
      <c r="CO3" s="350"/>
      <c r="CP3" s="348" t="s">
        <v>182</v>
      </c>
      <c r="CQ3" s="349"/>
      <c r="CR3" s="350"/>
      <c r="CS3" s="364" t="s">
        <v>48</v>
      </c>
      <c r="CT3" s="364"/>
      <c r="CU3" s="364"/>
      <c r="CV3" s="365" t="s">
        <v>171</v>
      </c>
      <c r="CW3" s="366"/>
      <c r="CX3" s="367"/>
      <c r="CY3" s="365" t="s">
        <v>186</v>
      </c>
      <c r="CZ3" s="366"/>
      <c r="DA3" s="367"/>
      <c r="DB3" s="359" t="s">
        <v>23</v>
      </c>
      <c r="DC3" s="360"/>
      <c r="DD3" s="361"/>
      <c r="DE3" s="340" t="s">
        <v>303</v>
      </c>
      <c r="DF3" s="341"/>
      <c r="DG3" s="342"/>
      <c r="DH3" s="340" t="s">
        <v>302</v>
      </c>
      <c r="DI3" s="341"/>
      <c r="DJ3" s="342"/>
      <c r="DK3" s="359" t="s">
        <v>20</v>
      </c>
      <c r="DL3" s="360"/>
      <c r="DM3" s="361"/>
      <c r="DN3" s="354" t="s">
        <v>249</v>
      </c>
      <c r="DO3" s="355"/>
      <c r="DP3" s="356"/>
      <c r="DQ3" s="354" t="s">
        <v>251</v>
      </c>
      <c r="DR3" s="355"/>
      <c r="DS3" s="356"/>
      <c r="DT3" s="340" t="s">
        <v>304</v>
      </c>
      <c r="DU3" s="341"/>
      <c r="DV3" s="342"/>
      <c r="DW3" s="340" t="s">
        <v>312</v>
      </c>
      <c r="DX3" s="341"/>
      <c r="DY3" s="342"/>
      <c r="DZ3" s="334" t="s">
        <v>244</v>
      </c>
      <c r="EA3" s="335"/>
      <c r="EB3" s="336"/>
      <c r="EC3" s="334" t="s">
        <v>42</v>
      </c>
      <c r="ED3" s="335"/>
      <c r="EE3" s="336"/>
      <c r="EF3" s="376" t="s">
        <v>306</v>
      </c>
      <c r="EG3" s="377"/>
      <c r="EH3" s="378"/>
      <c r="EI3" s="334" t="s">
        <v>40</v>
      </c>
      <c r="EJ3" s="335"/>
      <c r="EK3" s="336"/>
      <c r="EL3" s="376" t="s">
        <v>308</v>
      </c>
      <c r="EM3" s="377"/>
      <c r="EN3" s="378"/>
      <c r="EO3" s="334" t="s">
        <v>38</v>
      </c>
      <c r="EP3" s="335"/>
      <c r="EQ3" s="336"/>
      <c r="ER3" s="334" t="s">
        <v>254</v>
      </c>
      <c r="ES3" s="335"/>
      <c r="ET3" s="336"/>
      <c r="EU3" s="334" t="s">
        <v>279</v>
      </c>
      <c r="EV3" s="335"/>
      <c r="EW3" s="336"/>
      <c r="EX3" s="334" t="s">
        <v>172</v>
      </c>
      <c r="EY3" s="335"/>
      <c r="EZ3" s="336"/>
      <c r="FA3" s="337" t="s">
        <v>48</v>
      </c>
      <c r="FB3" s="338"/>
      <c r="FC3" s="339"/>
      <c r="FD3" s="345" t="s">
        <v>191</v>
      </c>
      <c r="FE3" s="346"/>
      <c r="FF3" s="347"/>
      <c r="FG3" s="345" t="s">
        <v>192</v>
      </c>
      <c r="FH3" s="346"/>
      <c r="FI3" s="347"/>
      <c r="FJ3" s="345" t="s">
        <v>193</v>
      </c>
      <c r="FK3" s="346"/>
      <c r="FL3" s="347"/>
      <c r="FM3" s="345" t="s">
        <v>194</v>
      </c>
      <c r="FN3" s="346"/>
      <c r="FO3" s="347"/>
      <c r="FP3" s="345" t="s">
        <v>198</v>
      </c>
      <c r="FQ3" s="346"/>
      <c r="FR3" s="347"/>
      <c r="FS3" s="345" t="s">
        <v>199</v>
      </c>
      <c r="FT3" s="346"/>
      <c r="FU3" s="347"/>
      <c r="FV3" s="359" t="s">
        <v>23</v>
      </c>
      <c r="FW3" s="360"/>
      <c r="FX3" s="361"/>
      <c r="FY3" s="340" t="s">
        <v>303</v>
      </c>
      <c r="FZ3" s="341"/>
      <c r="GA3" s="342"/>
      <c r="GB3" s="340" t="s">
        <v>302</v>
      </c>
      <c r="GC3" s="341"/>
      <c r="GD3" s="342"/>
      <c r="GE3" s="359" t="s">
        <v>20</v>
      </c>
      <c r="GF3" s="360"/>
      <c r="GG3" s="361"/>
      <c r="GH3" s="354" t="s">
        <v>249</v>
      </c>
      <c r="GI3" s="355"/>
      <c r="GJ3" s="356"/>
      <c r="GK3" s="354" t="s">
        <v>251</v>
      </c>
      <c r="GL3" s="355"/>
      <c r="GM3" s="356"/>
      <c r="GN3" s="340" t="s">
        <v>304</v>
      </c>
      <c r="GO3" s="341"/>
      <c r="GP3" s="342"/>
      <c r="GQ3" s="340" t="s">
        <v>312</v>
      </c>
      <c r="GR3" s="341"/>
      <c r="GS3" s="342"/>
      <c r="GT3" s="334" t="s">
        <v>244</v>
      </c>
      <c r="GU3" s="335"/>
      <c r="GV3" s="336"/>
      <c r="GW3" s="334" t="s">
        <v>42</v>
      </c>
      <c r="GX3" s="335"/>
      <c r="GY3" s="336"/>
      <c r="GZ3" s="376" t="s">
        <v>306</v>
      </c>
      <c r="HA3" s="377"/>
      <c r="HB3" s="378"/>
      <c r="HC3" s="334" t="s">
        <v>40</v>
      </c>
      <c r="HD3" s="335"/>
      <c r="HE3" s="336"/>
      <c r="HF3" s="376" t="s">
        <v>308</v>
      </c>
      <c r="HG3" s="377"/>
      <c r="HH3" s="378"/>
      <c r="HI3" s="334" t="s">
        <v>38</v>
      </c>
      <c r="HJ3" s="335"/>
      <c r="HK3" s="336"/>
      <c r="HL3" s="334" t="s">
        <v>254</v>
      </c>
      <c r="HM3" s="335"/>
      <c r="HN3" s="336"/>
      <c r="HO3" s="334" t="s">
        <v>279</v>
      </c>
      <c r="HP3" s="335"/>
      <c r="HQ3" s="336"/>
      <c r="HR3" s="334" t="s">
        <v>172</v>
      </c>
      <c r="HS3" s="335"/>
      <c r="HT3" s="336"/>
      <c r="HU3" s="337" t="s">
        <v>48</v>
      </c>
      <c r="HV3" s="381"/>
      <c r="HW3" s="382"/>
      <c r="HX3" s="359" t="s">
        <v>23</v>
      </c>
      <c r="HY3" s="360"/>
      <c r="HZ3" s="361"/>
      <c r="IA3" s="340" t="s">
        <v>303</v>
      </c>
      <c r="IB3" s="341"/>
      <c r="IC3" s="342"/>
      <c r="ID3" s="340" t="s">
        <v>302</v>
      </c>
      <c r="IE3" s="341"/>
      <c r="IF3" s="342"/>
      <c r="IG3" s="359" t="s">
        <v>20</v>
      </c>
      <c r="IH3" s="360"/>
      <c r="II3" s="361"/>
      <c r="IJ3" s="354" t="s">
        <v>249</v>
      </c>
      <c r="IK3" s="355"/>
      <c r="IL3" s="356"/>
      <c r="IM3" s="354" t="s">
        <v>251</v>
      </c>
      <c r="IN3" s="355"/>
      <c r="IO3" s="356"/>
      <c r="IP3" s="340" t="s">
        <v>304</v>
      </c>
      <c r="IQ3" s="341"/>
      <c r="IR3" s="342"/>
      <c r="IS3" s="340" t="s">
        <v>312</v>
      </c>
      <c r="IT3" s="341"/>
      <c r="IU3" s="342"/>
      <c r="IV3" s="334" t="s">
        <v>244</v>
      </c>
      <c r="IW3" s="335"/>
      <c r="IX3" s="336"/>
      <c r="IY3" s="334" t="s">
        <v>42</v>
      </c>
      <c r="IZ3" s="335"/>
      <c r="JA3" s="336"/>
      <c r="JB3" s="376" t="s">
        <v>306</v>
      </c>
      <c r="JC3" s="377"/>
      <c r="JD3" s="378"/>
      <c r="JE3" s="334" t="s">
        <v>40</v>
      </c>
      <c r="JF3" s="335"/>
      <c r="JG3" s="336"/>
      <c r="JH3" s="376" t="s">
        <v>308</v>
      </c>
      <c r="JI3" s="377"/>
      <c r="JJ3" s="378"/>
      <c r="JK3" s="334" t="s">
        <v>38</v>
      </c>
      <c r="JL3" s="335"/>
      <c r="JM3" s="336"/>
      <c r="JN3" s="334" t="s">
        <v>254</v>
      </c>
      <c r="JO3" s="335"/>
      <c r="JP3" s="336"/>
      <c r="JQ3" s="334" t="s">
        <v>279</v>
      </c>
      <c r="JR3" s="335"/>
      <c r="JS3" s="336"/>
      <c r="JT3" s="334" t="s">
        <v>172</v>
      </c>
      <c r="JU3" s="335"/>
      <c r="JV3" s="336"/>
      <c r="JW3" s="337" t="s">
        <v>48</v>
      </c>
      <c r="JX3" s="338"/>
      <c r="JY3" s="339"/>
    </row>
    <row r="4" spans="1:285" s="78" customFormat="1" ht="13.2" customHeight="1">
      <c r="A4" s="379"/>
      <c r="B4" s="379"/>
      <c r="C4" s="380"/>
      <c r="D4" s="380"/>
      <c r="E4" s="380"/>
      <c r="F4" s="380"/>
      <c r="G4" s="79" t="s">
        <v>163</v>
      </c>
      <c r="H4" s="80" t="s">
        <v>1</v>
      </c>
      <c r="I4" s="80" t="s">
        <v>145</v>
      </c>
      <c r="J4" s="79" t="s">
        <v>163</v>
      </c>
      <c r="K4" s="80" t="s">
        <v>1</v>
      </c>
      <c r="L4" s="80" t="s">
        <v>145</v>
      </c>
      <c r="M4" s="79" t="s">
        <v>163</v>
      </c>
      <c r="N4" s="80" t="s">
        <v>1</v>
      </c>
      <c r="O4" s="80" t="s">
        <v>145</v>
      </c>
      <c r="P4" s="79" t="s">
        <v>163</v>
      </c>
      <c r="Q4" s="80" t="s">
        <v>1</v>
      </c>
      <c r="R4" s="80" t="s">
        <v>145</v>
      </c>
      <c r="S4" s="79" t="s">
        <v>163</v>
      </c>
      <c r="T4" s="80" t="s">
        <v>1</v>
      </c>
      <c r="U4" s="80" t="s">
        <v>145</v>
      </c>
      <c r="V4" s="79" t="s">
        <v>163</v>
      </c>
      <c r="W4" s="80" t="s">
        <v>1</v>
      </c>
      <c r="X4" s="80" t="s">
        <v>145</v>
      </c>
      <c r="Y4" s="79" t="s">
        <v>163</v>
      </c>
      <c r="Z4" s="80" t="s">
        <v>1</v>
      </c>
      <c r="AA4" s="80" t="s">
        <v>145</v>
      </c>
      <c r="AB4" s="188" t="s">
        <v>163</v>
      </c>
      <c r="AC4" s="189" t="s">
        <v>1</v>
      </c>
      <c r="AD4" s="189" t="s">
        <v>145</v>
      </c>
      <c r="AE4" s="81" t="s">
        <v>163</v>
      </c>
      <c r="AF4" s="81" t="s">
        <v>1</v>
      </c>
      <c r="AG4" s="81" t="s">
        <v>145</v>
      </c>
      <c r="AH4" s="81" t="s">
        <v>163</v>
      </c>
      <c r="AI4" s="81" t="s">
        <v>1</v>
      </c>
      <c r="AJ4" s="81" t="s">
        <v>145</v>
      </c>
      <c r="AK4" s="190" t="s">
        <v>163</v>
      </c>
      <c r="AL4" s="190" t="s">
        <v>1</v>
      </c>
      <c r="AM4" s="190" t="s">
        <v>145</v>
      </c>
      <c r="AN4" s="81" t="s">
        <v>163</v>
      </c>
      <c r="AO4" s="81" t="s">
        <v>1</v>
      </c>
      <c r="AP4" s="81" t="s">
        <v>145</v>
      </c>
      <c r="AQ4" s="190" t="s">
        <v>163</v>
      </c>
      <c r="AR4" s="190" t="s">
        <v>1</v>
      </c>
      <c r="AS4" s="190" t="s">
        <v>145</v>
      </c>
      <c r="AT4" s="81" t="s">
        <v>163</v>
      </c>
      <c r="AU4" s="81" t="s">
        <v>1</v>
      </c>
      <c r="AV4" s="81" t="s">
        <v>145</v>
      </c>
      <c r="AW4" s="81" t="s">
        <v>163</v>
      </c>
      <c r="AX4" s="81" t="s">
        <v>1</v>
      </c>
      <c r="AY4" s="81" t="s">
        <v>145</v>
      </c>
      <c r="AZ4" s="81" t="s">
        <v>163</v>
      </c>
      <c r="BA4" s="81" t="s">
        <v>1</v>
      </c>
      <c r="BB4" s="81" t="s">
        <v>145</v>
      </c>
      <c r="BC4" s="81" t="s">
        <v>163</v>
      </c>
      <c r="BD4" s="81" t="s">
        <v>1</v>
      </c>
      <c r="BE4" s="81" t="s">
        <v>145</v>
      </c>
      <c r="BF4" s="81" t="s">
        <v>163</v>
      </c>
      <c r="BG4" s="81" t="s">
        <v>1</v>
      </c>
      <c r="BH4" s="81" t="s">
        <v>145</v>
      </c>
      <c r="BI4" s="82" t="s">
        <v>163</v>
      </c>
      <c r="BJ4" s="82" t="s">
        <v>1</v>
      </c>
      <c r="BK4" s="82" t="s">
        <v>145</v>
      </c>
      <c r="BL4" s="82" t="s">
        <v>163</v>
      </c>
      <c r="BM4" s="82" t="s">
        <v>1</v>
      </c>
      <c r="BN4" s="82" t="s">
        <v>145</v>
      </c>
      <c r="BO4" s="82" t="s">
        <v>163</v>
      </c>
      <c r="BP4" s="82" t="s">
        <v>1</v>
      </c>
      <c r="BQ4" s="82" t="s">
        <v>145</v>
      </c>
      <c r="BR4" s="82" t="s">
        <v>163</v>
      </c>
      <c r="BS4" s="82" t="s">
        <v>1</v>
      </c>
      <c r="BT4" s="82" t="s">
        <v>145</v>
      </c>
      <c r="BU4" s="82" t="s">
        <v>163</v>
      </c>
      <c r="BV4" s="82" t="s">
        <v>1</v>
      </c>
      <c r="BW4" s="82" t="s">
        <v>145</v>
      </c>
      <c r="BX4" s="82" t="s">
        <v>163</v>
      </c>
      <c r="BY4" s="82" t="s">
        <v>1</v>
      </c>
      <c r="BZ4" s="82" t="s">
        <v>145</v>
      </c>
      <c r="CA4" s="82" t="s">
        <v>163</v>
      </c>
      <c r="CB4" s="82" t="s">
        <v>1</v>
      </c>
      <c r="CC4" s="82" t="s">
        <v>145</v>
      </c>
      <c r="CD4" s="82" t="s">
        <v>163</v>
      </c>
      <c r="CE4" s="82" t="s">
        <v>1</v>
      </c>
      <c r="CF4" s="82" t="s">
        <v>145</v>
      </c>
      <c r="CG4" s="82" t="s">
        <v>163</v>
      </c>
      <c r="CH4" s="82" t="s">
        <v>1</v>
      </c>
      <c r="CI4" s="82" t="s">
        <v>145</v>
      </c>
      <c r="CJ4" s="92" t="s">
        <v>163</v>
      </c>
      <c r="CK4" s="92" t="s">
        <v>1</v>
      </c>
      <c r="CL4" s="92" t="s">
        <v>145</v>
      </c>
      <c r="CM4" s="92" t="s">
        <v>163</v>
      </c>
      <c r="CN4" s="92" t="s">
        <v>1</v>
      </c>
      <c r="CO4" s="92" t="s">
        <v>145</v>
      </c>
      <c r="CP4" s="92" t="s">
        <v>163</v>
      </c>
      <c r="CQ4" s="92" t="s">
        <v>1</v>
      </c>
      <c r="CR4" s="92" t="s">
        <v>145</v>
      </c>
      <c r="CS4" s="79" t="s">
        <v>163</v>
      </c>
      <c r="CT4" s="79" t="s">
        <v>1</v>
      </c>
      <c r="CU4" s="79" t="s">
        <v>145</v>
      </c>
      <c r="CV4" s="83" t="s">
        <v>163</v>
      </c>
      <c r="CW4" s="84" t="s">
        <v>1</v>
      </c>
      <c r="CX4" s="84" t="s">
        <v>145</v>
      </c>
      <c r="CY4" s="83" t="s">
        <v>163</v>
      </c>
      <c r="CZ4" s="84" t="s">
        <v>1</v>
      </c>
      <c r="DA4" s="84" t="s">
        <v>145</v>
      </c>
      <c r="DB4" s="79" t="s">
        <v>163</v>
      </c>
      <c r="DC4" s="80" t="s">
        <v>1</v>
      </c>
      <c r="DD4" s="80" t="s">
        <v>145</v>
      </c>
      <c r="DE4" s="79" t="s">
        <v>163</v>
      </c>
      <c r="DF4" s="80" t="s">
        <v>1</v>
      </c>
      <c r="DG4" s="80" t="s">
        <v>145</v>
      </c>
      <c r="DH4" s="79" t="s">
        <v>163</v>
      </c>
      <c r="DI4" s="80" t="s">
        <v>1</v>
      </c>
      <c r="DJ4" s="80" t="s">
        <v>145</v>
      </c>
      <c r="DK4" s="79" t="s">
        <v>163</v>
      </c>
      <c r="DL4" s="80" t="s">
        <v>1</v>
      </c>
      <c r="DM4" s="80" t="s">
        <v>145</v>
      </c>
      <c r="DN4" s="196" t="s">
        <v>163</v>
      </c>
      <c r="DO4" s="197" t="s">
        <v>1</v>
      </c>
      <c r="DP4" s="197" t="s">
        <v>145</v>
      </c>
      <c r="DQ4" s="196" t="s">
        <v>163</v>
      </c>
      <c r="DR4" s="197" t="s">
        <v>1</v>
      </c>
      <c r="DS4" s="197" t="s">
        <v>145</v>
      </c>
      <c r="DT4" s="79" t="s">
        <v>163</v>
      </c>
      <c r="DU4" s="80" t="s">
        <v>1</v>
      </c>
      <c r="DV4" s="80" t="s">
        <v>145</v>
      </c>
      <c r="DW4" s="188" t="s">
        <v>163</v>
      </c>
      <c r="DX4" s="189" t="s">
        <v>1</v>
      </c>
      <c r="DY4" s="189" t="s">
        <v>145</v>
      </c>
      <c r="DZ4" s="81" t="s">
        <v>163</v>
      </c>
      <c r="EA4" s="81" t="s">
        <v>1</v>
      </c>
      <c r="EB4" s="81" t="s">
        <v>145</v>
      </c>
      <c r="EC4" s="81" t="s">
        <v>163</v>
      </c>
      <c r="ED4" s="81" t="s">
        <v>1</v>
      </c>
      <c r="EE4" s="81" t="s">
        <v>145</v>
      </c>
      <c r="EF4" s="190" t="s">
        <v>163</v>
      </c>
      <c r="EG4" s="190" t="s">
        <v>1</v>
      </c>
      <c r="EH4" s="190" t="s">
        <v>145</v>
      </c>
      <c r="EI4" s="81" t="s">
        <v>163</v>
      </c>
      <c r="EJ4" s="81" t="s">
        <v>1</v>
      </c>
      <c r="EK4" s="81" t="s">
        <v>145</v>
      </c>
      <c r="EL4" s="190" t="s">
        <v>163</v>
      </c>
      <c r="EM4" s="190" t="s">
        <v>1</v>
      </c>
      <c r="EN4" s="190" t="s">
        <v>145</v>
      </c>
      <c r="EO4" s="81" t="s">
        <v>163</v>
      </c>
      <c r="EP4" s="81" t="s">
        <v>1</v>
      </c>
      <c r="EQ4" s="81" t="s">
        <v>145</v>
      </c>
      <c r="ER4" s="81" t="s">
        <v>163</v>
      </c>
      <c r="ES4" s="81" t="s">
        <v>1</v>
      </c>
      <c r="ET4" s="81" t="s">
        <v>145</v>
      </c>
      <c r="EU4" s="81" t="s">
        <v>163</v>
      </c>
      <c r="EV4" s="81" t="s">
        <v>1</v>
      </c>
      <c r="EW4" s="81" t="s">
        <v>145</v>
      </c>
      <c r="EX4" s="81" t="s">
        <v>163</v>
      </c>
      <c r="EY4" s="81" t="s">
        <v>1</v>
      </c>
      <c r="EZ4" s="81" t="s">
        <v>145</v>
      </c>
      <c r="FA4" s="190" t="s">
        <v>163</v>
      </c>
      <c r="FB4" s="190" t="s">
        <v>1</v>
      </c>
      <c r="FC4" s="190" t="s">
        <v>145</v>
      </c>
      <c r="FD4" s="82" t="s">
        <v>163</v>
      </c>
      <c r="FE4" s="82" t="s">
        <v>1</v>
      </c>
      <c r="FF4" s="82" t="s">
        <v>145</v>
      </c>
      <c r="FG4" s="82" t="s">
        <v>163</v>
      </c>
      <c r="FH4" s="82" t="s">
        <v>1</v>
      </c>
      <c r="FI4" s="82" t="s">
        <v>145</v>
      </c>
      <c r="FJ4" s="82" t="s">
        <v>163</v>
      </c>
      <c r="FK4" s="82" t="s">
        <v>1</v>
      </c>
      <c r="FL4" s="82" t="s">
        <v>145</v>
      </c>
      <c r="FM4" s="82" t="s">
        <v>163</v>
      </c>
      <c r="FN4" s="82" t="s">
        <v>1</v>
      </c>
      <c r="FO4" s="82" t="s">
        <v>145</v>
      </c>
      <c r="FP4" s="82" t="s">
        <v>163</v>
      </c>
      <c r="FQ4" s="82" t="s">
        <v>1</v>
      </c>
      <c r="FR4" s="82" t="s">
        <v>145</v>
      </c>
      <c r="FS4" s="82" t="s">
        <v>163</v>
      </c>
      <c r="FT4" s="82" t="s">
        <v>1</v>
      </c>
      <c r="FU4" s="82" t="s">
        <v>145</v>
      </c>
      <c r="FV4" s="79" t="s">
        <v>163</v>
      </c>
      <c r="FW4" s="80" t="s">
        <v>1</v>
      </c>
      <c r="FX4" s="80" t="s">
        <v>145</v>
      </c>
      <c r="FY4" s="79" t="s">
        <v>163</v>
      </c>
      <c r="FZ4" s="80" t="s">
        <v>1</v>
      </c>
      <c r="GA4" s="80" t="s">
        <v>145</v>
      </c>
      <c r="GB4" s="79" t="s">
        <v>163</v>
      </c>
      <c r="GC4" s="80" t="s">
        <v>1</v>
      </c>
      <c r="GD4" s="80" t="s">
        <v>145</v>
      </c>
      <c r="GE4" s="79" t="s">
        <v>163</v>
      </c>
      <c r="GF4" s="80" t="s">
        <v>1</v>
      </c>
      <c r="GG4" s="80" t="s">
        <v>145</v>
      </c>
      <c r="GH4" s="196" t="s">
        <v>163</v>
      </c>
      <c r="GI4" s="197" t="s">
        <v>1</v>
      </c>
      <c r="GJ4" s="197" t="s">
        <v>145</v>
      </c>
      <c r="GK4" s="196" t="s">
        <v>163</v>
      </c>
      <c r="GL4" s="197" t="s">
        <v>1</v>
      </c>
      <c r="GM4" s="197" t="s">
        <v>145</v>
      </c>
      <c r="GN4" s="79" t="s">
        <v>163</v>
      </c>
      <c r="GO4" s="80" t="s">
        <v>1</v>
      </c>
      <c r="GP4" s="80" t="s">
        <v>145</v>
      </c>
      <c r="GQ4" s="188" t="s">
        <v>163</v>
      </c>
      <c r="GR4" s="189" t="s">
        <v>1</v>
      </c>
      <c r="GS4" s="189" t="s">
        <v>145</v>
      </c>
      <c r="GT4" s="81" t="s">
        <v>163</v>
      </c>
      <c r="GU4" s="81" t="s">
        <v>1</v>
      </c>
      <c r="GV4" s="81" t="s">
        <v>145</v>
      </c>
      <c r="GW4" s="81" t="s">
        <v>163</v>
      </c>
      <c r="GX4" s="81" t="s">
        <v>1</v>
      </c>
      <c r="GY4" s="81" t="s">
        <v>145</v>
      </c>
      <c r="GZ4" s="190" t="s">
        <v>163</v>
      </c>
      <c r="HA4" s="190" t="s">
        <v>1</v>
      </c>
      <c r="HB4" s="190" t="s">
        <v>145</v>
      </c>
      <c r="HC4" s="81" t="s">
        <v>163</v>
      </c>
      <c r="HD4" s="81" t="s">
        <v>1</v>
      </c>
      <c r="HE4" s="81" t="s">
        <v>145</v>
      </c>
      <c r="HF4" s="190" t="s">
        <v>163</v>
      </c>
      <c r="HG4" s="190" t="s">
        <v>1</v>
      </c>
      <c r="HH4" s="190" t="s">
        <v>145</v>
      </c>
      <c r="HI4" s="81" t="s">
        <v>163</v>
      </c>
      <c r="HJ4" s="81" t="s">
        <v>1</v>
      </c>
      <c r="HK4" s="81" t="s">
        <v>145</v>
      </c>
      <c r="HL4" s="81" t="s">
        <v>163</v>
      </c>
      <c r="HM4" s="81" t="s">
        <v>1</v>
      </c>
      <c r="HN4" s="81" t="s">
        <v>145</v>
      </c>
      <c r="HO4" s="81" t="s">
        <v>163</v>
      </c>
      <c r="HP4" s="81" t="s">
        <v>1</v>
      </c>
      <c r="HQ4" s="81" t="s">
        <v>145</v>
      </c>
      <c r="HR4" s="81" t="s">
        <v>163</v>
      </c>
      <c r="HS4" s="81" t="s">
        <v>1</v>
      </c>
      <c r="HT4" s="81" t="s">
        <v>145</v>
      </c>
      <c r="HU4" s="190" t="s">
        <v>163</v>
      </c>
      <c r="HV4" s="190" t="s">
        <v>1</v>
      </c>
      <c r="HW4" s="190" t="s">
        <v>145</v>
      </c>
      <c r="HX4" s="79" t="s">
        <v>163</v>
      </c>
      <c r="HY4" s="80" t="s">
        <v>1</v>
      </c>
      <c r="HZ4" s="80" t="s">
        <v>145</v>
      </c>
      <c r="IA4" s="79" t="s">
        <v>163</v>
      </c>
      <c r="IB4" s="80" t="s">
        <v>1</v>
      </c>
      <c r="IC4" s="80" t="s">
        <v>145</v>
      </c>
      <c r="ID4" s="79" t="s">
        <v>163</v>
      </c>
      <c r="IE4" s="80" t="s">
        <v>1</v>
      </c>
      <c r="IF4" s="80" t="s">
        <v>145</v>
      </c>
      <c r="IG4" s="79" t="s">
        <v>163</v>
      </c>
      <c r="IH4" s="80" t="s">
        <v>1</v>
      </c>
      <c r="II4" s="80" t="s">
        <v>145</v>
      </c>
      <c r="IJ4" s="196" t="s">
        <v>163</v>
      </c>
      <c r="IK4" s="197" t="s">
        <v>1</v>
      </c>
      <c r="IL4" s="197" t="s">
        <v>145</v>
      </c>
      <c r="IM4" s="196" t="s">
        <v>163</v>
      </c>
      <c r="IN4" s="197" t="s">
        <v>1</v>
      </c>
      <c r="IO4" s="197" t="s">
        <v>145</v>
      </c>
      <c r="IP4" s="79" t="s">
        <v>163</v>
      </c>
      <c r="IQ4" s="80" t="s">
        <v>1</v>
      </c>
      <c r="IR4" s="80" t="s">
        <v>145</v>
      </c>
      <c r="IS4" s="188" t="s">
        <v>163</v>
      </c>
      <c r="IT4" s="189" t="s">
        <v>1</v>
      </c>
      <c r="IU4" s="189" t="s">
        <v>145</v>
      </c>
      <c r="IV4" s="81" t="s">
        <v>163</v>
      </c>
      <c r="IW4" s="81" t="s">
        <v>1</v>
      </c>
      <c r="IX4" s="81" t="s">
        <v>145</v>
      </c>
      <c r="IY4" s="81" t="s">
        <v>163</v>
      </c>
      <c r="IZ4" s="81" t="s">
        <v>1</v>
      </c>
      <c r="JA4" s="81" t="s">
        <v>145</v>
      </c>
      <c r="JB4" s="190" t="s">
        <v>163</v>
      </c>
      <c r="JC4" s="190" t="s">
        <v>1</v>
      </c>
      <c r="JD4" s="190" t="s">
        <v>145</v>
      </c>
      <c r="JE4" s="81" t="s">
        <v>163</v>
      </c>
      <c r="JF4" s="81" t="s">
        <v>1</v>
      </c>
      <c r="JG4" s="81" t="s">
        <v>145</v>
      </c>
      <c r="JH4" s="190" t="s">
        <v>163</v>
      </c>
      <c r="JI4" s="190" t="s">
        <v>1</v>
      </c>
      <c r="JJ4" s="190" t="s">
        <v>145</v>
      </c>
      <c r="JK4" s="81" t="s">
        <v>163</v>
      </c>
      <c r="JL4" s="81" t="s">
        <v>1</v>
      </c>
      <c r="JM4" s="81" t="s">
        <v>145</v>
      </c>
      <c r="JN4" s="81" t="s">
        <v>163</v>
      </c>
      <c r="JO4" s="81" t="s">
        <v>1</v>
      </c>
      <c r="JP4" s="81" t="s">
        <v>145</v>
      </c>
      <c r="JQ4" s="81" t="s">
        <v>163</v>
      </c>
      <c r="JR4" s="81" t="s">
        <v>1</v>
      </c>
      <c r="JS4" s="81" t="s">
        <v>145</v>
      </c>
      <c r="JT4" s="81" t="s">
        <v>163</v>
      </c>
      <c r="JU4" s="81" t="s">
        <v>1</v>
      </c>
      <c r="JV4" s="81" t="s">
        <v>145</v>
      </c>
      <c r="JW4" s="190" t="s">
        <v>163</v>
      </c>
      <c r="JX4" s="190" t="s">
        <v>1</v>
      </c>
      <c r="JY4" s="190" t="s">
        <v>145</v>
      </c>
    </row>
    <row r="5" spans="1:285">
      <c r="A5" s="183"/>
      <c r="B5" s="50"/>
      <c r="C5" s="74"/>
      <c r="D5" s="74"/>
      <c r="E5" s="74"/>
      <c r="F5" s="74"/>
      <c r="G5" s="74">
        <v>1</v>
      </c>
      <c r="H5" s="76"/>
      <c r="I5" s="76"/>
      <c r="J5" s="74">
        <f>G5+1</f>
        <v>2</v>
      </c>
      <c r="K5" s="76"/>
      <c r="L5" s="76"/>
      <c r="M5" s="74">
        <f>J5+1</f>
        <v>3</v>
      </c>
      <c r="N5" s="76"/>
      <c r="O5" s="76"/>
      <c r="P5" s="74">
        <f>M5+1</f>
        <v>4</v>
      </c>
      <c r="Q5" s="76"/>
      <c r="R5" s="76"/>
      <c r="S5" s="74">
        <f>P5+1</f>
        <v>5</v>
      </c>
      <c r="T5" s="76"/>
      <c r="U5" s="76"/>
      <c r="V5" s="74">
        <f>S5+1</f>
        <v>6</v>
      </c>
      <c r="W5" s="76"/>
      <c r="X5" s="76"/>
      <c r="Y5" s="74">
        <f>V5+1</f>
        <v>7</v>
      </c>
      <c r="Z5" s="76"/>
      <c r="AA5" s="76"/>
      <c r="AB5" s="74">
        <f>Y5+1</f>
        <v>8</v>
      </c>
      <c r="AC5" s="76"/>
      <c r="AD5" s="76"/>
      <c r="AE5" s="74">
        <f>AB5+1</f>
        <v>9</v>
      </c>
      <c r="AF5" s="74"/>
      <c r="AG5" s="74"/>
      <c r="AH5" s="74">
        <f>AE5+1</f>
        <v>10</v>
      </c>
      <c r="AI5" s="74"/>
      <c r="AJ5" s="74"/>
      <c r="AK5" s="74">
        <f>AH5+1</f>
        <v>11</v>
      </c>
      <c r="AL5" s="74"/>
      <c r="AM5" s="74"/>
      <c r="AN5" s="74">
        <f>AK5+1</f>
        <v>12</v>
      </c>
      <c r="AO5" s="74"/>
      <c r="AP5" s="74"/>
      <c r="AQ5" s="74">
        <f>AN5+1</f>
        <v>13</v>
      </c>
      <c r="AR5" s="74"/>
      <c r="AS5" s="74"/>
      <c r="AT5" s="74">
        <f>AQ5+1</f>
        <v>14</v>
      </c>
      <c r="AU5" s="74"/>
      <c r="AV5" s="74"/>
      <c r="AW5" s="74">
        <f>AT5+1</f>
        <v>15</v>
      </c>
      <c r="AX5" s="74"/>
      <c r="AY5" s="74"/>
      <c r="AZ5" s="74">
        <f>AW5+1</f>
        <v>16</v>
      </c>
      <c r="BA5" s="74"/>
      <c r="BB5" s="74"/>
      <c r="BC5" s="74">
        <f>AZ5+1</f>
        <v>17</v>
      </c>
      <c r="BD5" s="74"/>
      <c r="BE5" s="74"/>
      <c r="BF5" s="74">
        <f>BC5+1</f>
        <v>18</v>
      </c>
      <c r="BG5" s="74"/>
      <c r="BH5" s="74"/>
      <c r="BI5" s="74">
        <f>BF5+1</f>
        <v>19</v>
      </c>
      <c r="BJ5" s="74"/>
      <c r="BK5" s="74"/>
      <c r="BL5" s="74">
        <f>BI5+1</f>
        <v>20</v>
      </c>
      <c r="BM5" s="74"/>
      <c r="BN5" s="74"/>
      <c r="BO5" s="74">
        <f>BL5+1</f>
        <v>21</v>
      </c>
      <c r="BP5" s="74"/>
      <c r="BQ5" s="74"/>
      <c r="BR5" s="74">
        <f>BO5+1</f>
        <v>22</v>
      </c>
      <c r="BS5" s="74"/>
      <c r="BT5" s="74"/>
      <c r="BU5" s="74">
        <f>BR5+1</f>
        <v>23</v>
      </c>
      <c r="BV5" s="74"/>
      <c r="BW5" s="74"/>
      <c r="BX5" s="74">
        <f>BU5+1</f>
        <v>24</v>
      </c>
      <c r="BY5" s="74"/>
      <c r="BZ5" s="74"/>
      <c r="CA5" s="74">
        <f>BX5+1</f>
        <v>25</v>
      </c>
      <c r="CB5" s="74"/>
      <c r="CC5" s="74"/>
      <c r="CD5" s="74">
        <f>CA5+1</f>
        <v>26</v>
      </c>
      <c r="CE5" s="74"/>
      <c r="CF5" s="74"/>
      <c r="CG5" s="74">
        <f>CD5+1</f>
        <v>27</v>
      </c>
      <c r="CH5" s="74"/>
      <c r="CI5" s="74"/>
      <c r="CJ5" s="74">
        <f>CG5+1</f>
        <v>28</v>
      </c>
      <c r="CK5" s="74"/>
      <c r="CL5" s="74"/>
      <c r="CM5" s="74">
        <f>CJ5+1</f>
        <v>29</v>
      </c>
      <c r="CN5" s="74"/>
      <c r="CO5" s="74"/>
      <c r="CP5" s="74">
        <f>CM5+1</f>
        <v>30</v>
      </c>
      <c r="CQ5" s="74"/>
      <c r="CR5" s="74"/>
      <c r="CS5" s="74">
        <f>CP5+1</f>
        <v>31</v>
      </c>
      <c r="CT5" s="74"/>
      <c r="CU5" s="74"/>
      <c r="CV5" s="74">
        <f>CS5+1</f>
        <v>32</v>
      </c>
      <c r="CW5" s="76"/>
      <c r="CX5" s="76"/>
      <c r="CY5" s="74">
        <f>CV5+1</f>
        <v>33</v>
      </c>
      <c r="CZ5" s="76"/>
      <c r="DA5" s="76"/>
      <c r="DB5" s="74">
        <f>CY5+1</f>
        <v>34</v>
      </c>
      <c r="DC5" s="76"/>
      <c r="DD5" s="76"/>
      <c r="DE5" s="74">
        <f>DB5+1</f>
        <v>35</v>
      </c>
      <c r="DF5" s="76"/>
      <c r="DG5" s="76"/>
      <c r="DH5" s="74">
        <f>DE5+1</f>
        <v>36</v>
      </c>
      <c r="DI5" s="76"/>
      <c r="DJ5" s="76"/>
      <c r="DK5" s="74">
        <f>DH5+1</f>
        <v>37</v>
      </c>
      <c r="DL5" s="76"/>
      <c r="DM5" s="76"/>
      <c r="DN5" s="74">
        <f>DK5+1</f>
        <v>38</v>
      </c>
      <c r="DO5" s="251"/>
      <c r="DP5" s="251"/>
      <c r="DQ5" s="74">
        <f>DN5+1</f>
        <v>39</v>
      </c>
      <c r="DR5" s="76"/>
      <c r="DS5" s="76"/>
      <c r="DT5" s="74">
        <f>DQ5+1</f>
        <v>40</v>
      </c>
      <c r="DU5" s="76"/>
      <c r="DV5" s="76"/>
      <c r="DW5" s="74">
        <f>DT5+1</f>
        <v>41</v>
      </c>
      <c r="DX5" s="76"/>
      <c r="DY5" s="76"/>
      <c r="DZ5" s="74">
        <f>DW5+1</f>
        <v>42</v>
      </c>
      <c r="EA5" s="74"/>
      <c r="EB5" s="74"/>
      <c r="EC5" s="74">
        <f>DZ5+1</f>
        <v>43</v>
      </c>
      <c r="ED5" s="74"/>
      <c r="EE5" s="74"/>
      <c r="EF5" s="74">
        <f>EC5+1</f>
        <v>44</v>
      </c>
      <c r="EG5" s="74"/>
      <c r="EH5" s="74"/>
      <c r="EI5" s="74">
        <f>EF5+1</f>
        <v>45</v>
      </c>
      <c r="EJ5" s="74"/>
      <c r="EK5" s="74"/>
      <c r="EL5" s="74">
        <f>EI5+1</f>
        <v>46</v>
      </c>
      <c r="EM5" s="74"/>
      <c r="EN5" s="74"/>
      <c r="EO5" s="74">
        <f>EL5+1</f>
        <v>47</v>
      </c>
      <c r="EP5" s="74"/>
      <c r="EQ5" s="74"/>
      <c r="ER5" s="74">
        <f>EO5+1</f>
        <v>48</v>
      </c>
      <c r="ES5" s="74"/>
      <c r="ET5" s="74"/>
      <c r="EU5" s="74">
        <f>ER5+1</f>
        <v>49</v>
      </c>
      <c r="EV5" s="74"/>
      <c r="EW5" s="74"/>
      <c r="EX5" s="74">
        <f>EU5+1</f>
        <v>50</v>
      </c>
      <c r="EY5" s="74"/>
      <c r="EZ5" s="74"/>
      <c r="FA5" s="74">
        <f>EX5+1</f>
        <v>51</v>
      </c>
      <c r="FB5" s="74"/>
      <c r="FC5" s="74"/>
      <c r="FD5" s="74">
        <f>FA5+1</f>
        <v>52</v>
      </c>
      <c r="FE5" s="74"/>
      <c r="FF5" s="74"/>
      <c r="FG5" s="74">
        <f>FD5+1</f>
        <v>53</v>
      </c>
      <c r="FH5" s="74"/>
      <c r="FI5" s="74"/>
      <c r="FJ5" s="74">
        <f>FG5+1</f>
        <v>54</v>
      </c>
      <c r="FK5" s="74"/>
      <c r="FL5" s="74"/>
      <c r="FM5" s="74">
        <f>FJ5+1</f>
        <v>55</v>
      </c>
      <c r="FN5" s="74"/>
      <c r="FO5" s="74"/>
      <c r="FP5" s="74">
        <f>FM5+1</f>
        <v>56</v>
      </c>
      <c r="FQ5" s="74"/>
      <c r="FR5" s="74"/>
      <c r="FS5" s="74">
        <f>FP5+1</f>
        <v>57</v>
      </c>
      <c r="FT5" s="74"/>
      <c r="FU5" s="74"/>
      <c r="FV5" s="74">
        <f>FS5+1</f>
        <v>58</v>
      </c>
      <c r="FW5" s="76"/>
      <c r="FX5" s="76"/>
      <c r="FY5" s="74">
        <f>FV5+1</f>
        <v>59</v>
      </c>
      <c r="FZ5" s="76"/>
      <c r="GA5" s="76"/>
      <c r="GB5" s="74">
        <f>FY5+1</f>
        <v>60</v>
      </c>
      <c r="GC5" s="76"/>
      <c r="GD5" s="76"/>
      <c r="GE5" s="74">
        <f>GB5+1</f>
        <v>61</v>
      </c>
      <c r="GF5" s="76"/>
      <c r="GG5" s="76"/>
      <c r="GH5" s="74">
        <f>GE5+1</f>
        <v>62</v>
      </c>
      <c r="GI5" s="76"/>
      <c r="GJ5" s="76"/>
      <c r="GK5" s="74">
        <f>GH5+1</f>
        <v>63</v>
      </c>
      <c r="GL5" s="76"/>
      <c r="GM5" s="76"/>
      <c r="GN5" s="74">
        <f>GK5+1</f>
        <v>64</v>
      </c>
      <c r="GO5" s="76"/>
      <c r="GP5" s="76"/>
      <c r="GQ5" s="74">
        <f>GN5+1</f>
        <v>65</v>
      </c>
      <c r="GR5" s="76"/>
      <c r="GS5" s="76"/>
      <c r="GT5" s="74">
        <f>GQ5+1</f>
        <v>66</v>
      </c>
      <c r="GU5" s="74"/>
      <c r="GV5" s="74"/>
      <c r="GW5" s="74">
        <f>GT5+1</f>
        <v>67</v>
      </c>
      <c r="GX5" s="74"/>
      <c r="GY5" s="74"/>
      <c r="GZ5" s="74">
        <f>GW5+1</f>
        <v>68</v>
      </c>
      <c r="HA5" s="74"/>
      <c r="HB5" s="74"/>
      <c r="HC5" s="74">
        <f>GZ5+1</f>
        <v>69</v>
      </c>
      <c r="HD5" s="74"/>
      <c r="HE5" s="74"/>
      <c r="HF5" s="74">
        <f>HC5+1</f>
        <v>70</v>
      </c>
      <c r="HG5" s="74"/>
      <c r="HH5" s="74"/>
      <c r="HI5" s="74">
        <f>HF5+1</f>
        <v>71</v>
      </c>
      <c r="HJ5" s="74"/>
      <c r="HK5" s="74"/>
      <c r="HL5" s="74">
        <f>HI5+1</f>
        <v>72</v>
      </c>
      <c r="HM5" s="74"/>
      <c r="HN5" s="74"/>
      <c r="HO5" s="74">
        <f>HL5+1</f>
        <v>73</v>
      </c>
      <c r="HP5" s="74"/>
      <c r="HQ5" s="74"/>
      <c r="HR5" s="74">
        <f>HO5+1</f>
        <v>74</v>
      </c>
      <c r="HS5" s="74"/>
      <c r="HT5" s="74"/>
      <c r="HU5" s="74">
        <f>HR5+1</f>
        <v>75</v>
      </c>
      <c r="HV5" s="74"/>
      <c r="HW5" s="74"/>
      <c r="HX5" s="74">
        <f>HU5+1</f>
        <v>76</v>
      </c>
      <c r="HY5" s="76"/>
      <c r="HZ5" s="76"/>
      <c r="IA5" s="74">
        <f>HX5+1</f>
        <v>77</v>
      </c>
      <c r="IB5" s="76"/>
      <c r="IC5" s="76"/>
      <c r="ID5" s="74">
        <f>IA5+1</f>
        <v>78</v>
      </c>
      <c r="IE5" s="76"/>
      <c r="IF5" s="76"/>
      <c r="IG5" s="74">
        <f>ID5+1</f>
        <v>79</v>
      </c>
      <c r="IH5" s="76"/>
      <c r="II5" s="76"/>
      <c r="IJ5" s="74">
        <f>IG5+1</f>
        <v>80</v>
      </c>
      <c r="IK5" s="76"/>
      <c r="IL5" s="76"/>
      <c r="IM5" s="74">
        <f>IJ5+1</f>
        <v>81</v>
      </c>
      <c r="IN5" s="76"/>
      <c r="IO5" s="76"/>
      <c r="IP5" s="74">
        <f>IM5+1</f>
        <v>82</v>
      </c>
      <c r="IQ5" s="76"/>
      <c r="IR5" s="76"/>
      <c r="IS5" s="74">
        <f>IP5+1</f>
        <v>83</v>
      </c>
      <c r="IT5" s="76"/>
      <c r="IU5" s="76"/>
      <c r="IV5" s="74">
        <f>IS5+1</f>
        <v>84</v>
      </c>
      <c r="IW5" s="74"/>
      <c r="IX5" s="74"/>
      <c r="IY5" s="74">
        <f>IV5+1</f>
        <v>85</v>
      </c>
      <c r="IZ5" s="74"/>
      <c r="JA5" s="74"/>
      <c r="JB5" s="74">
        <f>IY5+1</f>
        <v>86</v>
      </c>
      <c r="JC5" s="74"/>
      <c r="JD5" s="74"/>
      <c r="JE5" s="74">
        <f>JB5+1</f>
        <v>87</v>
      </c>
      <c r="JF5" s="74"/>
      <c r="JG5" s="74"/>
      <c r="JH5" s="74">
        <f>JE5+1</f>
        <v>88</v>
      </c>
      <c r="JI5" s="74"/>
      <c r="JJ5" s="74"/>
      <c r="JK5" s="74">
        <f>JH5+1</f>
        <v>89</v>
      </c>
      <c r="JL5" s="74"/>
      <c r="JM5" s="74"/>
      <c r="JN5" s="74">
        <f>JK5+1</f>
        <v>90</v>
      </c>
      <c r="JO5" s="74"/>
      <c r="JP5" s="74"/>
      <c r="JQ5" s="74">
        <f>JN5+1</f>
        <v>91</v>
      </c>
      <c r="JR5" s="74"/>
      <c r="JS5" s="74"/>
      <c r="JT5" s="74">
        <f>JQ5+1</f>
        <v>92</v>
      </c>
      <c r="JU5" s="74"/>
      <c r="JV5" s="74"/>
      <c r="JW5" s="74">
        <f>JT5+1</f>
        <v>93</v>
      </c>
      <c r="JX5" s="74"/>
      <c r="JY5" s="74"/>
    </row>
    <row r="6" spans="1:285">
      <c r="A6" s="182"/>
      <c r="B6" s="184"/>
      <c r="C6" s="6">
        <v>1</v>
      </c>
      <c r="D6" s="248" t="s">
        <v>320</v>
      </c>
      <c r="E6" s="24" t="s">
        <v>315</v>
      </c>
      <c r="F6" s="5" t="s">
        <v>33</v>
      </c>
      <c r="G6" s="94">
        <f>VLOOKUP($G$3,Commited_Actual_1stProject!$E$9:$BU$36,$D26,0)</f>
        <v>0</v>
      </c>
      <c r="H6" s="94">
        <f>VLOOKUP($G$3,Commited_Actual_1stProject!$E$9:$BU$36,$D26+1,0)</f>
        <v>0</v>
      </c>
      <c r="I6" s="247">
        <f>VLOOKUP($G$3,Commited_Actual_1stProject!$E$9:$BU$36,$D26+2,0)</f>
        <v>0</v>
      </c>
      <c r="J6" s="94">
        <f>VLOOKUP($J$3,Commited_Actual_1stProject!$E$9:$BU$36,$D26,0)</f>
        <v>0</v>
      </c>
      <c r="K6" s="94">
        <f>VLOOKUP($J$3,Commited_Actual_1stProject!$E$9:$BU$36,$D26+1,0)</f>
        <v>0</v>
      </c>
      <c r="L6" s="247">
        <f>VLOOKUP($J$3,Commited_Actual_1stProject!$E$9:$BU$36,$D26+2,0)</f>
        <v>0</v>
      </c>
      <c r="M6" s="94">
        <f>VLOOKUP($M$3,Commited_Actual_1stProject!$E$9:$BU$36,$D26,0)</f>
        <v>0</v>
      </c>
      <c r="N6" s="94">
        <f>VLOOKUP($M$3,Commited_Actual_1stProject!$E$9:$BU$36,$D26+1,0)</f>
        <v>0</v>
      </c>
      <c r="O6" s="247">
        <f>VLOOKUP($M$3,Commited_Actual_1stProject!$E$9:$BU$36,$D26+2,0)</f>
        <v>0</v>
      </c>
      <c r="P6" s="94">
        <f>VLOOKUP($P$3,Commited_Actual_1stProject!$E$9:$BU$36,$D26,0)</f>
        <v>0</v>
      </c>
      <c r="Q6" s="94">
        <f>VLOOKUP($P$3,Commited_Actual_1stProject!$E$9:$BU$36,$D26+1,0)</f>
        <v>0</v>
      </c>
      <c r="R6" s="247">
        <f>VLOOKUP($P$3,Commited_Actual_1stProject!$E$9:$BU$36,$D26+2,0)</f>
        <v>0</v>
      </c>
      <c r="S6" s="94">
        <f>VLOOKUP($S$3,Commited_Actual_1stProject!$E$9:$BU$36,$D26,0)</f>
        <v>0.06</v>
      </c>
      <c r="T6" s="247">
        <f>VLOOKUP($S$3,Commited_Actual_1stProject!$E$9:$BU$36,$D26+1,0)</f>
        <v>35</v>
      </c>
      <c r="U6" s="247">
        <f>VLOOKUP($S$3,Commited_Actual_1stProject!$E$9:$BU$36,$D26+2,0)</f>
        <v>37.01</v>
      </c>
      <c r="V6" s="94">
        <f>VLOOKUP($V$3,Commited_Actual_1stProject!$E$9:$BU$36,$D26,0)</f>
        <v>0.06</v>
      </c>
      <c r="W6" s="247">
        <f>VLOOKUP($V$3,Commited_Actual_1stProject!$E$9:$BU$36,$D26+1,0)</f>
        <v>28</v>
      </c>
      <c r="X6" s="247">
        <f>VLOOKUP($V$3,Commited_Actual_1stProject!$E$9:$BU$36,$D26+2,0)</f>
        <v>36.72</v>
      </c>
      <c r="Y6" s="94">
        <f>VLOOKUP($Y$3,Commited_Actual_1stProject!$E$9:$BU$36,$D26,0)</f>
        <v>0.06</v>
      </c>
      <c r="Z6" s="247">
        <f>VLOOKUP($Y$3,Commited_Actual_1stProject!$E$9:$BU$36,$D26+1,0)</f>
        <v>10</v>
      </c>
      <c r="AA6" s="247">
        <f>VLOOKUP($Y$3,Commited_Actual_1stProject!$E$9:$BU$36,$D26+2,0)</f>
        <v>13.53</v>
      </c>
      <c r="AB6" s="94">
        <f>VLOOKUP($AB$3,Commited_Actual_1stProject!$E$9:$BU$36,$D26,0)</f>
        <v>0.06</v>
      </c>
      <c r="AC6" s="247">
        <f>VLOOKUP($AB$3,Commited_Actual_1stProject!$E$9:$BU$36,$D26+1,0)</f>
        <v>7</v>
      </c>
      <c r="AD6" s="247">
        <f>VLOOKUP($AB$3,Commited_Actual_1stProject!$E$9:$BU$36,$D26+2,0)</f>
        <v>7.49</v>
      </c>
      <c r="AE6" s="94">
        <f>VLOOKUP($AE$3,Commited_Actual_1stProject!$E$9:$BU$36,$D26,0)</f>
        <v>0</v>
      </c>
      <c r="AF6" s="94">
        <f>VLOOKUP($AE$3,Commited_Actual_1stProject!$E$9:$BU$36,$D26+1,0)</f>
        <v>0</v>
      </c>
      <c r="AG6" s="94">
        <f>VLOOKUP($AE$3,Commited_Actual_1stProject!$E$9:$BU$36,$D26+2,0)</f>
        <v>0</v>
      </c>
      <c r="AH6" s="94">
        <f>VLOOKUP($AH$3,Commited_Actual_1stProject!$E$9:$BU$36,$D26,0)</f>
        <v>0</v>
      </c>
      <c r="AI6" s="124">
        <f>VLOOKUP($AH$3,Commited_Actual_1stProject!$E$9:$BU$36,$D26+1,0)</f>
        <v>0</v>
      </c>
      <c r="AJ6" s="94">
        <f>VLOOKUP($AH$3,Commited_Actual_1stProject!$E$9:$BU$36,$D26+2,0)</f>
        <v>0</v>
      </c>
      <c r="AK6" s="94">
        <f>VLOOKUP($AK$3,Commited_Actual_1stProject!$E$9:$BU$36,$D26,0)</f>
        <v>0</v>
      </c>
      <c r="AL6" s="124">
        <f>VLOOKUP($AK$3,Commited_Actual_1stProject!$E$9:$BU$36,$D26+1,0)</f>
        <v>0</v>
      </c>
      <c r="AM6" s="124">
        <f>VLOOKUP($AK$3,Commited_Actual_1stProject!$E$9:$BU$36,$D26+2,0)</f>
        <v>0</v>
      </c>
      <c r="AN6" s="94">
        <f>VLOOKUP($AN$3,Commited_Actual_1stProject!$E$9:$BU$36,$D26,0)</f>
        <v>0</v>
      </c>
      <c r="AO6" s="94">
        <f>VLOOKUP($AN$3,Commited_Actual_1stProject!$E$9:$BU$36,$D26+1,0)</f>
        <v>0</v>
      </c>
      <c r="AP6" s="94">
        <f>VLOOKUP($AN$3,Commited_Actual_1stProject!$E$9:$BU$36,$D26+2,0)</f>
        <v>0</v>
      </c>
      <c r="AQ6" s="94">
        <f>VLOOKUP($AQ$3,Commited_Actual_1stProject!$E$9:$BU$36,$D26,0)</f>
        <v>0</v>
      </c>
      <c r="AR6" s="94">
        <f>VLOOKUP($AQ$3,Commited_Actual_1stProject!$E$9:$BU$36,$D26+1,0)</f>
        <v>0</v>
      </c>
      <c r="AS6" s="94">
        <f>VLOOKUP($AQ$3,Commited_Actual_1stProject!$E$9:$BU$36,$D26+2,0)</f>
        <v>0</v>
      </c>
      <c r="AT6" s="94">
        <f>VLOOKUP($AT$3,Commited_Actual_1stProject!$E$9:$BU$36,$D26,0)</f>
        <v>0</v>
      </c>
      <c r="AU6" s="94">
        <f>VLOOKUP($AT$3,Commited_Actual_1stProject!$E$9:$BU$36,$D26+1,0)</f>
        <v>0</v>
      </c>
      <c r="AV6" s="94">
        <f>VLOOKUP($AT$3,Commited_Actual_1stProject!$E$9:$BU$36,$D26+2,0)</f>
        <v>0</v>
      </c>
      <c r="AW6" s="94">
        <f>VLOOKUP($AW$3,Commited_Actual_1stProject!$E$9:$BU$36,$D26,0)</f>
        <v>0.05</v>
      </c>
      <c r="AX6" s="94">
        <f>VLOOKUP($AW$3,Commited_Actual_1stProject!$E$9:$BU$36,$D26+1,0)</f>
        <v>0.05</v>
      </c>
      <c r="AY6" s="94">
        <f>VLOOKUP($AW$3,Commited_Actual_1stProject!$E$9:$BU$36,$D26+2,0)</f>
        <v>0</v>
      </c>
      <c r="AZ6" s="94">
        <f>VLOOKUP($AZ$3,Commited_Actual_1stProject!$E$9:$BU$36,$D26,0)</f>
        <v>0</v>
      </c>
      <c r="BA6" s="94">
        <f>VLOOKUP($AZ$3,Commited_Actual_1stProject!$E$9:$BU$36,$D26+1,0)</f>
        <v>0</v>
      </c>
      <c r="BB6" s="94">
        <f>VLOOKUP($AZ$3,Commited_Actual_1stProject!$E$9:$BU$36,$D26+2,0)</f>
        <v>0</v>
      </c>
      <c r="BC6" s="94">
        <f>VLOOKUP($BC$3,Commited_Actual_1stProject!$E$9:$BU$36,$D26,0)</f>
        <v>0.05</v>
      </c>
      <c r="BD6" s="124">
        <f>VLOOKUP($BC$3,Commited_Actual_1stProject!$E$9:$BU$36,$D26+1,0)</f>
        <v>0.25</v>
      </c>
      <c r="BE6" s="124">
        <f>VLOOKUP($BC$3,Commited_Actual_1stProject!$E$9:$BU$36,$D26+2,0)</f>
        <v>0.47</v>
      </c>
      <c r="BF6" s="94"/>
      <c r="BG6" s="94"/>
      <c r="BH6" s="94"/>
      <c r="BI6" s="94">
        <f>VLOOKUP($BI$3,Commited_Actual_1stProject!$E$9:$BU$36,$D26,0)</f>
        <v>0</v>
      </c>
      <c r="BJ6" s="247">
        <f>VLOOKUP($BI$3,Commited_Actual_1stProject!$E$9:$BU$36,$D26+1,0)</f>
        <v>0</v>
      </c>
      <c r="BK6" s="247">
        <f>VLOOKUP($BI$3,Commited_Actual_1stProject!$E$9:$BU$36,$D26+2,0)</f>
        <v>0</v>
      </c>
      <c r="BL6" s="94">
        <f>VLOOKUP($BL$3,Commited_Actual_1stProject!$E$9:$BU$36,$D26,0)</f>
        <v>0.04</v>
      </c>
      <c r="BM6" s="247">
        <f>VLOOKUP($BL$3,Commited_Actual_1stProject!$E$9:$BU$36,$D26+1,0)</f>
        <v>3</v>
      </c>
      <c r="BN6" s="247">
        <f>VLOOKUP($BL$3,Commited_Actual_1stProject!$E$9:$BU$36,$D26+2,0)</f>
        <v>5</v>
      </c>
      <c r="BO6" s="94">
        <f>VLOOKUP($BO$3,Commited_Actual_1stProject!$E$9:$BU$36,$D26,0)</f>
        <v>0.04</v>
      </c>
      <c r="BP6" s="247">
        <f>VLOOKUP($BO$3,Commited_Actual_1stProject!$E$9:$BU$36,$D26+1,0)</f>
        <v>3</v>
      </c>
      <c r="BQ6" s="247">
        <f>VLOOKUP($BO$3,Commited_Actual_1stProject!$E$9:$BU$36,$D26+2,0)</f>
        <v>5</v>
      </c>
      <c r="BR6" s="94">
        <f>VLOOKUP($BR$3,Commited_Actual_1stProject!$E$9:$BU$36,$D26,0)</f>
        <v>0.06</v>
      </c>
      <c r="BS6" s="247">
        <f>VLOOKUP($BR$3,Commited_Actual_1stProject!$E$9:$BU$36,$D26+1,0)</f>
        <v>3</v>
      </c>
      <c r="BT6" s="247">
        <f>VLOOKUP($BR$3,Commited_Actual_1stProject!$E$9:$BU$36,$D26+2,0)</f>
        <v>5</v>
      </c>
      <c r="BU6" s="94">
        <f>VLOOKUP($BU$3,Commited_Actual_1stProject!$E$9:$BU$36,$D26,0)</f>
        <v>0</v>
      </c>
      <c r="BV6" s="94">
        <f>VLOOKUP($BU$3,Commited_Actual_1stProject!$E$9:$BU$36,$D26+1,0)</f>
        <v>0</v>
      </c>
      <c r="BW6" s="94">
        <f>VLOOKUP($BU$3,Commited_Actual_1stProject!$E$9:$BU$36,$D26+2,0)</f>
        <v>0</v>
      </c>
      <c r="BX6" s="94">
        <f>VLOOKUP($BX$3,Commited_Actual_1stProject!$E$9:$BU$36,$D26,0)</f>
        <v>0.06</v>
      </c>
      <c r="BY6" s="247">
        <f>VLOOKUP($BX$3,Commited_Actual_1stProject!$E$9:$BU$36,$D26+1,0)</f>
        <v>10</v>
      </c>
      <c r="BZ6" s="247">
        <f>VLOOKUP($BX$3,Commited_Actual_1stProject!$E$9:$BU$36,$D26+2,0)</f>
        <v>29.76</v>
      </c>
      <c r="CA6" s="94">
        <f>VLOOKUP($CA$3,Commited_Actual_1stProject!$E$9:$BU$36,$D26,0)</f>
        <v>0</v>
      </c>
      <c r="CB6" s="247">
        <f>VLOOKUP($CA$3,Commited_Actual_1stProject!$E$9:$BU$36,$D26+1,0)</f>
        <v>0</v>
      </c>
      <c r="CC6" s="247">
        <f>VLOOKUP($CA$3,Commited_Actual_1stProject!$E$9:$BU$36,$D26+2,0)</f>
        <v>0</v>
      </c>
      <c r="CD6" s="94"/>
      <c r="CE6" s="94"/>
      <c r="CF6" s="94"/>
      <c r="CG6" s="94"/>
      <c r="CH6" s="94"/>
      <c r="CI6" s="94"/>
      <c r="CJ6" s="94">
        <f>VLOOKUP($CJ$3,Commited_Actual_1stProject!$E$9:$BU$36,$D26,0)</f>
        <v>0.1</v>
      </c>
      <c r="CK6" s="247">
        <f>VLOOKUP($CJ$3,Commited_Actual_1stProject!$E$9:$BU$36,$D26+1,0)</f>
        <v>3</v>
      </c>
      <c r="CL6" s="247">
        <f>VLOOKUP($CJ$3,Commited_Actual_1stProject!$E$9:$BU$36,$D26+2,0)</f>
        <v>5</v>
      </c>
      <c r="CM6" s="94"/>
      <c r="CN6" s="94"/>
      <c r="CO6" s="94"/>
      <c r="CP6" s="94"/>
      <c r="CQ6" s="94"/>
      <c r="CR6" s="94"/>
      <c r="CS6" s="94">
        <f>VLOOKUP($CS$3,Commited_Actual_1stProject!$E$9:$BU$36,$D26,0)</f>
        <v>0.06</v>
      </c>
      <c r="CT6" s="94">
        <f>VLOOKUP($CS$3,Commited_Actual_1stProject!$E$9:$BU$36,$D26+1,0)</f>
        <v>0.9</v>
      </c>
      <c r="CU6" s="94">
        <f>VLOOKUP($CS$3,Commited_Actual_1stProject!$E$9:$BU$36,$D26+2,0)</f>
        <v>1</v>
      </c>
      <c r="CV6" s="94"/>
      <c r="CW6" s="94"/>
      <c r="CX6" s="94"/>
      <c r="CY6" s="94"/>
      <c r="CZ6" s="94"/>
      <c r="DA6" s="94"/>
      <c r="DB6" s="94">
        <f>VLOOKUP($DB$3,Commited_Actual_2ndProject!$E$5:$AG$34,$E26,0)</f>
        <v>0</v>
      </c>
      <c r="DC6" s="94">
        <f>VLOOKUP($DB$3,Commited_Actual_2ndProject!$E$5:$AG$34,$E26+1,0)</f>
        <v>0</v>
      </c>
      <c r="DD6" s="94">
        <f>VLOOKUP($DB$3,Commited_Actual_2ndProject!$E$5:$AG$34,$E26+2,0)</f>
        <v>0</v>
      </c>
      <c r="DE6" s="94">
        <f>VLOOKUP($DE$3,Commited_Actual_2ndProject!$E$5:$AG$34,$E26,0)</f>
        <v>0</v>
      </c>
      <c r="DF6" s="94">
        <f>VLOOKUP($DE$3,Commited_Actual_2ndProject!$E$5:$AG$34,$E26+1,0)</f>
        <v>0</v>
      </c>
      <c r="DG6" s="94">
        <f>VLOOKUP($DE$3,Commited_Actual_2ndProject!$E$5:$AG$34,$E26+2,0)</f>
        <v>0</v>
      </c>
      <c r="DH6" s="94">
        <f>VLOOKUP($DH$3,Commited_Actual_2ndProject!$E$5:$AG$34,$E26,0)</f>
        <v>0</v>
      </c>
      <c r="DI6" s="94">
        <f>VLOOKUP($DH$3,Commited_Actual_2ndProject!$E$5:$AG$34,$E26+1,0)</f>
        <v>0</v>
      </c>
      <c r="DJ6" s="94">
        <f>VLOOKUP($DH$3,Commited_Actual_2ndProject!$E$5:$AG$34,$E26+2,0)</f>
        <v>0</v>
      </c>
      <c r="DK6" s="94">
        <f>VLOOKUP($DK$3,Commited_Actual_2ndProject!$E$5:$AG$34,$E26,0)</f>
        <v>0</v>
      </c>
      <c r="DL6" s="94">
        <f>VLOOKUP($DK$3,Commited_Actual_2ndProject!$E$5:$AG$34,$E26+1,0)</f>
        <v>0</v>
      </c>
      <c r="DM6" s="94">
        <f>VLOOKUP($DK$3,Commited_Actual_2ndProject!$E$5:$AG$34,$E26+2,0)</f>
        <v>0</v>
      </c>
      <c r="DN6" s="94">
        <f>VLOOKUP($DN$3,Commited_Actual_2ndProject!$E$5:$AG$34,$E26,0)</f>
        <v>0.04</v>
      </c>
      <c r="DO6" s="247">
        <f>VLOOKUP($DN$3,Commited_Actual_2ndProject!$E$5:$AG$34,$E26+1,0)</f>
        <v>40</v>
      </c>
      <c r="DP6" s="247">
        <f>VLOOKUP($DN$3,Commited_Actual_2ndProject!$E$5:$AG$34,$E26+2,0)</f>
        <v>61.6</v>
      </c>
      <c r="DQ6" s="94">
        <f>VLOOKUP($DQ$3,Commited_Actual_2ndProject!$E$5:$AG$34,$E26,0)</f>
        <v>0.04</v>
      </c>
      <c r="DR6" s="94">
        <f>VLOOKUP($DQ$3,Commited_Actual_2ndProject!$E$5:$AG$34,$E26+1,0)</f>
        <v>60</v>
      </c>
      <c r="DS6" s="94">
        <f>VLOOKUP($DQ$3,Commited_Actual_2ndProject!$E$5:$AG$34,$E26+2,0)</f>
        <v>62.11</v>
      </c>
      <c r="DT6" s="94">
        <f>VLOOKUP($DT$3,Commited_Actual_2ndProject!$E$5:$AG$34,$E26,0)</f>
        <v>0.04</v>
      </c>
      <c r="DU6" s="94">
        <f>VLOOKUP($DT$3,Commited_Actual_2ndProject!$E$5:$AG$34,$E26+1,0)</f>
        <v>40</v>
      </c>
      <c r="DV6" s="94">
        <f>VLOOKUP($DT$3,Commited_Actual_2ndProject!$E$5:$AG$34,$E26+2,0)</f>
        <v>38.35</v>
      </c>
      <c r="DW6" s="94">
        <f>VLOOKUP($DW$3,Commited_Actual_2ndProject!$E$5:$AG$34,$E26,0)</f>
        <v>0.04</v>
      </c>
      <c r="DX6" s="94">
        <f>VLOOKUP($DW$3,Commited_Actual_2ndProject!$E$5:$AG$34,$E26+1,0)</f>
        <v>8</v>
      </c>
      <c r="DY6" s="94">
        <f>VLOOKUP($DW$3,Commited_Actual_2ndProject!$E$5:$AG$34,$E26+2,0)</f>
        <v>14.75</v>
      </c>
      <c r="DZ6" s="94">
        <f>VLOOKUP($DZ$3,Commited_Actual_2ndProject!$E$5:$AG$34,$E26,0)</f>
        <v>0</v>
      </c>
      <c r="EA6" s="94">
        <f>VLOOKUP($DZ$3,Commited_Actual_2ndProject!$E$5:$AG$34,$E26+1,0)</f>
        <v>0</v>
      </c>
      <c r="EB6" s="94">
        <f>VLOOKUP($DZ$3,Commited_Actual_2ndProject!$E$5:$AG$34,$E26+2,0)</f>
        <v>0</v>
      </c>
      <c r="EC6" s="94">
        <f>VLOOKUP($EC$3,Commited_Actual_2ndProject!$E$5:$AG$34,$E26,0)</f>
        <v>0</v>
      </c>
      <c r="ED6" s="94">
        <f>VLOOKUP($EC$3,Commited_Actual_2ndProject!$E$5:$AG$34,$E26+1,0)</f>
        <v>0</v>
      </c>
      <c r="EE6" s="94">
        <f>VLOOKUP($EC$3,Commited_Actual_2ndProject!$E$5:$AG$34,$E26+2,0)</f>
        <v>0</v>
      </c>
      <c r="EF6" s="94">
        <f>VLOOKUP($EF$3,Commited_Actual_2ndProject!$E$5:$AG$34,$E26,0)</f>
        <v>0</v>
      </c>
      <c r="EG6" s="94">
        <f>VLOOKUP($EF$3,Commited_Actual_2ndProject!$E$5:$AG$34,$E26+1,0)</f>
        <v>0</v>
      </c>
      <c r="EH6" s="94">
        <f>VLOOKUP($EF$3,Commited_Actual_2ndProject!$E$5:$AG$34,$E26+2,0)</f>
        <v>0</v>
      </c>
      <c r="EI6" s="94">
        <f>VLOOKUP($EI$3,Commited_Actual_2ndProject!$E$5:$AG$34,$E26,0)</f>
        <v>0</v>
      </c>
      <c r="EJ6" s="94">
        <f>VLOOKUP($EI$3,Commited_Actual_2ndProject!$E$5:$AG$34,$E26+1,0)</f>
        <v>0</v>
      </c>
      <c r="EK6" s="94">
        <f>VLOOKUP($EI$3,Commited_Actual_2ndProject!$E$5:$AG$34,$E26+2,0)</f>
        <v>0</v>
      </c>
      <c r="EL6" s="94">
        <f>VLOOKUP($EL$3,Commited_Actual_2ndProject!$E$5:$AG$34,$E26,0)</f>
        <v>0</v>
      </c>
      <c r="EM6" s="94">
        <f>VLOOKUP($EL$3,Commited_Actual_2ndProject!$E$5:$AG$34,$E26+1,0)</f>
        <v>0</v>
      </c>
      <c r="EN6" s="94">
        <f>VLOOKUP($EL$3,Commited_Actual_2ndProject!$E$5:$AG$34,$E26+2,0)</f>
        <v>0</v>
      </c>
      <c r="EO6" s="94">
        <f>VLOOKUP($EO$3,Commited_Actual_2ndProject!$E$5:$AG$34,$E26,0)</f>
        <v>0</v>
      </c>
      <c r="EP6" s="94">
        <f>VLOOKUP($EO$3,Commited_Actual_2ndProject!$E$5:$AG$34,$E26+1,0)</f>
        <v>0</v>
      </c>
      <c r="EQ6" s="94">
        <f>VLOOKUP($EO$3,Commited_Actual_2ndProject!$E$5:$AG$34,$E26+2,0)</f>
        <v>0</v>
      </c>
      <c r="ER6" s="94">
        <f>VLOOKUP($ER$3,Commited_Actual_2ndProject!$E$5:$AG$34,$E26,0)</f>
        <v>0.05</v>
      </c>
      <c r="ES6" s="94">
        <f>VLOOKUP($ER$3,Commited_Actual_2ndProject!$E$5:$AG$34,$E26+1,0)</f>
        <v>0.05</v>
      </c>
      <c r="ET6" s="94">
        <f>VLOOKUP($ER$3,Commited_Actual_2ndProject!$E$5:$AG$34,$E26+2,0)</f>
        <v>0.04</v>
      </c>
      <c r="EU6" s="94">
        <f>VLOOKUP($EU$3,Commited_Actual_2ndProject!$E$5:$AG$34,$E26,0)</f>
        <v>0</v>
      </c>
      <c r="EV6" s="94">
        <f>VLOOKUP($EU$3,Commited_Actual_2ndProject!$E$5:$AG$34,$E26+1,0)</f>
        <v>0</v>
      </c>
      <c r="EW6" s="94">
        <f>VLOOKUP($EU$3,Commited_Actual_2ndProject!$E$5:$AG$34,$E26+2,0)</f>
        <v>0</v>
      </c>
      <c r="EX6" s="94">
        <f>VLOOKUP($EX$3,Commited_Actual_2ndProject!$E$5:$AG$34,$E26,0)</f>
        <v>0.04</v>
      </c>
      <c r="EY6" s="94">
        <f>VLOOKUP($EX$3,Commited_Actual_2ndProject!$E$5:$AG$34,$E26+1,0)</f>
        <v>0.2</v>
      </c>
      <c r="EZ6" s="94">
        <f>VLOOKUP($EX$3,Commited_Actual_2ndProject!$E$5:$AG$34,$E26+2,0)</f>
        <v>0.2</v>
      </c>
      <c r="FA6" s="94">
        <f>VLOOKUP($FA$3,Commited_Actual_2ndProject!$E$5:$AG$34,$E26,0)</f>
        <v>0.05</v>
      </c>
      <c r="FB6" s="94">
        <f>VLOOKUP($FA$3,Commited_Actual_2ndProject!$E$5:$AG$34,$E26+1,0)</f>
        <v>1</v>
      </c>
      <c r="FC6" s="94">
        <f>VLOOKUP($FA$3,Commited_Actual_2ndProject!$E$5:$AG$34,$E26+2,0)</f>
        <v>1</v>
      </c>
      <c r="FD6" s="96"/>
      <c r="FE6" s="97"/>
      <c r="FF6" s="97"/>
      <c r="FG6" s="96"/>
      <c r="FH6" s="97"/>
      <c r="FI6" s="97"/>
      <c r="FJ6" s="96"/>
      <c r="FK6" s="97"/>
      <c r="FL6" s="97"/>
      <c r="FM6" s="96"/>
      <c r="FN6" s="97"/>
      <c r="FO6" s="97"/>
      <c r="FP6" s="96"/>
      <c r="FQ6" s="97"/>
      <c r="FR6" s="97"/>
      <c r="FS6" s="96"/>
      <c r="FT6" s="97"/>
      <c r="FU6" s="97"/>
      <c r="FV6" s="94"/>
      <c r="FW6" s="187"/>
      <c r="FX6" s="187"/>
      <c r="FY6" s="94"/>
      <c r="FZ6" s="187"/>
      <c r="GA6" s="187"/>
      <c r="GB6" s="94"/>
      <c r="GC6" s="187"/>
      <c r="GD6" s="187"/>
      <c r="GE6" s="94"/>
      <c r="GF6" s="187"/>
      <c r="GG6" s="187"/>
      <c r="GH6" s="94"/>
      <c r="GI6" s="187"/>
      <c r="GJ6" s="187"/>
      <c r="GK6" s="94"/>
      <c r="GL6" s="187"/>
      <c r="GM6" s="187"/>
      <c r="GN6" s="94"/>
      <c r="GO6" s="187"/>
      <c r="GP6" s="187"/>
      <c r="GQ6" s="94"/>
      <c r="GR6" s="95"/>
      <c r="GS6" s="95"/>
      <c r="GT6" s="94"/>
      <c r="GU6" s="187"/>
      <c r="GV6" s="187"/>
      <c r="GW6" s="94"/>
      <c r="GX6" s="187"/>
      <c r="GY6" s="187"/>
      <c r="GZ6" s="96"/>
      <c r="HA6" s="97"/>
      <c r="HB6" s="97"/>
      <c r="HC6" s="94"/>
      <c r="HD6" s="187"/>
      <c r="HE6" s="187"/>
      <c r="HF6" s="96"/>
      <c r="HG6" s="97"/>
      <c r="HH6" s="97"/>
      <c r="HI6" s="94"/>
      <c r="HJ6" s="187"/>
      <c r="HK6" s="187"/>
      <c r="HL6" s="94"/>
      <c r="HM6" s="191"/>
      <c r="HN6" s="191"/>
      <c r="HO6" s="94"/>
      <c r="HP6" s="187"/>
      <c r="HQ6" s="187"/>
      <c r="HR6" s="94"/>
      <c r="HS6" s="187"/>
      <c r="HT6" s="187"/>
      <c r="HU6" s="96"/>
      <c r="HV6" s="97"/>
      <c r="HW6" s="97"/>
      <c r="HX6" s="94"/>
      <c r="HY6" s="187"/>
      <c r="HZ6" s="187"/>
      <c r="IA6" s="94"/>
      <c r="IB6" s="187"/>
      <c r="IC6" s="187"/>
      <c r="ID6" s="94"/>
      <c r="IE6" s="187"/>
      <c r="IF6" s="187"/>
      <c r="IG6" s="94"/>
      <c r="IH6" s="187"/>
      <c r="II6" s="187"/>
      <c r="IJ6" s="94"/>
      <c r="IK6" s="187"/>
      <c r="IL6" s="187"/>
      <c r="IM6" s="94"/>
      <c r="IN6" s="187"/>
      <c r="IO6" s="187"/>
      <c r="IP6" s="94"/>
      <c r="IQ6" s="187"/>
      <c r="IR6" s="187"/>
      <c r="IS6" s="94"/>
      <c r="IT6" s="95"/>
      <c r="IU6" s="95"/>
      <c r="IV6" s="94"/>
      <c r="IW6" s="187"/>
      <c r="IX6" s="187"/>
      <c r="IY6" s="94"/>
      <c r="IZ6" s="187"/>
      <c r="JA6" s="187"/>
      <c r="JB6" s="96"/>
      <c r="JC6" s="97"/>
      <c r="JD6" s="97"/>
      <c r="JE6" s="94"/>
      <c r="JF6" s="187"/>
      <c r="JG6" s="187"/>
      <c r="JH6" s="96"/>
      <c r="JI6" s="97"/>
      <c r="JJ6" s="97"/>
      <c r="JK6" s="94"/>
      <c r="JL6" s="187"/>
      <c r="JM6" s="187"/>
      <c r="JN6" s="94"/>
      <c r="JO6" s="191"/>
      <c r="JP6" s="191"/>
      <c r="JQ6" s="94"/>
      <c r="JR6" s="187"/>
      <c r="JS6" s="187"/>
      <c r="JT6" s="94"/>
      <c r="JU6" s="187"/>
      <c r="JV6" s="187"/>
      <c r="JW6" s="96"/>
      <c r="JX6" s="97"/>
      <c r="JY6" s="97"/>
    </row>
    <row r="7" spans="1:285">
      <c r="A7" s="182">
        <v>7</v>
      </c>
      <c r="B7" s="184"/>
      <c r="C7" s="6">
        <v>2</v>
      </c>
      <c r="D7" s="192" t="s">
        <v>321</v>
      </c>
      <c r="E7" s="24" t="s">
        <v>315</v>
      </c>
      <c r="F7" s="5" t="s">
        <v>33</v>
      </c>
      <c r="G7" s="94">
        <f>VLOOKUP($G$3,Commited_Actual_1stProject!$E$9:$BU$36,$A7,0)</f>
        <v>0.1</v>
      </c>
      <c r="H7" s="247">
        <f>VLOOKUP($G$3,Commited_Actual_1stProject!$E$9:$BU$36,$A7+1,0)</f>
        <v>37</v>
      </c>
      <c r="I7" s="247">
        <f>VLOOKUP($G$3,Commited_Actual_1stProject!$E$9:$BU$36,$A7+2,0)</f>
        <v>37.82</v>
      </c>
      <c r="J7" s="94">
        <f>VLOOKUP($J$3,Commited_Actual_1stProject!$E$9:$BU$36,$A7,0)</f>
        <v>0.1</v>
      </c>
      <c r="K7" s="247">
        <f>VLOOKUP($J$3,Commited_Actual_1stProject!$E$9:$BU$36,$A7+1,0)</f>
        <v>13</v>
      </c>
      <c r="L7" s="247">
        <f>VLOOKUP($J$3,Commited_Actual_1stProject!$E$9:$BU$36,$A7+2,0)</f>
        <v>13.95</v>
      </c>
      <c r="M7" s="94">
        <f>VLOOKUP($M$3,Commited_Actual_1stProject!$E$9:$BU$36,$A7,0)</f>
        <v>0.1</v>
      </c>
      <c r="N7" s="247">
        <f>VLOOKUP($M$3,Commited_Actual_1stProject!$E$9:$BU$36,$A7+1,0)</f>
        <v>15</v>
      </c>
      <c r="O7" s="247">
        <f>VLOOKUP($M$3,Commited_Actual_1stProject!$E$9:$BU$36,$A7+2,0)</f>
        <v>16.059999999999999</v>
      </c>
      <c r="P7" s="94">
        <f>VLOOKUP($P$3,Commited_Actual_1stProject!$E$9:$BU$36,$A7,0)</f>
        <v>0.1</v>
      </c>
      <c r="Q7" s="247">
        <f>VLOOKUP($P$3,Commited_Actual_1stProject!$E$9:$BU$36,$A7+1,0)</f>
        <v>37</v>
      </c>
      <c r="R7" s="247">
        <f>VLOOKUP($P$3,Commited_Actual_1stProject!$E$9:$BU$36,$A7+2,0)</f>
        <v>36.96</v>
      </c>
      <c r="S7" s="94">
        <f>VLOOKUP($S$3,Commited_Actual_1stProject!$E$9:$BU$36,$A7,0)</f>
        <v>0</v>
      </c>
      <c r="T7" s="247">
        <f>VLOOKUP($S$3,Commited_Actual_1stProject!$E$9:$BU$36,$A7+1,0)</f>
        <v>0</v>
      </c>
      <c r="U7" s="247">
        <f>VLOOKUP($S$3,Commited_Actual_1stProject!$E$9:$BU$36,$A7+2,0)</f>
        <v>0</v>
      </c>
      <c r="V7" s="94">
        <f>VLOOKUP($V$3,Commited_Actual_1stProject!$E$9:$BU$36,$A7,0)</f>
        <v>0</v>
      </c>
      <c r="W7" s="247">
        <f>VLOOKUP($V$3,Commited_Actual_1stProject!$E$9:$BU$36,$A7+1,0)</f>
        <v>0</v>
      </c>
      <c r="X7" s="247">
        <f>VLOOKUP($V$3,Commited_Actual_1stProject!$E$9:$BU$36,$A7+2,0)</f>
        <v>0</v>
      </c>
      <c r="Y7" s="94">
        <f>VLOOKUP($Y$3,Commited_Actual_1stProject!$E$9:$BU$36,$A7,0)</f>
        <v>0</v>
      </c>
      <c r="Z7" s="247">
        <f>VLOOKUP($Y$3,Commited_Actual_1stProject!$E$9:$BU$36,$A7+1,0)</f>
        <v>0</v>
      </c>
      <c r="AA7" s="247">
        <f>VLOOKUP($Y$3,Commited_Actual_1stProject!$E$9:$BU$36,$A7+2,0)</f>
        <v>0</v>
      </c>
      <c r="AB7" s="94">
        <f>VLOOKUP($AB$3,Commited_Actual_1stProject!$E$9:$BU$36,$A7,0)</f>
        <v>0</v>
      </c>
      <c r="AC7" s="247">
        <f>VLOOKUP($AB$3,Commited_Actual_1stProject!$E$9:$BU$36,$A7+1,0)</f>
        <v>0</v>
      </c>
      <c r="AD7" s="247">
        <f>VLOOKUP($AB$3,Commited_Actual_1stProject!$E$9:$BU$36,$A7+2,0)</f>
        <v>0</v>
      </c>
      <c r="AE7" s="94">
        <f>VLOOKUP($AE$3,Commited_Actual_1stProject!$E$9:$BU$36,$A7,0)</f>
        <v>0</v>
      </c>
      <c r="AF7" s="247">
        <f>VLOOKUP($AE$3,Commited_Actual_1stProject!$E$9:$BU$36,$A7+1,0)</f>
        <v>0</v>
      </c>
      <c r="AG7" s="247">
        <f>VLOOKUP($AE$3,Commited_Actual_1stProject!$E$9:$BU$36,$A7+2,0)</f>
        <v>0</v>
      </c>
      <c r="AH7" s="94">
        <f>VLOOKUP($AH$3,Commited_Actual_1stProject!$E$9:$BU$36,$A7,0)</f>
        <v>0.05</v>
      </c>
      <c r="AI7" s="124">
        <f>VLOOKUP($AH$3,Commited_Actual_1stProject!$E$9:$BU$36,$A7+1,0)</f>
        <v>0.05</v>
      </c>
      <c r="AJ7" s="94">
        <f>VLOOKUP($AH$3,Commited_Actual_1stProject!$E$9:$BU$36,$A7+2,0)</f>
        <v>0.05</v>
      </c>
      <c r="AK7" s="94">
        <f>VLOOKUP($AK$3,Commited_Actual_1stProject!$E$9:$BU$36,$A7,0)</f>
        <v>0</v>
      </c>
      <c r="AL7" s="124">
        <f>VLOOKUP($AK$3,Commited_Actual_1stProject!$E$9:$BU$36,$A7+1,0)</f>
        <v>0</v>
      </c>
      <c r="AM7" s="124">
        <f>VLOOKUP($AK$3,Commited_Actual_1stProject!$E$9:$BU$36,$A7+2,0)</f>
        <v>0</v>
      </c>
      <c r="AN7" s="94">
        <f>VLOOKUP($AN$3,Commited_Actual_1stProject!$E$9:$BU$36,$A7,0)</f>
        <v>0.1</v>
      </c>
      <c r="AO7" s="94">
        <f>VLOOKUP($AN$3,Commited_Actual_1stProject!$E$9:$BU$36,$A7+1,0)</f>
        <v>0.05</v>
      </c>
      <c r="AP7" s="94">
        <f>VLOOKUP($AN$3,Commited_Actual_1stProject!$E$9:$BU$36,$A7+2,0)</f>
        <v>0.01</v>
      </c>
      <c r="AQ7" s="94">
        <f>VLOOKUP($AQ$3,Commited_Actual_1stProject!$E$9:$BU$36,$A7,0)</f>
        <v>0</v>
      </c>
      <c r="AR7" s="247">
        <f>VLOOKUP($AQ$3,Commited_Actual_1stProject!$E$9:$BU$36,$A7+1,0)</f>
        <v>0</v>
      </c>
      <c r="AS7" s="247">
        <f>VLOOKUP($AQ$3,Commited_Actual_1stProject!$E$9:$BU$36,$A7+2,0)</f>
        <v>0</v>
      </c>
      <c r="AT7" s="94">
        <f>VLOOKUP($AT$3,Commited_Actual_1stProject!$E$9:$BU$36,$A7,0)</f>
        <v>0.1</v>
      </c>
      <c r="AU7" s="94">
        <f>VLOOKUP($AT$3,Commited_Actual_1stProject!$E$9:$BU$36,$A7+1,0)</f>
        <v>0.1</v>
      </c>
      <c r="AV7" s="94">
        <f>VLOOKUP($AT$3,Commited_Actual_1stProject!$E$9:$BU$36,$A7+2,0)</f>
        <v>0.02</v>
      </c>
      <c r="AW7" s="94">
        <f>VLOOKUP($AW$3,Commited_Actual_1stProject!$E$9:$BU$36,$A7,0)</f>
        <v>0</v>
      </c>
      <c r="AX7" s="247">
        <f>VLOOKUP($AW$3,Commited_Actual_1stProject!$E$9:$BU$36,$A7+1,0)</f>
        <v>0</v>
      </c>
      <c r="AY7" s="247">
        <f>VLOOKUP($AW$3,Commited_Actual_1stProject!$E$9:$BU$36,$A7+2,0)</f>
        <v>0</v>
      </c>
      <c r="AZ7" s="94">
        <f>VLOOKUP($AZ$3,Commited_Actual_1stProject!$E$9:$BU$36,$A7,0)</f>
        <v>0</v>
      </c>
      <c r="BA7" s="247">
        <f>VLOOKUP($AZ$3,Commited_Actual_1stProject!$E$9:$BU$36,$A7+1,0)</f>
        <v>0</v>
      </c>
      <c r="BB7" s="247">
        <f>VLOOKUP($AZ$3,Commited_Actual_1stProject!$E$9:$BU$36,$A7+2,0)</f>
        <v>0</v>
      </c>
      <c r="BC7" s="94">
        <f>VLOOKUP($BC$3,Commited_Actual_1stProject!$E$9:$BU$36,$A7,0)</f>
        <v>0.1</v>
      </c>
      <c r="BD7" s="124">
        <f>VLOOKUP($BC$3,Commited_Actual_1stProject!$E$9:$BU$36,$A7+1,0)</f>
        <v>0.25</v>
      </c>
      <c r="BE7" s="124">
        <f>VLOOKUP($BC$3,Commited_Actual_1stProject!$E$9:$BU$36,$A7+2,0)</f>
        <v>0.32</v>
      </c>
      <c r="BF7" s="94"/>
      <c r="BG7" s="247"/>
      <c r="BH7" s="247"/>
      <c r="BI7" s="94">
        <f>VLOOKUP($BI$3,Commited_Actual_1stProject!$E$9:$BU$36,$A7,0)</f>
        <v>0.05</v>
      </c>
      <c r="BJ7" s="247">
        <f>VLOOKUP($BI$3,Commited_Actual_1stProject!$E$9:$BU$36,$A7+1,0)</f>
        <v>600</v>
      </c>
      <c r="BK7" s="247">
        <f>VLOOKUP($BI$3,Commited_Actual_1stProject!$E$9:$BU$36,$A7+2,0)</f>
        <v>870</v>
      </c>
      <c r="BL7" s="94">
        <f>VLOOKUP($BL$3,Commited_Actual_1stProject!$E$9:$BU$36,$A7,0)</f>
        <v>0.04</v>
      </c>
      <c r="BM7" s="247">
        <f>VLOOKUP($BL$3,Commited_Actual_1stProject!$E$9:$BU$36,$A7+1,0)</f>
        <v>3</v>
      </c>
      <c r="BN7" s="247">
        <f>VLOOKUP($BL$3,Commited_Actual_1stProject!$E$9:$BU$36,$A7+2,0)</f>
        <v>3</v>
      </c>
      <c r="BO7" s="94">
        <f>VLOOKUP($BO$3,Commited_Actual_1stProject!$E$9:$BU$36,$A7,0)</f>
        <v>0.03</v>
      </c>
      <c r="BP7" s="247">
        <f>VLOOKUP($BO$3,Commited_Actual_1stProject!$E$9:$BU$36,$A7+1,0)</f>
        <v>3</v>
      </c>
      <c r="BQ7" s="247">
        <f>VLOOKUP($BO$3,Commited_Actual_1stProject!$E$9:$BU$36,$A7+2,0)</f>
        <v>3</v>
      </c>
      <c r="BR7" s="94">
        <f>VLOOKUP($BR$3,Commited_Actual_1stProject!$E$9:$BU$36,$A7,0)</f>
        <v>0.03</v>
      </c>
      <c r="BS7" s="247">
        <f>VLOOKUP($BR$3,Commited_Actual_1stProject!$E$9:$BU$36,$A7+1,0)</f>
        <v>3</v>
      </c>
      <c r="BT7" s="247">
        <f>VLOOKUP($BR$3,Commited_Actual_1stProject!$E$9:$BU$36,$A7+2,0)</f>
        <v>3</v>
      </c>
      <c r="BU7" s="94">
        <f>VLOOKUP($BU$3,Commited_Actual_1stProject!$E$9:$BU$36,$A7,0)</f>
        <v>0</v>
      </c>
      <c r="BV7" s="247">
        <f>VLOOKUP($BU$3,Commited_Actual_1stProject!$E$9:$BU$36,$A7+1,0)</f>
        <v>0</v>
      </c>
      <c r="BW7" s="247">
        <f>VLOOKUP($BU$3,Commited_Actual_1stProject!$E$9:$BU$36,$A7+2,0)</f>
        <v>0</v>
      </c>
      <c r="BX7" s="94">
        <f>VLOOKUP($BX$3,Commited_Actual_1stProject!$E$9:$BU$36,$A7,0)</f>
        <v>0.05</v>
      </c>
      <c r="BY7" s="247">
        <f>VLOOKUP($BX$3,Commited_Actual_1stProject!$E$9:$BU$36,$A7+1,0)</f>
        <v>10</v>
      </c>
      <c r="BZ7" s="247">
        <f>VLOOKUP($BX$3,Commited_Actual_1stProject!$E$9:$BU$36,$A7+2,0)</f>
        <v>56.5</v>
      </c>
      <c r="CA7" s="94">
        <f>VLOOKUP($CA$3,Commited_Actual_1stProject!$E$9:$BU$36,$A7,0)</f>
        <v>0</v>
      </c>
      <c r="CB7" s="247">
        <f>VLOOKUP($CA$3,Commited_Actual_1stProject!$E$9:$BU$36,$A7+1,0)</f>
        <v>0</v>
      </c>
      <c r="CC7" s="247">
        <f>VLOOKUP($CA$3,Commited_Actual_1stProject!$E$9:$BU$36,$A7+2,0)</f>
        <v>0</v>
      </c>
      <c r="CD7" s="94"/>
      <c r="CE7" s="247"/>
      <c r="CF7" s="247"/>
      <c r="CG7" s="94"/>
      <c r="CH7" s="247"/>
      <c r="CI7" s="247"/>
      <c r="CJ7" s="94">
        <f>VLOOKUP($CJ$3,Commited_Actual_1stProject!$E$9:$BU$36,$A7,0)</f>
        <v>0.05</v>
      </c>
      <c r="CK7" s="247">
        <f>VLOOKUP($CJ$3,Commited_Actual_1stProject!$E$9:$BU$36,$A7+1,0)</f>
        <v>3</v>
      </c>
      <c r="CL7" s="247">
        <f>VLOOKUP($CJ$3,Commited_Actual_1stProject!$E$9:$BU$36,$A7+2,0)</f>
        <v>3</v>
      </c>
      <c r="CM7" s="94"/>
      <c r="CN7" s="247"/>
      <c r="CO7" s="247"/>
      <c r="CP7" s="94"/>
      <c r="CQ7" s="247"/>
      <c r="CR7" s="247"/>
      <c r="CS7" s="94">
        <f>VLOOKUP($CS$3,Commited_Actual_1stProject!$E$9:$BU$36,$A7,0)</f>
        <v>0</v>
      </c>
      <c r="CT7" s="247">
        <f>VLOOKUP($CS$3,Commited_Actual_1stProject!$E$9:$BU$36,$A7+1,0)</f>
        <v>0</v>
      </c>
      <c r="CU7" s="247">
        <f>VLOOKUP($CS$3,Commited_Actual_1stProject!$E$9:$BU$36,$A7+2,0)</f>
        <v>0</v>
      </c>
      <c r="CV7" s="94"/>
      <c r="CW7" s="247"/>
      <c r="CX7" s="247"/>
      <c r="CY7" s="94"/>
      <c r="CZ7" s="247"/>
      <c r="DA7" s="247"/>
      <c r="DB7" s="94"/>
      <c r="DC7" s="94"/>
      <c r="DD7" s="94"/>
      <c r="DE7" s="94"/>
      <c r="DF7" s="94"/>
      <c r="DG7" s="94"/>
      <c r="DH7" s="94"/>
      <c r="DI7" s="94"/>
      <c r="DJ7" s="94"/>
      <c r="DK7" s="94"/>
      <c r="DL7" s="94"/>
      <c r="DM7" s="94"/>
      <c r="DN7" s="94"/>
      <c r="DO7" s="247"/>
      <c r="DP7" s="247"/>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6"/>
      <c r="FB7" s="97"/>
      <c r="FC7" s="97"/>
      <c r="FD7" s="96"/>
      <c r="FE7" s="97"/>
      <c r="FF7" s="97"/>
      <c r="FG7" s="96"/>
      <c r="FH7" s="97"/>
      <c r="FI7" s="97"/>
      <c r="FJ7" s="96"/>
      <c r="FK7" s="97"/>
      <c r="FL7" s="97"/>
      <c r="FM7" s="96"/>
      <c r="FN7" s="97"/>
      <c r="FO7" s="97"/>
      <c r="FP7" s="96"/>
      <c r="FQ7" s="97"/>
      <c r="FR7" s="97"/>
      <c r="FS7" s="96"/>
      <c r="FT7" s="97"/>
      <c r="FU7" s="97"/>
      <c r="FV7" s="94"/>
      <c r="FW7" s="187"/>
      <c r="FX7" s="187"/>
      <c r="FY7" s="94"/>
      <c r="FZ7" s="187"/>
      <c r="GA7" s="187"/>
      <c r="GB7" s="94"/>
      <c r="GC7" s="187"/>
      <c r="GD7" s="187"/>
      <c r="GE7" s="94"/>
      <c r="GF7" s="187"/>
      <c r="GG7" s="187"/>
      <c r="GH7" s="94"/>
      <c r="GI7" s="187"/>
      <c r="GJ7" s="187"/>
      <c r="GK7" s="94"/>
      <c r="GL7" s="187"/>
      <c r="GM7" s="187"/>
      <c r="GN7" s="94"/>
      <c r="GO7" s="187"/>
      <c r="GP7" s="187"/>
      <c r="GQ7" s="94"/>
      <c r="GR7" s="95"/>
      <c r="GS7" s="95"/>
      <c r="GT7" s="94"/>
      <c r="GU7" s="187"/>
      <c r="GV7" s="187"/>
      <c r="GW7" s="94"/>
      <c r="GX7" s="187"/>
      <c r="GY7" s="187"/>
      <c r="GZ7" s="96"/>
      <c r="HA7" s="97"/>
      <c r="HB7" s="97"/>
      <c r="HC7" s="94"/>
      <c r="HD7" s="187"/>
      <c r="HE7" s="187"/>
      <c r="HF7" s="96"/>
      <c r="HG7" s="124"/>
      <c r="HH7" s="124"/>
      <c r="HI7" s="94"/>
      <c r="HJ7" s="187"/>
      <c r="HK7" s="187"/>
      <c r="HL7" s="94"/>
      <c r="HM7" s="191"/>
      <c r="HN7" s="191"/>
      <c r="HO7" s="94"/>
      <c r="HP7" s="187"/>
      <c r="HQ7" s="187"/>
      <c r="HR7" s="94"/>
      <c r="HS7" s="187"/>
      <c r="HT7" s="187"/>
      <c r="HU7" s="96"/>
      <c r="HV7" s="97"/>
      <c r="HW7" s="97"/>
      <c r="HX7" s="94"/>
      <c r="HY7" s="187"/>
      <c r="HZ7" s="187"/>
      <c r="IA7" s="94"/>
      <c r="IB7" s="187"/>
      <c r="IC7" s="187"/>
      <c r="ID7" s="94"/>
      <c r="IE7" s="187"/>
      <c r="IF7" s="187"/>
      <c r="IG7" s="94"/>
      <c r="IH7" s="187"/>
      <c r="II7" s="187"/>
      <c r="IJ7" s="94"/>
      <c r="IK7" s="187"/>
      <c r="IL7" s="187"/>
      <c r="IM7" s="94"/>
      <c r="IN7" s="187"/>
      <c r="IO7" s="187"/>
      <c r="IP7" s="94"/>
      <c r="IQ7" s="187"/>
      <c r="IR7" s="187"/>
      <c r="IS7" s="94"/>
      <c r="IT7" s="95"/>
      <c r="IU7" s="95"/>
      <c r="IV7" s="94"/>
      <c r="IW7" s="187"/>
      <c r="IX7" s="187"/>
      <c r="IY7" s="94"/>
      <c r="IZ7" s="187"/>
      <c r="JA7" s="187"/>
      <c r="JB7" s="96"/>
      <c r="JC7" s="97"/>
      <c r="JD7" s="97"/>
      <c r="JE7" s="94"/>
      <c r="JF7" s="187"/>
      <c r="JG7" s="187"/>
      <c r="JH7" s="96"/>
      <c r="JI7" s="124"/>
      <c r="JJ7" s="124"/>
      <c r="JK7" s="94"/>
      <c r="JL7" s="187"/>
      <c r="JM7" s="187"/>
      <c r="JN7" s="94"/>
      <c r="JO7" s="191"/>
      <c r="JP7" s="191"/>
      <c r="JQ7" s="94"/>
      <c r="JR7" s="187"/>
      <c r="JS7" s="187"/>
      <c r="JT7" s="94"/>
      <c r="JU7" s="187"/>
      <c r="JV7" s="187"/>
      <c r="JW7" s="96"/>
      <c r="JX7" s="97"/>
      <c r="JY7" s="97"/>
    </row>
    <row r="8" spans="1:285">
      <c r="A8" s="182">
        <v>12</v>
      </c>
      <c r="B8" s="184"/>
      <c r="C8" s="6">
        <v>3</v>
      </c>
      <c r="D8" s="192" t="s">
        <v>322</v>
      </c>
      <c r="E8" s="24" t="s">
        <v>315</v>
      </c>
      <c r="F8" s="5" t="s">
        <v>33</v>
      </c>
      <c r="G8" s="94">
        <f>VLOOKUP($G$3,Commited_Actual_1stProject!$E$9:$BU$36,$A8,0)</f>
        <v>0.1</v>
      </c>
      <c r="H8" s="247">
        <f>VLOOKUP($G$3,Commited_Actual_1stProject!$E$9:$BU$36,$A8+1,0)</f>
        <v>38</v>
      </c>
      <c r="I8" s="247">
        <f>VLOOKUP($G$3,Commited_Actual_1stProject!$E$9:$BU$36,$A8+2,0)</f>
        <v>38.700000000000003</v>
      </c>
      <c r="J8" s="94">
        <f>VLOOKUP($J$3,Commited_Actual_1stProject!$E$9:$BU$36,$A8,0)</f>
        <v>0.1</v>
      </c>
      <c r="K8" s="247">
        <f>VLOOKUP($J$3,Commited_Actual_1stProject!$E$9:$BU$36,$A8+1,0)</f>
        <v>9</v>
      </c>
      <c r="L8" s="247">
        <f>VLOOKUP($J$3,Commited_Actual_1stProject!$E$9:$BU$36,$A8+2,0)</f>
        <v>13.23</v>
      </c>
      <c r="M8" s="94">
        <f>VLOOKUP($M$3,Commited_Actual_1stProject!$E$9:$BU$36,$A8,0)</f>
        <v>0.1</v>
      </c>
      <c r="N8" s="247">
        <f>VLOOKUP($M$3,Commited_Actual_1stProject!$E$9:$BU$36,$A8+1,0)</f>
        <v>11</v>
      </c>
      <c r="O8" s="247">
        <f>VLOOKUP($M$3,Commited_Actual_1stProject!$E$9:$BU$36,$A8+2,0)</f>
        <v>10.91</v>
      </c>
      <c r="P8" s="94">
        <f>VLOOKUP($P$3,Commited_Actual_1stProject!$E$9:$BU$36,$A8,0)</f>
        <v>0.1</v>
      </c>
      <c r="Q8" s="247">
        <f>VLOOKUP($P$3,Commited_Actual_1stProject!$E$9:$BU$36,$A8+1,0)</f>
        <v>30</v>
      </c>
      <c r="R8" s="247">
        <f>VLOOKUP($P$3,Commited_Actual_1stProject!$E$9:$BU$36,$A8+2,0)</f>
        <v>29.3</v>
      </c>
      <c r="S8" s="94">
        <f>VLOOKUP($S$3,Commited_Actual_1stProject!$E$9:$BU$36,$A8,0)</f>
        <v>0</v>
      </c>
      <c r="T8" s="247">
        <f>VLOOKUP($S$3,Commited_Actual_1stProject!$E$9:$BU$36,$A8+1,0)</f>
        <v>0</v>
      </c>
      <c r="U8" s="247">
        <f>VLOOKUP($S$3,Commited_Actual_1stProject!$E$9:$BU$36,$A8+2,0)</f>
        <v>0</v>
      </c>
      <c r="V8" s="94">
        <f>VLOOKUP($V$3,Commited_Actual_1stProject!$E$9:$BU$36,$A8,0)</f>
        <v>0</v>
      </c>
      <c r="W8" s="247">
        <f>VLOOKUP($V$3,Commited_Actual_1stProject!$E$9:$BU$36,$A8+1,0)</f>
        <v>0</v>
      </c>
      <c r="X8" s="247">
        <f>VLOOKUP($V$3,Commited_Actual_1stProject!$E$9:$BU$36,$A8+2,0)</f>
        <v>0</v>
      </c>
      <c r="Y8" s="94">
        <f>VLOOKUP($Y$3,Commited_Actual_1stProject!$E$9:$BU$36,$A8,0)</f>
        <v>0</v>
      </c>
      <c r="Z8" s="247">
        <f>VLOOKUP($Y$3,Commited_Actual_1stProject!$E$9:$BU$36,$A8+1,0)</f>
        <v>0</v>
      </c>
      <c r="AA8" s="247">
        <f>VLOOKUP($Y$3,Commited_Actual_1stProject!$E$9:$BU$36,$A8+2,0)</f>
        <v>0</v>
      </c>
      <c r="AB8" s="94">
        <f>VLOOKUP($AB$3,Commited_Actual_1stProject!$E$9:$BU$36,$A8,0)</f>
        <v>0</v>
      </c>
      <c r="AC8" s="247">
        <f>VLOOKUP($AB$3,Commited_Actual_1stProject!$E$9:$BU$36,$A8+1,0)</f>
        <v>0</v>
      </c>
      <c r="AD8" s="247">
        <f>VLOOKUP($AB$3,Commited_Actual_1stProject!$E$9:$BU$36,$A8+2,0)</f>
        <v>0</v>
      </c>
      <c r="AE8" s="94">
        <f>VLOOKUP($AE$3,Commited_Actual_1stProject!$E$9:$BU$36,$A8,0)</f>
        <v>0</v>
      </c>
      <c r="AF8" s="247">
        <f>VLOOKUP($AE$3,Commited_Actual_1stProject!$E$9:$BU$36,$A8+1,0)</f>
        <v>0</v>
      </c>
      <c r="AG8" s="247">
        <f>VLOOKUP($AE$3,Commited_Actual_1stProject!$E$9:$BU$36,$A8+2,0)</f>
        <v>0</v>
      </c>
      <c r="AH8" s="94">
        <f>VLOOKUP($AH$3,Commited_Actual_1stProject!$E$9:$BU$36,$A8,0)</f>
        <v>0.05</v>
      </c>
      <c r="AI8" s="124">
        <f>VLOOKUP($AH$3,Commited_Actual_1stProject!$E$9:$BU$36,$A8+1,0)</f>
        <v>0.05</v>
      </c>
      <c r="AJ8" s="94">
        <f>VLOOKUP($AH$3,Commited_Actual_1stProject!$E$9:$BU$36,$A8+2,0)</f>
        <v>0</v>
      </c>
      <c r="AK8" s="94">
        <f>VLOOKUP($AK$3,Commited_Actual_1stProject!$E$9:$BU$36,$A8,0)</f>
        <v>0</v>
      </c>
      <c r="AL8" s="124">
        <f>VLOOKUP($AK$3,Commited_Actual_1stProject!$E$9:$BU$36,$A8+1,0)</f>
        <v>0</v>
      </c>
      <c r="AM8" s="124">
        <f>VLOOKUP($AK$3,Commited_Actual_1stProject!$E$9:$BU$36,$A8+2,0)</f>
        <v>0</v>
      </c>
      <c r="AN8" s="94">
        <f>VLOOKUP($AN$3,Commited_Actual_1stProject!$E$9:$BU$36,$A8,0)</f>
        <v>0.1</v>
      </c>
      <c r="AO8" s="94">
        <f>VLOOKUP($AN$3,Commited_Actual_1stProject!$E$9:$BU$36,$A8+1,0)</f>
        <v>0.05</v>
      </c>
      <c r="AP8" s="94">
        <f>VLOOKUP($AN$3,Commited_Actual_1stProject!$E$9:$BU$36,$A8+2,0)</f>
        <v>0.01</v>
      </c>
      <c r="AQ8" s="94">
        <f>VLOOKUP($AQ$3,Commited_Actual_1stProject!$E$9:$BU$36,$A8,0)</f>
        <v>0</v>
      </c>
      <c r="AR8" s="247">
        <f>VLOOKUP($AQ$3,Commited_Actual_1stProject!$E$9:$BU$36,$A8+1,0)</f>
        <v>0</v>
      </c>
      <c r="AS8" s="247">
        <f>VLOOKUP($AQ$3,Commited_Actual_1stProject!$E$9:$BU$36,$A8+2,0)</f>
        <v>0</v>
      </c>
      <c r="AT8" s="94">
        <f>VLOOKUP($AT$3,Commited_Actual_1stProject!$E$9:$BU$36,$A8,0)</f>
        <v>0.1</v>
      </c>
      <c r="AU8" s="94">
        <f>VLOOKUP($AT$3,Commited_Actual_1stProject!$E$9:$BU$36,$A8+1,0)</f>
        <v>0.1</v>
      </c>
      <c r="AV8" s="94">
        <f>VLOOKUP($AT$3,Commited_Actual_1stProject!$E$9:$BU$36,$A8+2,0)</f>
        <v>0.01</v>
      </c>
      <c r="AW8" s="94">
        <f>VLOOKUP($AW$3,Commited_Actual_1stProject!$E$9:$BU$36,$A8,0)</f>
        <v>0</v>
      </c>
      <c r="AX8" s="247">
        <f>VLOOKUP($AW$3,Commited_Actual_1stProject!$E$9:$BU$36,$A8+1,0)</f>
        <v>0</v>
      </c>
      <c r="AY8" s="247">
        <f>VLOOKUP($AW$3,Commited_Actual_1stProject!$E$9:$BU$36,$A8+2,0)</f>
        <v>0</v>
      </c>
      <c r="AZ8" s="94">
        <f>VLOOKUP($AZ$3,Commited_Actual_1stProject!$E$9:$BU$36,$A8,0)</f>
        <v>0</v>
      </c>
      <c r="BA8" s="247">
        <f>VLOOKUP($AZ$3,Commited_Actual_1stProject!$E$9:$BU$36,$A8+1,0)</f>
        <v>0</v>
      </c>
      <c r="BB8" s="247">
        <f>VLOOKUP($AZ$3,Commited_Actual_1stProject!$E$9:$BU$36,$A8+2,0)</f>
        <v>0</v>
      </c>
      <c r="BC8" s="94">
        <f>VLOOKUP($BC$3,Commited_Actual_1stProject!$E$9:$BU$36,$A8,0)</f>
        <v>0.05</v>
      </c>
      <c r="BD8" s="124">
        <f>VLOOKUP($BC$3,Commited_Actual_1stProject!$E$9:$BU$36,$A8+1,0)</f>
        <v>0.25</v>
      </c>
      <c r="BE8" s="124">
        <f>VLOOKUP($BC$3,Commited_Actual_1stProject!$E$9:$BU$36,$A8+2,0)</f>
        <v>0.35</v>
      </c>
      <c r="BF8" s="94"/>
      <c r="BG8" s="247"/>
      <c r="BH8" s="247"/>
      <c r="BI8" s="94">
        <f>VLOOKUP($BI$3,Commited_Actual_1stProject!$E$9:$BU$36,$A8,0)</f>
        <v>0</v>
      </c>
      <c r="BJ8" s="247">
        <f>VLOOKUP($BI$3,Commited_Actual_1stProject!$E$9:$BU$36,$A8+1,0)</f>
        <v>0</v>
      </c>
      <c r="BK8" s="247">
        <f>VLOOKUP($BI$3,Commited_Actual_1stProject!$E$9:$BU$36,$A8+2,0)</f>
        <v>0</v>
      </c>
      <c r="BL8" s="94">
        <f>VLOOKUP($BL$3,Commited_Actual_1stProject!$E$9:$BU$36,$A8,0)</f>
        <v>0.05</v>
      </c>
      <c r="BM8" s="247">
        <f>VLOOKUP($BL$3,Commited_Actual_1stProject!$E$9:$BU$36,$A8+1,0)</f>
        <v>3</v>
      </c>
      <c r="BN8" s="247">
        <f>VLOOKUP($BL$3,Commited_Actual_1stProject!$E$9:$BU$36,$A8+2,0)</f>
        <v>3</v>
      </c>
      <c r="BO8" s="94">
        <f>VLOOKUP($BO$3,Commited_Actual_1stProject!$E$9:$BU$36,$A8,0)</f>
        <v>0.05</v>
      </c>
      <c r="BP8" s="247">
        <f>VLOOKUP($BO$3,Commited_Actual_1stProject!$E$9:$BU$36,$A8+1,0)</f>
        <v>3</v>
      </c>
      <c r="BQ8" s="247">
        <f>VLOOKUP($BO$3,Commited_Actual_1stProject!$E$9:$BU$36,$A8+2,0)</f>
        <v>3</v>
      </c>
      <c r="BR8" s="94">
        <f>VLOOKUP($BR$3,Commited_Actual_1stProject!$E$9:$BU$36,$A8,0)</f>
        <v>0.05</v>
      </c>
      <c r="BS8" s="247">
        <f>VLOOKUP($BR$3,Commited_Actual_1stProject!$E$9:$BU$36,$A8+1,0)</f>
        <v>3</v>
      </c>
      <c r="BT8" s="247">
        <f>VLOOKUP($BR$3,Commited_Actual_1stProject!$E$9:$BU$36,$A8+2,0)</f>
        <v>4</v>
      </c>
      <c r="BU8" s="94">
        <f>VLOOKUP($BU$3,Commited_Actual_1stProject!$E$9:$BU$36,$A8,0)</f>
        <v>0</v>
      </c>
      <c r="BV8" s="247">
        <f>VLOOKUP($BU$3,Commited_Actual_1stProject!$E$9:$BU$36,$A8+1,0)</f>
        <v>0</v>
      </c>
      <c r="BW8" s="247">
        <f>VLOOKUP($BU$3,Commited_Actual_1stProject!$E$9:$BU$36,$A8+2,0)</f>
        <v>0</v>
      </c>
      <c r="BX8" s="94">
        <f>VLOOKUP($BX$3,Commited_Actual_1stProject!$E$9:$BU$36,$A8,0)</f>
        <v>0.05</v>
      </c>
      <c r="BY8" s="247">
        <f>VLOOKUP($BX$3,Commited_Actual_1stProject!$E$9:$BU$36,$A8+1,0)</f>
        <v>10</v>
      </c>
      <c r="BZ8" s="247">
        <f>VLOOKUP($BX$3,Commited_Actual_1stProject!$E$9:$BU$36,$A8+2,0)</f>
        <v>96</v>
      </c>
      <c r="CA8" s="94">
        <f>VLOOKUP($CA$3,Commited_Actual_1stProject!$E$9:$BU$36,$A8,0)</f>
        <v>0</v>
      </c>
      <c r="CB8" s="247">
        <f>VLOOKUP($CA$3,Commited_Actual_1stProject!$E$9:$BU$36,$A8+1,0)</f>
        <v>0</v>
      </c>
      <c r="CC8" s="247">
        <f>VLOOKUP($CA$3,Commited_Actual_1stProject!$E$9:$BU$36,$A8+2,0)</f>
        <v>0</v>
      </c>
      <c r="CD8" s="94"/>
      <c r="CE8" s="247"/>
      <c r="CF8" s="247"/>
      <c r="CG8" s="94"/>
      <c r="CH8" s="247"/>
      <c r="CI8" s="247"/>
      <c r="CJ8" s="94">
        <f>VLOOKUP($CJ$3,Commited_Actual_1stProject!$E$9:$BU$36,$A8,0)</f>
        <v>0.1</v>
      </c>
      <c r="CK8" s="247">
        <f>VLOOKUP($CJ$3,Commited_Actual_1stProject!$E$9:$BU$36,$A8+1,0)</f>
        <v>3</v>
      </c>
      <c r="CL8" s="247">
        <f>VLOOKUP($CJ$3,Commited_Actual_1stProject!$E$9:$BU$36,$A8+2,0)</f>
        <v>3</v>
      </c>
      <c r="CM8" s="94"/>
      <c r="CN8" s="247"/>
      <c r="CO8" s="247"/>
      <c r="CP8" s="94"/>
      <c r="CQ8" s="247"/>
      <c r="CR8" s="247"/>
      <c r="CS8" s="94">
        <f>VLOOKUP($CS$3,Commited_Actual_1stProject!$E$9:$BU$36,$A8,0)</f>
        <v>0</v>
      </c>
      <c r="CT8" s="247">
        <f>VLOOKUP($CS$3,Commited_Actual_1stProject!$E$9:$BU$36,$A8+1,0)</f>
        <v>0</v>
      </c>
      <c r="CU8" s="247">
        <f>VLOOKUP($CS$3,Commited_Actual_1stProject!$E$9:$BU$36,$A8+2,0)</f>
        <v>0</v>
      </c>
      <c r="CV8" s="94"/>
      <c r="CW8" s="247"/>
      <c r="CX8" s="247"/>
      <c r="CY8" s="94"/>
      <c r="CZ8" s="247"/>
      <c r="DA8" s="247"/>
      <c r="DB8" s="94"/>
      <c r="DC8" s="94"/>
      <c r="DD8" s="94"/>
      <c r="DE8" s="94"/>
      <c r="DF8" s="94"/>
      <c r="DG8" s="94"/>
      <c r="DH8" s="94"/>
      <c r="DI8" s="94"/>
      <c r="DJ8" s="94"/>
      <c r="DK8" s="94"/>
      <c r="DL8" s="94"/>
      <c r="DM8" s="94"/>
      <c r="DN8" s="94"/>
      <c r="DO8" s="247"/>
      <c r="DP8" s="247"/>
      <c r="DQ8" s="94"/>
      <c r="DR8" s="94"/>
      <c r="DS8" s="94"/>
      <c r="DT8" s="94"/>
      <c r="DU8" s="94"/>
      <c r="DV8" s="94"/>
      <c r="DW8" s="94"/>
      <c r="DX8" s="94"/>
      <c r="DY8" s="94"/>
      <c r="DZ8" s="94"/>
      <c r="EA8" s="94"/>
      <c r="EB8" s="94"/>
      <c r="EC8" s="94"/>
      <c r="ED8" s="94"/>
      <c r="EE8" s="94"/>
      <c r="EF8" s="94"/>
      <c r="EG8" s="94"/>
      <c r="EH8" s="94"/>
      <c r="EI8" s="94"/>
      <c r="EJ8" s="94"/>
      <c r="EK8" s="94"/>
      <c r="EL8" s="94"/>
      <c r="EM8" s="94"/>
      <c r="EN8" s="94"/>
      <c r="EO8" s="94"/>
      <c r="EP8" s="94"/>
      <c r="EQ8" s="94"/>
      <c r="ER8" s="94"/>
      <c r="ES8" s="94"/>
      <c r="ET8" s="94"/>
      <c r="EU8" s="94"/>
      <c r="EV8" s="94"/>
      <c r="EW8" s="94"/>
      <c r="EX8" s="94"/>
      <c r="EY8" s="94"/>
      <c r="EZ8" s="94"/>
      <c r="FA8" s="96"/>
      <c r="FB8" s="97"/>
      <c r="FC8" s="97"/>
      <c r="FD8" s="96"/>
      <c r="FE8" s="97"/>
      <c r="FF8" s="97"/>
      <c r="FG8" s="96"/>
      <c r="FH8" s="97"/>
      <c r="FI8" s="97"/>
      <c r="FJ8" s="96"/>
      <c r="FK8" s="97"/>
      <c r="FL8" s="97"/>
      <c r="FM8" s="96"/>
      <c r="FN8" s="97"/>
      <c r="FO8" s="97"/>
      <c r="FP8" s="96"/>
      <c r="FQ8" s="97"/>
      <c r="FR8" s="97"/>
      <c r="FS8" s="96"/>
      <c r="FT8" s="97"/>
      <c r="FU8" s="97"/>
      <c r="FV8" s="94"/>
      <c r="FW8" s="187"/>
      <c r="FX8" s="187"/>
      <c r="FY8" s="94"/>
      <c r="FZ8" s="187"/>
      <c r="GA8" s="187"/>
      <c r="GB8" s="94"/>
      <c r="GC8" s="187"/>
      <c r="GD8" s="187"/>
      <c r="GE8" s="94"/>
      <c r="GF8" s="187"/>
      <c r="GG8" s="187"/>
      <c r="GH8" s="94"/>
      <c r="GI8" s="187"/>
      <c r="GJ8" s="187"/>
      <c r="GK8" s="94"/>
      <c r="GL8" s="187"/>
      <c r="GM8" s="187"/>
      <c r="GN8" s="94"/>
      <c r="GO8" s="187"/>
      <c r="GP8" s="187"/>
      <c r="GQ8" s="94"/>
      <c r="GR8" s="95"/>
      <c r="GS8" s="95"/>
      <c r="GT8" s="94"/>
      <c r="GU8" s="187"/>
      <c r="GV8" s="187"/>
      <c r="GW8" s="94"/>
      <c r="GX8" s="187"/>
      <c r="GY8" s="187"/>
      <c r="GZ8" s="96"/>
      <c r="HA8" s="97"/>
      <c r="HB8" s="97"/>
      <c r="HC8" s="94"/>
      <c r="HD8" s="187"/>
      <c r="HE8" s="187"/>
      <c r="HF8" s="96"/>
      <c r="HG8" s="124"/>
      <c r="HH8" s="124"/>
      <c r="HI8" s="94"/>
      <c r="HJ8" s="187"/>
      <c r="HK8" s="187"/>
      <c r="HL8" s="94"/>
      <c r="HM8" s="191"/>
      <c r="HN8" s="191"/>
      <c r="HO8" s="94"/>
      <c r="HP8" s="187"/>
      <c r="HQ8" s="187"/>
      <c r="HR8" s="94"/>
      <c r="HS8" s="187"/>
      <c r="HT8" s="187"/>
      <c r="HU8" s="96"/>
      <c r="HV8" s="97"/>
      <c r="HW8" s="97"/>
      <c r="HX8" s="94"/>
      <c r="HY8" s="187"/>
      <c r="HZ8" s="187"/>
      <c r="IA8" s="94"/>
      <c r="IB8" s="187"/>
      <c r="IC8" s="187"/>
      <c r="ID8" s="94"/>
      <c r="IE8" s="187"/>
      <c r="IF8" s="187"/>
      <c r="IG8" s="94"/>
      <c r="IH8" s="187"/>
      <c r="II8" s="187"/>
      <c r="IJ8" s="94"/>
      <c r="IK8" s="187"/>
      <c r="IL8" s="187"/>
      <c r="IM8" s="94"/>
      <c r="IN8" s="187"/>
      <c r="IO8" s="187"/>
      <c r="IP8" s="94"/>
      <c r="IQ8" s="187"/>
      <c r="IR8" s="187"/>
      <c r="IS8" s="94"/>
      <c r="IT8" s="95"/>
      <c r="IU8" s="95"/>
      <c r="IV8" s="94"/>
      <c r="IW8" s="187"/>
      <c r="IX8" s="187"/>
      <c r="IY8" s="94"/>
      <c r="IZ8" s="187"/>
      <c r="JA8" s="187"/>
      <c r="JB8" s="96"/>
      <c r="JC8" s="97"/>
      <c r="JD8" s="97"/>
      <c r="JE8" s="94"/>
      <c r="JF8" s="187"/>
      <c r="JG8" s="187"/>
      <c r="JH8" s="96"/>
      <c r="JI8" s="124"/>
      <c r="JJ8" s="124"/>
      <c r="JK8" s="94"/>
      <c r="JL8" s="187"/>
      <c r="JM8" s="187"/>
      <c r="JN8" s="94"/>
      <c r="JO8" s="191"/>
      <c r="JP8" s="191"/>
      <c r="JQ8" s="94"/>
      <c r="JR8" s="187"/>
      <c r="JS8" s="187"/>
      <c r="JT8" s="94"/>
      <c r="JU8" s="187"/>
      <c r="JV8" s="187"/>
      <c r="JW8" s="96"/>
      <c r="JX8" s="97"/>
      <c r="JY8" s="97"/>
    </row>
    <row r="9" spans="1:285">
      <c r="A9" s="182">
        <v>17</v>
      </c>
      <c r="B9" s="184"/>
      <c r="C9" s="6">
        <v>4</v>
      </c>
      <c r="D9" s="192" t="s">
        <v>323</v>
      </c>
      <c r="E9" s="24" t="s">
        <v>315</v>
      </c>
      <c r="F9" s="5" t="s">
        <v>33</v>
      </c>
      <c r="G9" s="94">
        <f>VLOOKUP($G$3,Commited_Actual_1stProject!$E$9:$BU$36,$A9,0)</f>
        <v>0.1</v>
      </c>
      <c r="H9" s="247">
        <f>VLOOKUP($G$3,Commited_Actual_1stProject!$E$9:$BU$36,$A9+1,0)</f>
        <v>37</v>
      </c>
      <c r="I9" s="247">
        <f>VLOOKUP($G$3,Commited_Actual_1stProject!$E$9:$BU$36,$A9+2,0)</f>
        <v>28.54</v>
      </c>
      <c r="J9" s="94">
        <f>VLOOKUP($J$3,Commited_Actual_1stProject!$E$9:$BU$36,$A9,0)</f>
        <v>0.1</v>
      </c>
      <c r="K9" s="247">
        <f>VLOOKUP($J$3,Commited_Actual_1stProject!$E$9:$BU$36,$A9+1,0)</f>
        <v>8</v>
      </c>
      <c r="L9" s="247">
        <f>VLOOKUP($J$3,Commited_Actual_1stProject!$E$9:$BU$36,$A9+2,0)</f>
        <v>16.23</v>
      </c>
      <c r="M9" s="94">
        <f>VLOOKUP($M$3,Commited_Actual_1stProject!$E$9:$BU$36,$A9,0)</f>
        <v>0.1</v>
      </c>
      <c r="N9" s="247">
        <f>VLOOKUP($M$3,Commited_Actual_1stProject!$E$9:$BU$36,$A9+1,0)</f>
        <v>15</v>
      </c>
      <c r="O9" s="247">
        <f>VLOOKUP($M$3,Commited_Actual_1stProject!$E$9:$BU$36,$A9+2,0)</f>
        <v>31.24</v>
      </c>
      <c r="P9" s="94">
        <f>VLOOKUP($P$3,Commited_Actual_1stProject!$E$9:$BU$36,$A9,0)</f>
        <v>0.15</v>
      </c>
      <c r="Q9" s="247">
        <f>VLOOKUP($P$3,Commited_Actual_1stProject!$E$9:$BU$36,$A9+1,0)</f>
        <v>35</v>
      </c>
      <c r="R9" s="247">
        <f>VLOOKUP($P$3,Commited_Actual_1stProject!$E$9:$BU$36,$A9+2,0)</f>
        <v>40.36</v>
      </c>
      <c r="S9" s="94">
        <f>VLOOKUP($S$3,Commited_Actual_1stProject!$E$9:$BU$36,$A9,0)</f>
        <v>0</v>
      </c>
      <c r="T9" s="247">
        <f>VLOOKUP($S$3,Commited_Actual_1stProject!$E$9:$BU$36,$A9+1,0)</f>
        <v>0</v>
      </c>
      <c r="U9" s="247">
        <f>VLOOKUP($S$3,Commited_Actual_1stProject!$E$9:$BU$36,$A9+2,0)</f>
        <v>0</v>
      </c>
      <c r="V9" s="94">
        <f>VLOOKUP($V$3,Commited_Actual_1stProject!$E$9:$BU$36,$A9,0)</f>
        <v>0</v>
      </c>
      <c r="W9" s="247">
        <f>VLOOKUP($V$3,Commited_Actual_1stProject!$E$9:$BU$36,$A9+1,0)</f>
        <v>0</v>
      </c>
      <c r="X9" s="247">
        <f>VLOOKUP($V$3,Commited_Actual_1stProject!$E$9:$BU$36,$A9+2,0)</f>
        <v>0</v>
      </c>
      <c r="Y9" s="94">
        <f>VLOOKUP($Y$3,Commited_Actual_1stProject!$E$9:$BU$36,$A9,0)</f>
        <v>0</v>
      </c>
      <c r="Z9" s="247">
        <f>VLOOKUP($Y$3,Commited_Actual_1stProject!$E$9:$BU$36,$A9+1,0)</f>
        <v>0</v>
      </c>
      <c r="AA9" s="247">
        <f>VLOOKUP($Y$3,Commited_Actual_1stProject!$E$9:$BU$36,$A9+2,0)</f>
        <v>0</v>
      </c>
      <c r="AB9" s="94">
        <f>VLOOKUP($AB$3,Commited_Actual_1stProject!$E$9:$BU$36,$A9,0)</f>
        <v>0</v>
      </c>
      <c r="AC9" s="247">
        <f>VLOOKUP($AB$3,Commited_Actual_1stProject!$E$9:$BU$36,$A9+1,0)</f>
        <v>0</v>
      </c>
      <c r="AD9" s="247">
        <f>VLOOKUP($AB$3,Commited_Actual_1stProject!$E$9:$BU$36,$A9+2,0)</f>
        <v>0</v>
      </c>
      <c r="AE9" s="94">
        <f>VLOOKUP($AE$3,Commited_Actual_1stProject!$E$9:$BU$36,$A9,0)</f>
        <v>0</v>
      </c>
      <c r="AF9" s="247">
        <f>VLOOKUP($AE$3,Commited_Actual_1stProject!$E$9:$BU$36,$A9+1,0)</f>
        <v>0</v>
      </c>
      <c r="AG9" s="247">
        <f>VLOOKUP($AE$3,Commited_Actual_1stProject!$E$9:$BU$36,$A9+2,0)</f>
        <v>0</v>
      </c>
      <c r="AH9" s="94">
        <f>VLOOKUP($AH$3,Commited_Actual_1stProject!$E$9:$BU$36,$A9,0)</f>
        <v>0.05</v>
      </c>
      <c r="AI9" s="124">
        <f>VLOOKUP($AH$3,Commited_Actual_1stProject!$E$9:$BU$36,$A9+1,0)</f>
        <v>0.05</v>
      </c>
      <c r="AJ9" s="94">
        <f>VLOOKUP($AH$3,Commited_Actual_1stProject!$E$9:$BU$36,$A9+2,0)</f>
        <v>0.05</v>
      </c>
      <c r="AK9" s="94">
        <f>VLOOKUP($AK$3,Commited_Actual_1stProject!$E$9:$BU$36,$A9,0)</f>
        <v>0</v>
      </c>
      <c r="AL9" s="124">
        <f>VLOOKUP($AK$3,Commited_Actual_1stProject!$E$9:$BU$36,$A9+1,0)</f>
        <v>0</v>
      </c>
      <c r="AM9" s="124">
        <f>VLOOKUP($AK$3,Commited_Actual_1stProject!$E$9:$BU$36,$A9+2,0)</f>
        <v>0</v>
      </c>
      <c r="AN9" s="94">
        <f>VLOOKUP($AN$3,Commited_Actual_1stProject!$E$9:$BU$36,$A9,0)</f>
        <v>0.1</v>
      </c>
      <c r="AO9" s="94">
        <f>VLOOKUP($AN$3,Commited_Actual_1stProject!$E$9:$BU$36,$A9+1,0)</f>
        <v>0.05</v>
      </c>
      <c r="AP9" s="94">
        <f>VLOOKUP($AN$3,Commited_Actual_1stProject!$E$9:$BU$36,$A9+2,0)</f>
        <v>0</v>
      </c>
      <c r="AQ9" s="94">
        <f>VLOOKUP($AQ$3,Commited_Actual_1stProject!$E$9:$BU$36,$A9,0)</f>
        <v>0</v>
      </c>
      <c r="AR9" s="247">
        <f>VLOOKUP($AQ$3,Commited_Actual_1stProject!$E$9:$BU$36,$A9+1,0)</f>
        <v>0</v>
      </c>
      <c r="AS9" s="247">
        <f>VLOOKUP($AQ$3,Commited_Actual_1stProject!$E$9:$BU$36,$A9+2,0)</f>
        <v>0</v>
      </c>
      <c r="AT9" s="94">
        <f>VLOOKUP($AT$3,Commited_Actual_1stProject!$E$9:$BU$36,$A9,0)</f>
        <v>0.1</v>
      </c>
      <c r="AU9" s="94">
        <f>VLOOKUP($AT$3,Commited_Actual_1stProject!$E$9:$BU$36,$A9+1,0)</f>
        <v>0.1</v>
      </c>
      <c r="AV9" s="94">
        <f>VLOOKUP($AT$3,Commited_Actual_1stProject!$E$9:$BU$36,$A9+2,0)</f>
        <v>0.02</v>
      </c>
      <c r="AW9" s="94">
        <f>VLOOKUP($AW$3,Commited_Actual_1stProject!$E$9:$BU$36,$A9,0)</f>
        <v>0</v>
      </c>
      <c r="AX9" s="247">
        <f>VLOOKUP($AW$3,Commited_Actual_1stProject!$E$9:$BU$36,$A9+1,0)</f>
        <v>0</v>
      </c>
      <c r="AY9" s="247">
        <f>VLOOKUP($AW$3,Commited_Actual_1stProject!$E$9:$BU$36,$A9+2,0)</f>
        <v>0</v>
      </c>
      <c r="AZ9" s="94">
        <f>VLOOKUP($AZ$3,Commited_Actual_1stProject!$E$9:$BU$36,$A9,0)</f>
        <v>0</v>
      </c>
      <c r="BA9" s="247">
        <f>VLOOKUP($AZ$3,Commited_Actual_1stProject!$E$9:$BU$36,$A9+1,0)</f>
        <v>0</v>
      </c>
      <c r="BB9" s="247">
        <f>VLOOKUP($AZ$3,Commited_Actual_1stProject!$E$9:$BU$36,$A9+2,0)</f>
        <v>0</v>
      </c>
      <c r="BC9" s="94">
        <f>VLOOKUP($BC$3,Commited_Actual_1stProject!$E$9:$BU$36,$A9,0)</f>
        <v>0.1</v>
      </c>
      <c r="BD9" s="124">
        <f>VLOOKUP($BC$3,Commited_Actual_1stProject!$E$9:$BU$36,$A9+1,0)</f>
        <v>0.25</v>
      </c>
      <c r="BE9" s="124">
        <f>VLOOKUP($BC$3,Commited_Actual_1stProject!$E$9:$BU$36,$A9+2,0)</f>
        <v>0.54</v>
      </c>
      <c r="BF9" s="94"/>
      <c r="BG9" s="247"/>
      <c r="BH9" s="247"/>
      <c r="BI9" s="94">
        <f>VLOOKUP($BI$3,Commited_Actual_1stProject!$E$9:$BU$36,$A9,0)</f>
        <v>0.05</v>
      </c>
      <c r="BJ9" s="247">
        <f>VLOOKUP($BI$3,Commited_Actual_1stProject!$E$9:$BU$36,$A9+1,0)</f>
        <v>650</v>
      </c>
      <c r="BK9" s="247">
        <f>VLOOKUP($BI$3,Commited_Actual_1stProject!$E$9:$BU$36,$A9+2,0)</f>
        <v>705</v>
      </c>
      <c r="BL9" s="94">
        <f>VLOOKUP($BL$3,Commited_Actual_1stProject!$E$9:$BU$36,$A9,0)</f>
        <v>0.04</v>
      </c>
      <c r="BM9" s="247">
        <f>VLOOKUP($BL$3,Commited_Actual_1stProject!$E$9:$BU$36,$A9+1,0)</f>
        <v>3</v>
      </c>
      <c r="BN9" s="247">
        <f>VLOOKUP($BL$3,Commited_Actual_1stProject!$E$9:$BU$36,$A9+2,0)</f>
        <v>4</v>
      </c>
      <c r="BO9" s="94">
        <f>VLOOKUP($BO$3,Commited_Actual_1stProject!$E$9:$BU$36,$A9,0)</f>
        <v>0.03</v>
      </c>
      <c r="BP9" s="247">
        <f>VLOOKUP($BO$3,Commited_Actual_1stProject!$E$9:$BU$36,$A9+1,0)</f>
        <v>3</v>
      </c>
      <c r="BQ9" s="247">
        <f>VLOOKUP($BO$3,Commited_Actual_1stProject!$E$9:$BU$36,$A9+2,0)</f>
        <v>4</v>
      </c>
      <c r="BR9" s="94">
        <f>VLOOKUP($BR$3,Commited_Actual_1stProject!$E$9:$BU$36,$A9,0)</f>
        <v>0.03</v>
      </c>
      <c r="BS9" s="247">
        <f>VLOOKUP($BR$3,Commited_Actual_1stProject!$E$9:$BU$36,$A9+1,0)</f>
        <v>3</v>
      </c>
      <c r="BT9" s="247">
        <f>VLOOKUP($BR$3,Commited_Actual_1stProject!$E$9:$BU$36,$A9+2,0)</f>
        <v>5</v>
      </c>
      <c r="BU9" s="94">
        <f>VLOOKUP($BU$3,Commited_Actual_1stProject!$E$9:$BU$36,$A9,0)</f>
        <v>0</v>
      </c>
      <c r="BV9" s="247">
        <f>VLOOKUP($BU$3,Commited_Actual_1stProject!$E$9:$BU$36,$A9+1,0)</f>
        <v>0</v>
      </c>
      <c r="BW9" s="247">
        <f>VLOOKUP($BU$3,Commited_Actual_1stProject!$E$9:$BU$36,$A9+2,0)</f>
        <v>0</v>
      </c>
      <c r="BX9" s="94">
        <f>VLOOKUP($BX$3,Commited_Actual_1stProject!$E$9:$BU$36,$A9,0)</f>
        <v>0</v>
      </c>
      <c r="BY9" s="247">
        <f>VLOOKUP($BX$3,Commited_Actual_1stProject!$E$9:$BU$36,$A9+1,0)</f>
        <v>0</v>
      </c>
      <c r="BZ9" s="247">
        <f>VLOOKUP($BX$3,Commited_Actual_1stProject!$E$9:$BU$36,$A9+2,0)</f>
        <v>0</v>
      </c>
      <c r="CA9" s="94">
        <f>VLOOKUP($CA$3,Commited_Actual_1stProject!$E$9:$BU$36,$A9,0)</f>
        <v>0.05</v>
      </c>
      <c r="CB9" s="247">
        <f>VLOOKUP($CA$3,Commited_Actual_1stProject!$E$9:$BU$36,$A9+1,0)</f>
        <v>1</v>
      </c>
      <c r="CC9" s="247">
        <f>VLOOKUP($CA$3,Commited_Actual_1stProject!$E$9:$BU$36,$A9+2,0)</f>
        <v>1</v>
      </c>
      <c r="CD9" s="94"/>
      <c r="CE9" s="247"/>
      <c r="CF9" s="247"/>
      <c r="CG9" s="94"/>
      <c r="CH9" s="247"/>
      <c r="CI9" s="247"/>
      <c r="CJ9" s="94">
        <f>VLOOKUP($CJ$3,Commited_Actual_1stProject!$E$9:$BU$36,$A9,0)</f>
        <v>0</v>
      </c>
      <c r="CK9" s="247">
        <f>VLOOKUP($CJ$3,Commited_Actual_1stProject!$E$9:$BU$36,$A9+1,0)</f>
        <v>0</v>
      </c>
      <c r="CL9" s="247">
        <f>VLOOKUP($CJ$3,Commited_Actual_1stProject!$E$9:$BU$36,$A9+2,0)</f>
        <v>0</v>
      </c>
      <c r="CM9" s="94"/>
      <c r="CN9" s="247"/>
      <c r="CO9" s="247"/>
      <c r="CP9" s="94"/>
      <c r="CQ9" s="247"/>
      <c r="CR9" s="247"/>
      <c r="CS9" s="94">
        <f>VLOOKUP($CS$3,Commited_Actual_1stProject!$E$9:$BU$36,$A9,0)</f>
        <v>0</v>
      </c>
      <c r="CT9" s="247">
        <f>VLOOKUP($CS$3,Commited_Actual_1stProject!$E$9:$BU$36,$A9+1,0)</f>
        <v>0</v>
      </c>
      <c r="CU9" s="247">
        <f>VLOOKUP($CS$3,Commited_Actual_1stProject!$E$9:$BU$36,$A9+2,0)</f>
        <v>0</v>
      </c>
      <c r="CV9" s="94"/>
      <c r="CW9" s="247"/>
      <c r="CX9" s="247"/>
      <c r="CY9" s="94"/>
      <c r="CZ9" s="247"/>
      <c r="DA9" s="247"/>
      <c r="DB9" s="94"/>
      <c r="DC9" s="94"/>
      <c r="DD9" s="94"/>
      <c r="DE9" s="94"/>
      <c r="DF9" s="94"/>
      <c r="DG9" s="94"/>
      <c r="DH9" s="94"/>
      <c r="DI9" s="94"/>
      <c r="DJ9" s="94"/>
      <c r="DK9" s="94"/>
      <c r="DL9" s="94"/>
      <c r="DM9" s="94"/>
      <c r="DN9" s="94"/>
      <c r="DO9" s="247"/>
      <c r="DP9" s="247"/>
      <c r="DQ9" s="94"/>
      <c r="DR9" s="94"/>
      <c r="DS9" s="94"/>
      <c r="DT9" s="94"/>
      <c r="DU9" s="94"/>
      <c r="DV9" s="94"/>
      <c r="DW9" s="94"/>
      <c r="DX9" s="94"/>
      <c r="DY9" s="94"/>
      <c r="DZ9" s="94"/>
      <c r="EA9" s="94"/>
      <c r="EB9" s="94"/>
      <c r="EC9" s="94"/>
      <c r="ED9" s="94"/>
      <c r="EE9" s="94"/>
      <c r="EF9" s="94"/>
      <c r="EG9" s="94"/>
      <c r="EH9" s="94"/>
      <c r="EI9" s="94"/>
      <c r="EJ9" s="94"/>
      <c r="EK9" s="94"/>
      <c r="EL9" s="94"/>
      <c r="EM9" s="94"/>
      <c r="EN9" s="94"/>
      <c r="EO9" s="94"/>
      <c r="EP9" s="94"/>
      <c r="EQ9" s="94"/>
      <c r="ER9" s="94"/>
      <c r="ES9" s="94"/>
      <c r="ET9" s="94"/>
      <c r="EU9" s="94"/>
      <c r="EV9" s="94"/>
      <c r="EW9" s="94"/>
      <c r="EX9" s="94"/>
      <c r="EY9" s="94"/>
      <c r="EZ9" s="94"/>
      <c r="FA9" s="96"/>
      <c r="FB9" s="97"/>
      <c r="FC9" s="97"/>
      <c r="FD9" s="96"/>
      <c r="FE9" s="97"/>
      <c r="FF9" s="97"/>
      <c r="FG9" s="96"/>
      <c r="FH9" s="97"/>
      <c r="FI9" s="97"/>
      <c r="FJ9" s="96"/>
      <c r="FK9" s="97"/>
      <c r="FL9" s="97"/>
      <c r="FM9" s="96"/>
      <c r="FN9" s="97"/>
      <c r="FO9" s="97"/>
      <c r="FP9" s="96"/>
      <c r="FQ9" s="97"/>
      <c r="FR9" s="97"/>
      <c r="FS9" s="96"/>
      <c r="FT9" s="97"/>
      <c r="FU9" s="97"/>
      <c r="FV9" s="94"/>
      <c r="FW9" s="95"/>
      <c r="FX9" s="95"/>
      <c r="FY9" s="94"/>
      <c r="FZ9" s="95"/>
      <c r="GA9" s="95"/>
      <c r="GB9" s="96"/>
      <c r="GC9" s="95"/>
      <c r="GD9" s="95"/>
      <c r="GE9" s="96"/>
      <c r="GF9" s="95"/>
      <c r="GG9" s="95"/>
      <c r="GH9" s="96"/>
      <c r="GI9" s="95"/>
      <c r="GJ9" s="95"/>
      <c r="GK9" s="96"/>
      <c r="GL9" s="95"/>
      <c r="GM9" s="95"/>
      <c r="GN9" s="96"/>
      <c r="GO9" s="95"/>
      <c r="GP9" s="95"/>
      <c r="GQ9" s="94"/>
      <c r="GR9" s="95"/>
      <c r="GS9" s="95"/>
      <c r="GT9" s="96"/>
      <c r="GU9" s="97"/>
      <c r="GV9" s="97"/>
      <c r="GW9" s="96"/>
      <c r="GX9" s="97"/>
      <c r="GY9" s="97"/>
      <c r="GZ9" s="96"/>
      <c r="HA9" s="97"/>
      <c r="HB9" s="97"/>
      <c r="HC9" s="96"/>
      <c r="HD9" s="97"/>
      <c r="HE9" s="97"/>
      <c r="HF9" s="96"/>
      <c r="HG9" s="97"/>
      <c r="HH9" s="97"/>
      <c r="HI9" s="96"/>
      <c r="HJ9" s="97"/>
      <c r="HK9" s="97"/>
      <c r="HL9" s="96"/>
      <c r="HM9" s="97"/>
      <c r="HN9" s="97"/>
      <c r="HO9" s="96"/>
      <c r="HP9" s="97"/>
      <c r="HQ9" s="97"/>
      <c r="HR9" s="96"/>
      <c r="HS9" s="97"/>
      <c r="HT9" s="97"/>
      <c r="HU9" s="96"/>
      <c r="HV9" s="97"/>
      <c r="HW9" s="97"/>
      <c r="HX9" s="94"/>
      <c r="HY9" s="95"/>
      <c r="HZ9" s="95"/>
      <c r="IA9" s="94"/>
      <c r="IB9" s="95"/>
      <c r="IC9" s="95"/>
      <c r="ID9" s="96"/>
      <c r="IE9" s="95"/>
      <c r="IF9" s="95"/>
      <c r="IG9" s="96"/>
      <c r="IH9" s="95"/>
      <c r="II9" s="95"/>
      <c r="IJ9" s="96"/>
      <c r="IK9" s="95"/>
      <c r="IL9" s="95"/>
      <c r="IM9" s="96"/>
      <c r="IN9" s="95"/>
      <c r="IO9" s="95"/>
      <c r="IP9" s="96"/>
      <c r="IQ9" s="95"/>
      <c r="IR9" s="95"/>
      <c r="IS9" s="94"/>
      <c r="IT9" s="95"/>
      <c r="IU9" s="95"/>
      <c r="IV9" s="96"/>
      <c r="IW9" s="97"/>
      <c r="IX9" s="97"/>
      <c r="IY9" s="96"/>
      <c r="IZ9" s="97"/>
      <c r="JA9" s="97"/>
      <c r="JB9" s="96"/>
      <c r="JC9" s="97"/>
      <c r="JD9" s="97"/>
      <c r="JE9" s="96"/>
      <c r="JF9" s="97"/>
      <c r="JG9" s="97"/>
      <c r="JH9" s="96"/>
      <c r="JI9" s="97"/>
      <c r="JJ9" s="97"/>
      <c r="JK9" s="96"/>
      <c r="JL9" s="97"/>
      <c r="JM9" s="97"/>
      <c r="JN9" s="96"/>
      <c r="JO9" s="97"/>
      <c r="JP9" s="97"/>
      <c r="JQ9" s="96"/>
      <c r="JR9" s="97"/>
      <c r="JS9" s="97"/>
      <c r="JT9" s="96"/>
      <c r="JU9" s="97"/>
      <c r="JV9" s="97"/>
      <c r="JW9" s="96"/>
      <c r="JX9" s="97"/>
      <c r="JY9" s="97"/>
    </row>
    <row r="10" spans="1:285">
      <c r="A10" s="182"/>
      <c r="B10" s="184"/>
      <c r="C10" s="6">
        <v>5</v>
      </c>
      <c r="D10" s="248" t="s">
        <v>324</v>
      </c>
      <c r="E10" s="24" t="s">
        <v>316</v>
      </c>
      <c r="F10" s="5" t="s">
        <v>33</v>
      </c>
      <c r="G10" s="94">
        <f>VLOOKUP($G$3,Commited_Actual_1stProject!$E$9:$BU$36,$D29,0)</f>
        <v>7.0000000000000007E-2</v>
      </c>
      <c r="H10" s="247">
        <f>VLOOKUP($G$3,Commited_Actual_1stProject!$E$9:$BU$36,$D29+1,0)</f>
        <v>40</v>
      </c>
      <c r="I10" s="247">
        <f>VLOOKUP($G$3,Commited_Actual_1stProject!$E$9:$BU$36,$D29+2,0)</f>
        <v>65.430000000000007</v>
      </c>
      <c r="J10" s="94">
        <f>VLOOKUP($J$3,Commited_Actual_1stProject!$E$9:$BU$36,$D29,0)</f>
        <v>0.05</v>
      </c>
      <c r="K10" s="247">
        <f>VLOOKUP($J$3,Commited_Actual_1stProject!$E$9:$BU$36,$D29+1,0)</f>
        <v>8</v>
      </c>
      <c r="L10" s="247">
        <f>VLOOKUP($J$3,Commited_Actual_1stProject!$E$9:$BU$36,$D29+2,0)</f>
        <v>21.51</v>
      </c>
      <c r="M10" s="94">
        <f>VLOOKUP($M$3,Commited_Actual_1stProject!$E$9:$BU$36,$D29,0)</f>
        <v>0.05</v>
      </c>
      <c r="N10" s="247">
        <f>VLOOKUP($M$3,Commited_Actual_1stProject!$E$9:$BU$36,$D29+1,0)</f>
        <v>45</v>
      </c>
      <c r="O10" s="247">
        <f>VLOOKUP($M$3,Commited_Actual_1stProject!$E$9:$BU$36,$D29+2,0)</f>
        <v>49.91</v>
      </c>
      <c r="P10" s="94">
        <f>VLOOKUP($P$3,Commited_Actual_1stProject!$E$9:$BU$36,$D29,0)</f>
        <v>7.0000000000000007E-2</v>
      </c>
      <c r="Q10" s="247">
        <f>VLOOKUP($P$3,Commited_Actual_1stProject!$E$9:$BU$36,$D29+1,0)</f>
        <v>60</v>
      </c>
      <c r="R10" s="247">
        <f>VLOOKUP($P$3,Commited_Actual_1stProject!$E$9:$BU$36,$D29+2,0)</f>
        <v>66.069999999999993</v>
      </c>
      <c r="S10" s="94">
        <f>VLOOKUP($S$3,Commited_Actual_1stProject!$E$9:$BU$36,$D29,0)</f>
        <v>0</v>
      </c>
      <c r="T10" s="247">
        <f>VLOOKUP($S$3,Commited_Actual_1stProject!$E$9:$BU$36,$D29+1,0)</f>
        <v>0</v>
      </c>
      <c r="U10" s="247">
        <f>VLOOKUP($S$3,Commited_Actual_1stProject!$E$9:$BU$36,$D29+2,0)</f>
        <v>0</v>
      </c>
      <c r="V10" s="94">
        <f>VLOOKUP($V$3,Commited_Actual_1stProject!$E$9:$BU$36,$D29,0)</f>
        <v>0</v>
      </c>
      <c r="W10" s="247">
        <f>VLOOKUP($V$3,Commited_Actual_1stProject!$E$9:$BU$36,$D29+1,0)</f>
        <v>0</v>
      </c>
      <c r="X10" s="247">
        <f>VLOOKUP($V$3,Commited_Actual_1stProject!$E$9:$BU$36,$D29+2,0)</f>
        <v>0</v>
      </c>
      <c r="Y10" s="94">
        <f>VLOOKUP($Y$3,Commited_Actual_1stProject!$E$9:$BU$36,$D29,0)</f>
        <v>0</v>
      </c>
      <c r="Z10" s="247">
        <f>VLOOKUP($Y$3,Commited_Actual_1stProject!$E$9:$BU$36,$D29+1,0)</f>
        <v>0</v>
      </c>
      <c r="AA10" s="247">
        <f>VLOOKUP($Y$3,Commited_Actual_1stProject!$E$9:$BU$36,$D29+2,0)</f>
        <v>0</v>
      </c>
      <c r="AB10" s="94">
        <f>VLOOKUP($AB$3,Commited_Actual_1stProject!$E$9:$BU$36,$D29,0)</f>
        <v>0</v>
      </c>
      <c r="AC10" s="247">
        <f>VLOOKUP($AB$3,Commited_Actual_1stProject!$E$9:$BU$36,$D29+1,0)</f>
        <v>0</v>
      </c>
      <c r="AD10" s="247">
        <f>VLOOKUP($AB$3,Commited_Actual_1stProject!$E$9:$BU$36,$D29+2,0)</f>
        <v>0</v>
      </c>
      <c r="AE10" s="94">
        <f>VLOOKUP($AE$3,Commited_Actual_1stProject!$E$9:$BU$36,$D29,0)</f>
        <v>0</v>
      </c>
      <c r="AF10" s="247">
        <f>VLOOKUP($AE$3,Commited_Actual_1stProject!$E$9:$BU$36,$D29+1,0)</f>
        <v>0</v>
      </c>
      <c r="AG10" s="247">
        <f>VLOOKUP($AE$3,Commited_Actual_1stProject!$E$9:$BU$36,$D29+2,0)</f>
        <v>0</v>
      </c>
      <c r="AH10" s="94">
        <f>VLOOKUP($AH$3,Commited_Actual_1stProject!$E$9:$BU$36,$D29,0)</f>
        <v>0.06</v>
      </c>
      <c r="AI10" s="124">
        <f>VLOOKUP($AH$3,Commited_Actual_1stProject!$E$9:$BU$36,$D29+1,0)</f>
        <v>0.05</v>
      </c>
      <c r="AJ10" s="94">
        <f>VLOOKUP($AH$3,Commited_Actual_1stProject!$E$9:$BU$36,$D29+2,0)</f>
        <v>0.04</v>
      </c>
      <c r="AK10" s="94">
        <f>VLOOKUP($AK$3,Commited_Actual_1stProject!$E$9:$BU$36,$D29,0)</f>
        <v>0</v>
      </c>
      <c r="AL10" s="124">
        <f>VLOOKUP($AK$3,Commited_Actual_1stProject!$E$9:$BU$36,$D29+1,0)</f>
        <v>0</v>
      </c>
      <c r="AM10" s="124">
        <f>VLOOKUP($AK$3,Commited_Actual_1stProject!$E$9:$BU$36,$D29+2,0)</f>
        <v>0</v>
      </c>
      <c r="AN10" s="94">
        <f>VLOOKUP($AN$3,Commited_Actual_1stProject!$E$9:$BU$36,$D29,0)</f>
        <v>0.05</v>
      </c>
      <c r="AO10" s="94">
        <f>VLOOKUP($AN$3,Commited_Actual_1stProject!$E$9:$BU$36,$D29+1,0)</f>
        <v>0.05</v>
      </c>
      <c r="AP10" s="94">
        <f>VLOOKUP($AN$3,Commited_Actual_1stProject!$E$9:$BU$36,$D29+2,0)</f>
        <v>0</v>
      </c>
      <c r="AQ10" s="94">
        <f>VLOOKUP($AQ$3,Commited_Actual_1stProject!$E$9:$BU$36,$D29,0)</f>
        <v>0</v>
      </c>
      <c r="AR10" s="247">
        <f>VLOOKUP($AQ$3,Commited_Actual_1stProject!$E$9:$BU$36,$D29+1,0)</f>
        <v>0</v>
      </c>
      <c r="AS10" s="247">
        <f>VLOOKUP($AQ$3,Commited_Actual_1stProject!$E$9:$BU$36,$D29+2,0)</f>
        <v>0</v>
      </c>
      <c r="AT10" s="94">
        <f>VLOOKUP($AT$3,Commited_Actual_1stProject!$E$9:$BU$36,$D29,0)</f>
        <v>0.05</v>
      </c>
      <c r="AU10" s="94">
        <f>VLOOKUP($AT$3,Commited_Actual_1stProject!$E$9:$BU$36,$D29+1,0)</f>
        <v>0.1</v>
      </c>
      <c r="AV10" s="94">
        <f>VLOOKUP($AT$3,Commited_Actual_1stProject!$E$9:$BU$36,$D29+2,0)</f>
        <v>0.01</v>
      </c>
      <c r="AW10" s="94">
        <f>VLOOKUP($AW$3,Commited_Actual_1stProject!$E$9:$BU$36,$D29,0)</f>
        <v>0</v>
      </c>
      <c r="AX10" s="247">
        <f>VLOOKUP($AW$3,Commited_Actual_1stProject!$E$9:$BU$36,$D29+1,0)</f>
        <v>0</v>
      </c>
      <c r="AY10" s="247">
        <f>VLOOKUP($AW$3,Commited_Actual_1stProject!$E$9:$BU$36,$D29+2,0)</f>
        <v>0</v>
      </c>
      <c r="AZ10" s="94">
        <f>VLOOKUP($AZ$3,Commited_Actual_1stProject!$E$9:$BU$36,$D29,0)</f>
        <v>0</v>
      </c>
      <c r="BA10" s="247">
        <f>VLOOKUP($AZ$3,Commited_Actual_1stProject!$E$9:$BU$36,$D29+1,0)</f>
        <v>0</v>
      </c>
      <c r="BB10" s="247">
        <f>VLOOKUP($AZ$3,Commited_Actual_1stProject!$E$9:$BU$36,$D29+2,0)</f>
        <v>0</v>
      </c>
      <c r="BC10" s="94">
        <f>VLOOKUP($BC$3,Commited_Actual_1stProject!$E$9:$BU$36,$D29,0)</f>
        <v>0</v>
      </c>
      <c r="BD10" s="124">
        <f>VLOOKUP($BC$3,Commited_Actual_1stProject!$E$9:$BU$36,$D29+1,0)</f>
        <v>0</v>
      </c>
      <c r="BE10" s="124">
        <f>VLOOKUP($BC$3,Commited_Actual_1stProject!$E$9:$BU$36,$D29+2,0)</f>
        <v>0</v>
      </c>
      <c r="BF10" s="94"/>
      <c r="BG10" s="247"/>
      <c r="BH10" s="247"/>
      <c r="BI10" s="94">
        <f>VLOOKUP($BI$3,Commited_Actual_1stProject!$E$9:$BU$36,$D29,0)</f>
        <v>0</v>
      </c>
      <c r="BJ10" s="247">
        <f>VLOOKUP($BI$3,Commited_Actual_1stProject!$E$9:$BU$36,$D29+1,0)</f>
        <v>0</v>
      </c>
      <c r="BK10" s="247">
        <f>VLOOKUP($BI$3,Commited_Actual_1stProject!$E$9:$BU$36,$D29+2,0)</f>
        <v>0</v>
      </c>
      <c r="BL10" s="94">
        <f>VLOOKUP($BL$3,Commited_Actual_1stProject!$E$9:$BU$36,$D29,0)</f>
        <v>0.05</v>
      </c>
      <c r="BM10" s="247">
        <f>VLOOKUP($BL$3,Commited_Actual_1stProject!$E$9:$BU$36,$D29+1,0)</f>
        <v>3</v>
      </c>
      <c r="BN10" s="247">
        <f>VLOOKUP($BL$3,Commited_Actual_1stProject!$E$9:$BU$36,$D29+2,0)</f>
        <v>4</v>
      </c>
      <c r="BO10" s="94">
        <f>VLOOKUP($BO$3,Commited_Actual_1stProject!$E$9:$BU$36,$D29,0)</f>
        <v>0.05</v>
      </c>
      <c r="BP10" s="247">
        <f>VLOOKUP($BO$3,Commited_Actual_1stProject!$E$9:$BU$36,$D29+1,0)</f>
        <v>3</v>
      </c>
      <c r="BQ10" s="247">
        <f>VLOOKUP($BO$3,Commited_Actual_1stProject!$E$9:$BU$36,$D29+2,0)</f>
        <v>4</v>
      </c>
      <c r="BR10" s="94">
        <f>VLOOKUP($BR$3,Commited_Actual_1stProject!$E$9:$BU$36,$D29,0)</f>
        <v>0.05</v>
      </c>
      <c r="BS10" s="247">
        <f>VLOOKUP($BR$3,Commited_Actual_1stProject!$E$9:$BU$36,$D29+1,0)</f>
        <v>3</v>
      </c>
      <c r="BT10" s="247">
        <f>VLOOKUP($BR$3,Commited_Actual_1stProject!$E$9:$BU$36,$D29+2,0)</f>
        <v>5</v>
      </c>
      <c r="BU10" s="94">
        <f>VLOOKUP($BU$3,Commited_Actual_1stProject!$E$9:$BU$36,$D29,0)</f>
        <v>0</v>
      </c>
      <c r="BV10" s="247">
        <f>VLOOKUP($BU$3,Commited_Actual_1stProject!$E$9:$BU$36,$D29+1,0)</f>
        <v>0</v>
      </c>
      <c r="BW10" s="247">
        <f>VLOOKUP($BU$3,Commited_Actual_1stProject!$E$9:$BU$36,$D29+2,0)</f>
        <v>0</v>
      </c>
      <c r="BX10" s="94">
        <f>VLOOKUP($BX$3,Commited_Actual_1stProject!$E$9:$BU$36,$D29,0)</f>
        <v>0.05</v>
      </c>
      <c r="BY10" s="247">
        <f>VLOOKUP($BX$3,Commited_Actual_1stProject!$E$9:$BU$36,$D29+1,0)</f>
        <v>10</v>
      </c>
      <c r="BZ10" s="247">
        <f>VLOOKUP($BX$3,Commited_Actual_1stProject!$E$9:$BU$36,$D29+2,0)</f>
        <v>1.3</v>
      </c>
      <c r="CA10" s="94">
        <f>VLOOKUP($CA$3,Commited_Actual_1stProject!$E$9:$BU$36,$D29,0)</f>
        <v>0</v>
      </c>
      <c r="CB10" s="247">
        <f>VLOOKUP($CA$3,Commited_Actual_1stProject!$E$9:$BU$36,$D29+1,0)</f>
        <v>0</v>
      </c>
      <c r="CC10" s="247">
        <f>VLOOKUP($CA$3,Commited_Actual_1stProject!$E$9:$BU$36,$D29+2,0)</f>
        <v>0</v>
      </c>
      <c r="CD10" s="94"/>
      <c r="CE10" s="247"/>
      <c r="CF10" s="247"/>
      <c r="CG10" s="94"/>
      <c r="CH10" s="247"/>
      <c r="CI10" s="247"/>
      <c r="CJ10" s="94">
        <f>VLOOKUP($CJ$3,Commited_Actual_1stProject!$E$9:$BU$36,$D29,0)</f>
        <v>0.1</v>
      </c>
      <c r="CK10" s="247">
        <f>VLOOKUP($CJ$3,Commited_Actual_1stProject!$E$9:$BU$36,$D29+1,0)</f>
        <v>3</v>
      </c>
      <c r="CL10" s="247">
        <f>VLOOKUP($CJ$3,Commited_Actual_1stProject!$E$9:$BU$36,$D29+2,0)</f>
        <v>3</v>
      </c>
      <c r="CM10" s="94"/>
      <c r="CN10" s="247"/>
      <c r="CO10" s="247"/>
      <c r="CP10" s="94"/>
      <c r="CQ10" s="247"/>
      <c r="CR10" s="247"/>
      <c r="CS10" s="94">
        <f>VLOOKUP($CS$3,Commited_Actual_1stProject!$E$9:$BU$36,$D29,0)</f>
        <v>0</v>
      </c>
      <c r="CT10" s="247">
        <f>VLOOKUP($CS$3,Commited_Actual_1stProject!$E$9:$BU$36,$D29+1,0)</f>
        <v>0</v>
      </c>
      <c r="CU10" s="247">
        <f>VLOOKUP($CS$3,Commited_Actual_1stProject!$E$9:$BU$36,$D29+2,0)</f>
        <v>0</v>
      </c>
      <c r="CV10" s="94"/>
      <c r="CW10" s="247"/>
      <c r="CX10" s="247"/>
      <c r="CY10" s="94"/>
      <c r="CZ10" s="247"/>
      <c r="DA10" s="247"/>
      <c r="DB10" s="94">
        <f>VLOOKUP($DB$3,Commited_Actual_2ndProject!$E$5:$AG$34,$E29,0)</f>
        <v>0</v>
      </c>
      <c r="DC10" s="94">
        <f>VLOOKUP($DB$3,Commited_Actual_2ndProject!$E$5:$AG$34,$E29+1,0)</f>
        <v>0</v>
      </c>
      <c r="DD10" s="94">
        <f>VLOOKUP($DB$3,Commited_Actual_2ndProject!$E$5:$AG$34,$E29+2,0)</f>
        <v>0</v>
      </c>
      <c r="DE10" s="94">
        <f>VLOOKUP($DE$3,Commited_Actual_2ndProject!$E$5:$AG$34,$E29,0)</f>
        <v>0</v>
      </c>
      <c r="DF10" s="94">
        <f>VLOOKUP($DE$3,Commited_Actual_2ndProject!$E$5:$AG$34,$E29+1,0)</f>
        <v>0</v>
      </c>
      <c r="DG10" s="94">
        <f>VLOOKUP($DE$3,Commited_Actual_2ndProject!$E$5:$AG$34,$E29+2,0)</f>
        <v>0</v>
      </c>
      <c r="DH10" s="94">
        <f>VLOOKUP($DH$3,Commited_Actual_2ndProject!$E$5:$AG$34,$E29,0)</f>
        <v>0.05</v>
      </c>
      <c r="DI10" s="94">
        <f>VLOOKUP($DH$3,Commited_Actual_2ndProject!$E$5:$AG$34,$E29+1,0)</f>
        <v>16</v>
      </c>
      <c r="DJ10" s="94">
        <f>VLOOKUP($DH$3,Commited_Actual_2ndProject!$E$5:$AG$34,$E29+2,0)</f>
        <v>17</v>
      </c>
      <c r="DK10" s="94">
        <f>VLOOKUP($DK$3,Commited_Actual_2ndProject!$E$5:$AG$34,$E29,0)</f>
        <v>0.1</v>
      </c>
      <c r="DL10" s="94">
        <f>VLOOKUP($DK$3,Commited_Actual_2ndProject!$E$5:$AG$34,$E29+1,0)</f>
        <v>49</v>
      </c>
      <c r="DM10" s="94">
        <f>VLOOKUP($DK$3,Commited_Actual_2ndProject!$E$5:$AG$34,$E29+2,0)</f>
        <v>50</v>
      </c>
      <c r="DN10" s="94">
        <f>VLOOKUP($DN$3,Commited_Actual_2ndProject!$E$5:$AG$34,$E29,0)</f>
        <v>0</v>
      </c>
      <c r="DO10" s="247">
        <f>VLOOKUP($DN$3,Commited_Actual_2ndProject!$E$5:$AG$34,$E29+1,0)</f>
        <v>0</v>
      </c>
      <c r="DP10" s="247">
        <f>VLOOKUP($DN$3,Commited_Actual_2ndProject!$E$5:$AG$34,$E29+2,0)</f>
        <v>0</v>
      </c>
      <c r="DQ10" s="94">
        <f>VLOOKUP($DQ$3,Commited_Actual_2ndProject!$E$5:$AG$34,$E29,0)</f>
        <v>0</v>
      </c>
      <c r="DR10" s="94">
        <f>VLOOKUP($DQ$3,Commited_Actual_2ndProject!$E$5:$AG$34,$E29+1,0)</f>
        <v>0</v>
      </c>
      <c r="DS10" s="94">
        <f>VLOOKUP($DQ$3,Commited_Actual_2ndProject!$E$5:$AG$34,$E29+2,0)</f>
        <v>0</v>
      </c>
      <c r="DT10" s="94">
        <f>VLOOKUP($DT$3,Commited_Actual_2ndProject!$E$5:$AG$34,$E29,0)</f>
        <v>0</v>
      </c>
      <c r="DU10" s="94">
        <f>VLOOKUP($DT$3,Commited_Actual_2ndProject!$E$5:$AG$34,$E29+1,0)</f>
        <v>0</v>
      </c>
      <c r="DV10" s="94">
        <f>VLOOKUP($DT$3,Commited_Actual_2ndProject!$E$5:$AG$34,$E29+2,0)</f>
        <v>0</v>
      </c>
      <c r="DW10" s="94">
        <f>VLOOKUP($DW$3,Commited_Actual_2ndProject!$E$5:$AG$34,$E29,0)</f>
        <v>0</v>
      </c>
      <c r="DX10" s="94">
        <f>VLOOKUP($DW$3,Commited_Actual_2ndProject!$E$5:$AG$34,$E29+1,0)</f>
        <v>0</v>
      </c>
      <c r="DY10" s="94">
        <f>VLOOKUP($DW$3,Commited_Actual_2ndProject!$E$5:$AG$34,$E29+2,0)</f>
        <v>0</v>
      </c>
      <c r="DZ10" s="94">
        <f>VLOOKUP($DZ$3,Commited_Actual_2ndProject!$E$5:$AG$34,$E29,0)</f>
        <v>0.15</v>
      </c>
      <c r="EA10" s="94">
        <f>VLOOKUP($DZ$3,Commited_Actual_2ndProject!$E$5:$AG$34,$E29+1,0)</f>
        <v>0.95</v>
      </c>
      <c r="EB10" s="94">
        <f>VLOOKUP($DZ$3,Commited_Actual_2ndProject!$E$5:$AG$34,$E29+2,0)</f>
        <v>0.98</v>
      </c>
      <c r="EC10" s="94">
        <f>VLOOKUP($EC$3,Commited_Actual_2ndProject!$E$5:$AG$34,$E30,0)</f>
        <v>0</v>
      </c>
      <c r="ED10" s="94">
        <f>VLOOKUP($EC$3,Commited_Actual_2ndProject!$E$5:$AG$34,$E30+1,0)</f>
        <v>0</v>
      </c>
      <c r="EE10" s="94">
        <f>VLOOKUP($EC$3,Commited_Actual_2ndProject!$E$5:$AG$34,$E30+2,0)</f>
        <v>0</v>
      </c>
      <c r="EF10" s="94">
        <f>VLOOKUP($EF$3,Commited_Actual_2ndProject!$E$5:$AG$34,$E29,0)</f>
        <v>0</v>
      </c>
      <c r="EG10" s="94">
        <f>VLOOKUP($EF$3,Commited_Actual_2ndProject!$E$5:$AG$34,$E29+1,0)</f>
        <v>0</v>
      </c>
      <c r="EH10" s="94">
        <f>VLOOKUP($EF$3,Commited_Actual_2ndProject!$E$5:$AG$34,$E29+2,0)</f>
        <v>0</v>
      </c>
      <c r="EI10" s="94">
        <f>VLOOKUP($EI$3,Commited_Actual_2ndProject!$E$5:$AG$34,$E29,0)</f>
        <v>0</v>
      </c>
      <c r="EJ10" s="94">
        <f>VLOOKUP($EI$3,Commited_Actual_2ndProject!$E$5:$AG$34,$E29+1,0)</f>
        <v>0</v>
      </c>
      <c r="EK10" s="94">
        <f>VLOOKUP($EI$3,Commited_Actual_2ndProject!$E$5:$AG$34,$E29+2,0)</f>
        <v>0</v>
      </c>
      <c r="EL10" s="94">
        <f>VLOOKUP($EL$3,Commited_Actual_2ndProject!$E$5:$AG$34,$E29,0)</f>
        <v>0</v>
      </c>
      <c r="EM10" s="94">
        <f>VLOOKUP($EL$3,Commited_Actual_2ndProject!$E$5:$AG$34,$E29+1,0)</f>
        <v>0</v>
      </c>
      <c r="EN10" s="94">
        <f>VLOOKUP($EL$3,Commited_Actual_2ndProject!$E$5:$AG$34,$E29+2,0)</f>
        <v>0</v>
      </c>
      <c r="EO10" s="94">
        <f>VLOOKUP($EO$3,Commited_Actual_2ndProject!$E$5:$AG$34,$E29,0)</f>
        <v>0</v>
      </c>
      <c r="EP10" s="94">
        <f>VLOOKUP($EO$3,Commited_Actual_2ndProject!$E$5:$AG$34,$E29+1,0)</f>
        <v>0</v>
      </c>
      <c r="EQ10" s="94">
        <f>VLOOKUP($EO$3,Commited_Actual_2ndProject!$E$5:$AG$34,$E29+2,0)</f>
        <v>0</v>
      </c>
      <c r="ER10" s="94">
        <f>VLOOKUP($ER$3,Commited_Actual_2ndProject!$E$5:$AG$34,$E29,0)</f>
        <v>0</v>
      </c>
      <c r="ES10" s="94">
        <f>VLOOKUP($ER$3,Commited_Actual_2ndProject!$E$5:$AG$34,$E29+1,0)</f>
        <v>0</v>
      </c>
      <c r="ET10" s="94">
        <f>VLOOKUP($ER$3,Commited_Actual_2ndProject!$E$5:$AG$34,$E29+2,0)</f>
        <v>0</v>
      </c>
      <c r="EU10" s="94">
        <f>VLOOKUP($EU$3,Commited_Actual_2ndProject!$E$5:$AG$34,$E29,0)</f>
        <v>0</v>
      </c>
      <c r="EV10" s="94">
        <f>VLOOKUP($EU$3,Commited_Actual_2ndProject!$E$5:$AG$34,$E29+1,0)</f>
        <v>0</v>
      </c>
      <c r="EW10" s="94">
        <f>VLOOKUP($EU$3,Commited_Actual_2ndProject!$E$5:$AG$34,$E29+2,0)</f>
        <v>0</v>
      </c>
      <c r="EX10" s="94">
        <f>VLOOKUP($EX$3,Commited_Actual_2ndProject!$E$5:$AG$34,$E29,0)</f>
        <v>0</v>
      </c>
      <c r="EY10" s="94">
        <f>VLOOKUP($EX$3,Commited_Actual_2ndProject!$E$5:$AG$34,$E29+1,0)</f>
        <v>0</v>
      </c>
      <c r="EZ10" s="94">
        <f>VLOOKUP($EX$3,Commited_Actual_2ndProject!$E$5:$AG$34,$E29+2,0)</f>
        <v>0</v>
      </c>
      <c r="FA10" s="96"/>
      <c r="FB10" s="97"/>
      <c r="FC10" s="97"/>
      <c r="FD10" s="96"/>
      <c r="FE10" s="97"/>
      <c r="FF10" s="97"/>
      <c r="FG10" s="96"/>
      <c r="FH10" s="97"/>
      <c r="FI10" s="97"/>
      <c r="FJ10" s="96"/>
      <c r="FK10" s="97"/>
      <c r="FL10" s="97"/>
      <c r="FM10" s="96"/>
      <c r="FN10" s="97"/>
      <c r="FO10" s="97"/>
      <c r="FP10" s="96"/>
      <c r="FQ10" s="97"/>
      <c r="FR10" s="97"/>
      <c r="FS10" s="96"/>
      <c r="FT10" s="97"/>
      <c r="FU10" s="97"/>
      <c r="FV10" s="94"/>
      <c r="FW10" s="95"/>
      <c r="FX10" s="95"/>
      <c r="FY10" s="94"/>
      <c r="FZ10" s="95"/>
      <c r="GA10" s="95"/>
      <c r="GB10" s="96"/>
      <c r="GC10" s="95"/>
      <c r="GD10" s="95"/>
      <c r="GE10" s="96"/>
      <c r="GF10" s="95"/>
      <c r="GG10" s="95"/>
      <c r="GH10" s="96"/>
      <c r="GI10" s="95"/>
      <c r="GJ10" s="95"/>
      <c r="GK10" s="96"/>
      <c r="GL10" s="95"/>
      <c r="GM10" s="95"/>
      <c r="GN10" s="96"/>
      <c r="GO10" s="95"/>
      <c r="GP10" s="95"/>
      <c r="GQ10" s="94"/>
      <c r="GR10" s="95"/>
      <c r="GS10" s="95"/>
      <c r="GT10" s="96"/>
      <c r="GU10" s="97"/>
      <c r="GV10" s="97"/>
      <c r="GW10" s="96"/>
      <c r="GX10" s="97"/>
      <c r="GY10" s="97"/>
      <c r="GZ10" s="96"/>
      <c r="HA10" s="97"/>
      <c r="HB10" s="97"/>
      <c r="HC10" s="96"/>
      <c r="HD10" s="97"/>
      <c r="HE10" s="97"/>
      <c r="HF10" s="96"/>
      <c r="HG10" s="97"/>
      <c r="HH10" s="97"/>
      <c r="HI10" s="96"/>
      <c r="HJ10" s="97"/>
      <c r="HK10" s="97"/>
      <c r="HL10" s="96"/>
      <c r="HM10" s="97"/>
      <c r="HN10" s="97"/>
      <c r="HO10" s="96"/>
      <c r="HP10" s="97"/>
      <c r="HQ10" s="97"/>
      <c r="HR10" s="96"/>
      <c r="HS10" s="97"/>
      <c r="HT10" s="97"/>
      <c r="HU10" s="96"/>
      <c r="HV10" s="97"/>
      <c r="HW10" s="97"/>
      <c r="HX10" s="94"/>
      <c r="HY10" s="95"/>
      <c r="HZ10" s="95"/>
      <c r="IA10" s="94"/>
      <c r="IB10" s="95"/>
      <c r="IC10" s="95"/>
      <c r="ID10" s="96"/>
      <c r="IE10" s="95"/>
      <c r="IF10" s="95"/>
      <c r="IG10" s="96"/>
      <c r="IH10" s="95"/>
      <c r="II10" s="95"/>
      <c r="IJ10" s="96"/>
      <c r="IK10" s="95"/>
      <c r="IL10" s="95"/>
      <c r="IM10" s="96"/>
      <c r="IN10" s="95"/>
      <c r="IO10" s="95"/>
      <c r="IP10" s="96"/>
      <c r="IQ10" s="95"/>
      <c r="IR10" s="95"/>
      <c r="IS10" s="94"/>
      <c r="IT10" s="95"/>
      <c r="IU10" s="95"/>
      <c r="IV10" s="96"/>
      <c r="IW10" s="97"/>
      <c r="IX10" s="97"/>
      <c r="IY10" s="96"/>
      <c r="IZ10" s="97"/>
      <c r="JA10" s="97"/>
      <c r="JB10" s="96"/>
      <c r="JC10" s="97"/>
      <c r="JD10" s="97"/>
      <c r="JE10" s="96"/>
      <c r="JF10" s="97"/>
      <c r="JG10" s="97"/>
      <c r="JH10" s="96"/>
      <c r="JI10" s="97"/>
      <c r="JJ10" s="97"/>
      <c r="JK10" s="96"/>
      <c r="JL10" s="97"/>
      <c r="JM10" s="97"/>
      <c r="JN10" s="96"/>
      <c r="JO10" s="97"/>
      <c r="JP10" s="97"/>
      <c r="JQ10" s="96"/>
      <c r="JR10" s="97"/>
      <c r="JS10" s="97"/>
      <c r="JT10" s="96"/>
      <c r="JU10" s="97"/>
      <c r="JV10" s="97"/>
      <c r="JW10" s="96"/>
      <c r="JX10" s="97"/>
      <c r="JY10" s="97"/>
    </row>
    <row r="11" spans="1:285" ht="15.6" customHeight="1">
      <c r="A11" s="182"/>
      <c r="B11" s="184"/>
      <c r="C11" s="6">
        <v>6</v>
      </c>
      <c r="D11" s="248" t="s">
        <v>325</v>
      </c>
      <c r="E11" s="24" t="s">
        <v>316</v>
      </c>
      <c r="F11" s="5" t="s">
        <v>33</v>
      </c>
      <c r="G11" s="94">
        <f>VLOOKUP($G$3,Commited_Actual_1stProject!$E$9:$BU$36,$D28,0)</f>
        <v>7.0000000000000007E-2</v>
      </c>
      <c r="H11" s="247">
        <f>VLOOKUP($G$3,Commited_Actual_1stProject!$E$9:$BU$36,$D28+1,0)</f>
        <v>40</v>
      </c>
      <c r="I11" s="247">
        <f>VLOOKUP($G$3,Commited_Actual_1stProject!$E$9:$BU$36,$D28+2,0)</f>
        <v>54.19</v>
      </c>
      <c r="J11" s="94">
        <f>VLOOKUP($J$3,Commited_Actual_1stProject!$E$9:$BU$36,$D28,0)</f>
        <v>0.05</v>
      </c>
      <c r="K11" s="247">
        <f>VLOOKUP($J$3,Commited_Actual_1stProject!$E$9:$BU$36,$D28+1,0)</f>
        <v>8</v>
      </c>
      <c r="L11" s="247">
        <f>VLOOKUP($J$3,Commited_Actual_1stProject!$E$9:$BU$36,$D28+2,0)</f>
        <v>14.04</v>
      </c>
      <c r="M11" s="94">
        <f>VLOOKUP($M$3,Commited_Actual_1stProject!$E$9:$BU$36,$D28,0)</f>
        <v>0.05</v>
      </c>
      <c r="N11" s="247">
        <f>VLOOKUP($M$3,Commited_Actual_1stProject!$E$9:$BU$36,$D28+1,0)</f>
        <v>45</v>
      </c>
      <c r="O11" s="247">
        <f>VLOOKUP($M$3,Commited_Actual_1stProject!$E$9:$BU$36,$D28+2,0)</f>
        <v>40.770000000000003</v>
      </c>
      <c r="P11" s="94">
        <f>VLOOKUP($P$3,Commited_Actual_1stProject!$E$9:$BU$36,$D28,0)</f>
        <v>7.0000000000000007E-2</v>
      </c>
      <c r="Q11" s="247">
        <f>VLOOKUP($P$3,Commited_Actual_1stProject!$E$9:$BU$36,$D28+1,0)</f>
        <v>60</v>
      </c>
      <c r="R11" s="247">
        <f>VLOOKUP($P$3,Commited_Actual_1stProject!$E$9:$BU$36,$D28+2,0)</f>
        <v>58.34</v>
      </c>
      <c r="S11" s="94">
        <f>VLOOKUP($S$3,Commited_Actual_1stProject!$E$9:$BU$36,$D28,0)</f>
        <v>0</v>
      </c>
      <c r="T11" s="247">
        <f>VLOOKUP($S$3,Commited_Actual_1stProject!$E$9:$BU$36,$D28+1,0)</f>
        <v>0</v>
      </c>
      <c r="U11" s="247">
        <f>VLOOKUP($S$3,Commited_Actual_1stProject!$E$9:$BU$36,$D28+2,0)</f>
        <v>0</v>
      </c>
      <c r="V11" s="94">
        <f>VLOOKUP($V$3,Commited_Actual_1stProject!$E$9:$BU$36,$D28,0)</f>
        <v>0</v>
      </c>
      <c r="W11" s="247">
        <f>VLOOKUP($V$3,Commited_Actual_1stProject!$E$9:$BU$36,$D28+1,0)</f>
        <v>0</v>
      </c>
      <c r="X11" s="247">
        <f>VLOOKUP($V$3,Commited_Actual_1stProject!$E$9:$BU$36,$D28+2,0)</f>
        <v>0</v>
      </c>
      <c r="Y11" s="94">
        <f>VLOOKUP($Y$3,Commited_Actual_1stProject!$E$9:$BU$36,$D28,0)</f>
        <v>0</v>
      </c>
      <c r="Z11" s="247">
        <f>VLOOKUP($Y$3,Commited_Actual_1stProject!$E$9:$BU$36,$D28+1,0)</f>
        <v>0</v>
      </c>
      <c r="AA11" s="247">
        <f>VLOOKUP($Y$3,Commited_Actual_1stProject!$E$9:$BU$36,$D28+2,0)</f>
        <v>0</v>
      </c>
      <c r="AB11" s="94">
        <f>VLOOKUP($AB$3,Commited_Actual_1stProject!$E$9:$BU$36,$D28,0)</f>
        <v>0</v>
      </c>
      <c r="AC11" s="247">
        <f>VLOOKUP($AB$3,Commited_Actual_1stProject!$E$9:$BU$36,$D28+1,0)</f>
        <v>0</v>
      </c>
      <c r="AD11" s="247">
        <f>VLOOKUP($AB$3,Commited_Actual_1stProject!$E$9:$BU$36,$D28+2,0)</f>
        <v>0</v>
      </c>
      <c r="AE11" s="94">
        <f>VLOOKUP($AE$3,Commited_Actual_1stProject!$E$9:$BU$36,$D28,0)</f>
        <v>0</v>
      </c>
      <c r="AF11" s="247">
        <f>VLOOKUP($AE$3,Commited_Actual_1stProject!$E$9:$BU$36,$D28+1,0)</f>
        <v>0</v>
      </c>
      <c r="AG11" s="247">
        <f>VLOOKUP($AE$3,Commited_Actual_1stProject!$E$9:$BU$36,$D28+2,0)</f>
        <v>0</v>
      </c>
      <c r="AH11" s="94">
        <f>VLOOKUP($AH$3,Commited_Actual_1stProject!$E$9:$BU$36,$D28,0)</f>
        <v>0.06</v>
      </c>
      <c r="AI11" s="124">
        <f>VLOOKUP($AH$3,Commited_Actual_1stProject!$E$9:$BU$36,$D28+1,0)</f>
        <v>0.05</v>
      </c>
      <c r="AJ11" s="94">
        <f>VLOOKUP($AH$3,Commited_Actual_1stProject!$E$9:$BU$36,$D28+2,0)</f>
        <v>0.03</v>
      </c>
      <c r="AK11" s="94">
        <f>VLOOKUP($AK$3,Commited_Actual_1stProject!$E$9:$BU$36,$D28,0)</f>
        <v>0</v>
      </c>
      <c r="AL11" s="124">
        <f>VLOOKUP($AK$3,Commited_Actual_1stProject!$E$9:$BU$36,$D28+1,0)</f>
        <v>0</v>
      </c>
      <c r="AM11" s="124">
        <f>VLOOKUP($AK$3,Commited_Actual_1stProject!$E$9:$BU$36,$D28+2,0)</f>
        <v>0</v>
      </c>
      <c r="AN11" s="94">
        <f>VLOOKUP($AN$3,Commited_Actual_1stProject!$E$9:$BU$36,$D28,0)</f>
        <v>0.05</v>
      </c>
      <c r="AO11" s="94">
        <f>VLOOKUP($AN$3,Commited_Actual_1stProject!$E$9:$BU$36,$D28+1,0)</f>
        <v>0.05</v>
      </c>
      <c r="AP11" s="94">
        <f>VLOOKUP($AN$3,Commited_Actual_1stProject!$E$9:$BU$36,$D28+2,0)</f>
        <v>0</v>
      </c>
      <c r="AQ11" s="94">
        <f>VLOOKUP($AQ$3,Commited_Actual_1stProject!$E$9:$BU$36,$D28,0)</f>
        <v>0</v>
      </c>
      <c r="AR11" s="247">
        <f>VLOOKUP($AQ$3,Commited_Actual_1stProject!$E$9:$BU$36,$D28+1,0)</f>
        <v>0</v>
      </c>
      <c r="AS11" s="247">
        <f>VLOOKUP($AQ$3,Commited_Actual_1stProject!$E$9:$BU$36,$D28+2,0)</f>
        <v>0</v>
      </c>
      <c r="AT11" s="94">
        <f>VLOOKUP($AT$3,Commited_Actual_1stProject!$E$9:$BU$36,$D28,0)</f>
        <v>0.05</v>
      </c>
      <c r="AU11" s="94">
        <f>VLOOKUP($AT$3,Commited_Actual_1stProject!$E$9:$BU$36,$D28+1,0)</f>
        <v>0.1</v>
      </c>
      <c r="AV11" s="94">
        <f>VLOOKUP($AT$3,Commited_Actual_1stProject!$E$9:$BU$36,$D28+2,0)</f>
        <v>0</v>
      </c>
      <c r="AW11" s="94">
        <f>VLOOKUP($AW$3,Commited_Actual_1stProject!$E$9:$BU$36,$D28,0)</f>
        <v>0</v>
      </c>
      <c r="AX11" s="247">
        <f>VLOOKUP($AW$3,Commited_Actual_1stProject!$E$9:$BU$36,$D28+1,0)</f>
        <v>0</v>
      </c>
      <c r="AY11" s="247">
        <f>VLOOKUP($AW$3,Commited_Actual_1stProject!$E$9:$BU$36,$D28+2,0)</f>
        <v>0</v>
      </c>
      <c r="AZ11" s="94">
        <f>VLOOKUP($AZ$3,Commited_Actual_1stProject!$E$9:$BU$36,$D28,0)</f>
        <v>0</v>
      </c>
      <c r="BA11" s="247">
        <f>VLOOKUP($AZ$3,Commited_Actual_1stProject!$E$9:$BU$36,$D28+1,0)</f>
        <v>0</v>
      </c>
      <c r="BB11" s="247">
        <f>VLOOKUP($AZ$3,Commited_Actual_1stProject!$E$9:$BU$36,$D28+2,0)</f>
        <v>0</v>
      </c>
      <c r="BC11" s="94">
        <f>VLOOKUP($BC$3,Commited_Actual_1stProject!$E$9:$BU$36,$D28,0)</f>
        <v>0</v>
      </c>
      <c r="BD11" s="124">
        <f>VLOOKUP($BC$3,Commited_Actual_1stProject!$E$9:$BU$36,$D28+1,0)</f>
        <v>0</v>
      </c>
      <c r="BE11" s="124">
        <f>VLOOKUP($BC$3,Commited_Actual_1stProject!$E$9:$BU$36,$D28+2,0)</f>
        <v>0</v>
      </c>
      <c r="BF11" s="94"/>
      <c r="BG11" s="247"/>
      <c r="BH11" s="247"/>
      <c r="BI11" s="94">
        <f>VLOOKUP($BI$3,Commited_Actual_1stProject!$E$9:$BU$36,$D28,0)</f>
        <v>0</v>
      </c>
      <c r="BJ11" s="247">
        <f>VLOOKUP($BI$3,Commited_Actual_1stProject!$E$9:$BU$36,$D28+1,0)</f>
        <v>0</v>
      </c>
      <c r="BK11" s="247">
        <f>VLOOKUP($BI$3,Commited_Actual_1stProject!$E$9:$BU$36,$D28+2,0)</f>
        <v>0</v>
      </c>
      <c r="BL11" s="94">
        <f>VLOOKUP($BL$3,Commited_Actual_1stProject!$E$9:$BU$36,$D28,0)</f>
        <v>0.05</v>
      </c>
      <c r="BM11" s="247">
        <f>VLOOKUP($BL$3,Commited_Actual_1stProject!$E$9:$BU$36,$D28+1,0)</f>
        <v>3</v>
      </c>
      <c r="BN11" s="247">
        <f>VLOOKUP($BL$3,Commited_Actual_1stProject!$E$9:$BU$36,$D28+2,0)</f>
        <v>5</v>
      </c>
      <c r="BO11" s="94">
        <f>VLOOKUP($BO$3,Commited_Actual_1stProject!$E$9:$BU$36,$D28,0)</f>
        <v>0.05</v>
      </c>
      <c r="BP11" s="247">
        <f>VLOOKUP($BO$3,Commited_Actual_1stProject!$E$9:$BU$36,$D28+1,0)</f>
        <v>3</v>
      </c>
      <c r="BQ11" s="247">
        <f>VLOOKUP($BO$3,Commited_Actual_1stProject!$E$9:$BU$36,$D28+2,0)</f>
        <v>4</v>
      </c>
      <c r="BR11" s="94">
        <f>VLOOKUP($BR$3,Commited_Actual_1stProject!$E$9:$BU$36,$D28,0)</f>
        <v>0.05</v>
      </c>
      <c r="BS11" s="247">
        <f>VLOOKUP($BR$3,Commited_Actual_1stProject!$E$9:$BU$36,$D28+1,0)</f>
        <v>3</v>
      </c>
      <c r="BT11" s="247">
        <f>VLOOKUP($BR$3,Commited_Actual_1stProject!$E$9:$BU$36,$D28+2,0)</f>
        <v>5</v>
      </c>
      <c r="BU11" s="94">
        <f>VLOOKUP($BU$3,Commited_Actual_1stProject!$E$9:$BU$36,$D28,0)</f>
        <v>0</v>
      </c>
      <c r="BV11" s="247">
        <f>VLOOKUP($BU$3,Commited_Actual_1stProject!$E$9:$BU$36,$D28+1,0)</f>
        <v>0</v>
      </c>
      <c r="BW11" s="247">
        <f>VLOOKUP($BU$3,Commited_Actual_1stProject!$E$9:$BU$36,$D28+2,0)</f>
        <v>0</v>
      </c>
      <c r="BX11" s="94">
        <f>VLOOKUP($BX$3,Commited_Actual_1stProject!$E$9:$BU$36,$D28,0)</f>
        <v>0.05</v>
      </c>
      <c r="BY11" s="247">
        <f>VLOOKUP($BX$3,Commited_Actual_1stProject!$E$9:$BU$36,$D28+1,0)</f>
        <v>10</v>
      </c>
      <c r="BZ11" s="247">
        <f>VLOOKUP($BX$3,Commited_Actual_1stProject!$E$9:$BU$36,$D28+2,0)</f>
        <v>29</v>
      </c>
      <c r="CA11" s="94">
        <f>VLOOKUP($CA$3,Commited_Actual_1stProject!$E$9:$BU$36,$D28,0)</f>
        <v>0</v>
      </c>
      <c r="CB11" s="247">
        <f>VLOOKUP($CA$3,Commited_Actual_1stProject!$E$9:$BU$36,$D28+1,0)</f>
        <v>0</v>
      </c>
      <c r="CC11" s="247">
        <f>VLOOKUP($CA$3,Commited_Actual_1stProject!$E$9:$BU$36,$D28+2,0)</f>
        <v>0</v>
      </c>
      <c r="CD11" s="94"/>
      <c r="CE11" s="247"/>
      <c r="CF11" s="247"/>
      <c r="CG11" s="94"/>
      <c r="CH11" s="247"/>
      <c r="CI11" s="247"/>
      <c r="CJ11" s="94">
        <f>VLOOKUP($CJ$3,Commited_Actual_1stProject!$E$9:$BU$36,$D28,0)</f>
        <v>0.1</v>
      </c>
      <c r="CK11" s="247">
        <f>VLOOKUP($CJ$3,Commited_Actual_1stProject!$E$9:$BU$36,$D28+1,0)</f>
        <v>3</v>
      </c>
      <c r="CL11" s="247">
        <f>VLOOKUP($CJ$3,Commited_Actual_1stProject!$E$9:$BU$36,$D28+2,0)</f>
        <v>4</v>
      </c>
      <c r="CM11" s="94"/>
      <c r="CN11" s="247"/>
      <c r="CO11" s="247"/>
      <c r="CP11" s="94"/>
      <c r="CQ11" s="247"/>
      <c r="CR11" s="247"/>
      <c r="CS11" s="94">
        <f>VLOOKUP($CS$3,Commited_Actual_1stProject!$E$9:$BU$36,$D28,0)</f>
        <v>0</v>
      </c>
      <c r="CT11" s="247">
        <f>VLOOKUP($CS$3,Commited_Actual_1stProject!$E$9:$BU$36,$D28+1,0)</f>
        <v>0</v>
      </c>
      <c r="CU11" s="247">
        <f>VLOOKUP($CS$3,Commited_Actual_1stProject!$E$9:$BU$36,$D28+2,0)</f>
        <v>0</v>
      </c>
      <c r="CV11" s="94"/>
      <c r="CW11" s="247"/>
      <c r="CX11" s="247"/>
      <c r="CY11" s="94"/>
      <c r="CZ11" s="247"/>
      <c r="DA11" s="247"/>
      <c r="DB11" s="94">
        <f>VLOOKUP($DB$3,Commited_Actual_2ndProject!$E$5:$AG$34,$E28,0)</f>
        <v>0</v>
      </c>
      <c r="DC11" s="94">
        <f>VLOOKUP($DB$3,Commited_Actual_2ndProject!$E$5:$AG$34,$E28+1,0)</f>
        <v>0</v>
      </c>
      <c r="DD11" s="94">
        <f>VLOOKUP($DB$3,Commited_Actual_2ndProject!$E$5:$AG$34,$E28+2,0)</f>
        <v>0</v>
      </c>
      <c r="DE11" s="94">
        <f>VLOOKUP($DE$3,Commited_Actual_2ndProject!$E$5:$AG$34,$E28,0)</f>
        <v>0</v>
      </c>
      <c r="DF11" s="94">
        <f>VLOOKUP($DE$3,Commited_Actual_2ndProject!$E$5:$AG$34,$E28+1,0)</f>
        <v>0</v>
      </c>
      <c r="DG11" s="94">
        <f>VLOOKUP($DE$3,Commited_Actual_2ndProject!$E$5:$AG$34,$E28+2,0)</f>
        <v>0</v>
      </c>
      <c r="DH11" s="94">
        <f>VLOOKUP($DH$3,Commited_Actual_2ndProject!$E$5:$AG$34,$E28,0)</f>
        <v>0.1</v>
      </c>
      <c r="DI11" s="94">
        <f>VLOOKUP($DH$3,Commited_Actual_2ndProject!$E$5:$AG$34,$E28+1,0)</f>
        <v>29</v>
      </c>
      <c r="DJ11" s="94">
        <f>VLOOKUP($DH$3,Commited_Actual_2ndProject!$E$5:$AG$34,$E28+2,0)</f>
        <v>29</v>
      </c>
      <c r="DK11" s="94">
        <f>VLOOKUP($DK$3,Commited_Actual_2ndProject!$E$5:$AG$34,$E28,0)</f>
        <v>0.1</v>
      </c>
      <c r="DL11" s="94">
        <f>VLOOKUP($DK$3,Commited_Actual_2ndProject!$E$5:$AG$34,$E28+1,0)</f>
        <v>49</v>
      </c>
      <c r="DM11" s="94">
        <f>VLOOKUP($DK$3,Commited_Actual_2ndProject!$E$5:$AG$34,$E28+2,0)</f>
        <v>49</v>
      </c>
      <c r="DN11" s="94">
        <f>VLOOKUP($DN$3,Commited_Actual_2ndProject!$E$5:$AG$34,$E28,0)</f>
        <v>0</v>
      </c>
      <c r="DO11" s="247">
        <f>VLOOKUP($DN$3,Commited_Actual_2ndProject!$E$5:$AG$34,$E28+1,0)</f>
        <v>0</v>
      </c>
      <c r="DP11" s="247">
        <f>VLOOKUP($DN$3,Commited_Actual_2ndProject!$E$5:$AG$34,$E28+2,0)</f>
        <v>0</v>
      </c>
      <c r="DQ11" s="94">
        <f>VLOOKUP($DQ$3,Commited_Actual_2ndProject!$E$5:$AG$34,$E28,0)</f>
        <v>0</v>
      </c>
      <c r="DR11" s="94">
        <f>VLOOKUP($DQ$3,Commited_Actual_2ndProject!$E$5:$AG$34,$E28+1,0)</f>
        <v>0</v>
      </c>
      <c r="DS11" s="94">
        <f>VLOOKUP($DQ$3,Commited_Actual_2ndProject!$E$5:$AG$34,$E28+2,0)</f>
        <v>0</v>
      </c>
      <c r="DT11" s="94">
        <f>VLOOKUP($DT$3,Commited_Actual_2ndProject!$E$5:$AG$34,$E28,0)</f>
        <v>0</v>
      </c>
      <c r="DU11" s="94">
        <f>VLOOKUP($DT$3,Commited_Actual_2ndProject!$E$5:$AG$34,$E28+1,0)</f>
        <v>0</v>
      </c>
      <c r="DV11" s="94">
        <f>VLOOKUP($DT$3,Commited_Actual_2ndProject!$E$5:$AG$34,$E28+2,0)</f>
        <v>0</v>
      </c>
      <c r="DW11" s="94">
        <f>VLOOKUP($DW$3,Commited_Actual_2ndProject!$E$5:$AG$34,$E28,0)</f>
        <v>0</v>
      </c>
      <c r="DX11" s="94">
        <f>VLOOKUP($DW$3,Commited_Actual_2ndProject!$E$5:$AG$34,$E28+1,0)</f>
        <v>0</v>
      </c>
      <c r="DY11" s="94">
        <f>VLOOKUP($DW$3,Commited_Actual_2ndProject!$E$5:$AG$34,$E28+2,0)</f>
        <v>0</v>
      </c>
      <c r="DZ11" s="94">
        <f>VLOOKUP($DZ$3,Commited_Actual_2ndProject!$E$5:$AG$34,$E28,0)</f>
        <v>0.1</v>
      </c>
      <c r="EA11" s="94">
        <f>VLOOKUP($DZ$3,Commited_Actual_2ndProject!$E$5:$AG$34,$E28+1,0)</f>
        <v>0.95</v>
      </c>
      <c r="EB11" s="94">
        <f>VLOOKUP($DZ$3,Commited_Actual_2ndProject!$E$5:$AG$34,$E28+2,0)</f>
        <v>0.96</v>
      </c>
      <c r="EC11" s="94">
        <f>VLOOKUP($EC$3,Commited_Actual_2ndProject!$E$5:$AG$34,$E28,0)</f>
        <v>0</v>
      </c>
      <c r="ED11" s="94">
        <f>VLOOKUP($EC$3,Commited_Actual_2ndProject!$E$5:$AG$34,$E28+1,0)</f>
        <v>0</v>
      </c>
      <c r="EE11" s="94">
        <f>VLOOKUP($EC$3,Commited_Actual_2ndProject!$E$5:$AG$34,$E28+2,0)</f>
        <v>0</v>
      </c>
      <c r="EF11" s="94">
        <f>VLOOKUP($EF$3,Commited_Actual_2ndProject!$E$5:$AG$34,$E28,0)</f>
        <v>0</v>
      </c>
      <c r="EG11" s="94">
        <f>VLOOKUP($EF$3,Commited_Actual_2ndProject!$E$5:$AG$34,$E28+1,0)</f>
        <v>0</v>
      </c>
      <c r="EH11" s="94">
        <f>VLOOKUP($EF$3,Commited_Actual_2ndProject!$E$5:$AG$34,$E28+2,0)</f>
        <v>0</v>
      </c>
      <c r="EI11" s="94">
        <f>VLOOKUP($EI$3,Commited_Actual_2ndProject!$E$5:$AG$34,$E28,0)</f>
        <v>0</v>
      </c>
      <c r="EJ11" s="94">
        <f>VLOOKUP($EI$3,Commited_Actual_2ndProject!$E$5:$AG$34,$E28+1,0)</f>
        <v>0</v>
      </c>
      <c r="EK11" s="94">
        <f>VLOOKUP($EI$3,Commited_Actual_2ndProject!$E$5:$AG$34,$E28+2,0)</f>
        <v>0</v>
      </c>
      <c r="EL11" s="94">
        <f>VLOOKUP($EL$3,Commited_Actual_2ndProject!$E$5:$AG$34,$E28,0)</f>
        <v>0</v>
      </c>
      <c r="EM11" s="94">
        <f>VLOOKUP($EL$3,Commited_Actual_2ndProject!$E$5:$AG$34,$E28+1,0)</f>
        <v>0</v>
      </c>
      <c r="EN11" s="94">
        <f>VLOOKUP($EL$3,Commited_Actual_2ndProject!$E$5:$AG$34,$E28+2,0)</f>
        <v>0</v>
      </c>
      <c r="EO11" s="94">
        <f>VLOOKUP($EO$3,Commited_Actual_2ndProject!$E$5:$AG$34,$E28,0)</f>
        <v>0</v>
      </c>
      <c r="EP11" s="94">
        <f>VLOOKUP($EO$3,Commited_Actual_2ndProject!$E$5:$AG$34,$E28+1,0)</f>
        <v>0</v>
      </c>
      <c r="EQ11" s="94">
        <f>VLOOKUP($EO$3,Commited_Actual_2ndProject!$E$5:$AG$34,$E28+2,0)</f>
        <v>0</v>
      </c>
      <c r="ER11" s="94">
        <f>VLOOKUP($ER$3,Commited_Actual_2ndProject!$E$5:$AG$34,$E28,0)</f>
        <v>0</v>
      </c>
      <c r="ES11" s="94">
        <f>VLOOKUP($ER$3,Commited_Actual_2ndProject!$E$5:$AG$34,$E28+1,0)</f>
        <v>0</v>
      </c>
      <c r="ET11" s="94">
        <f>VLOOKUP($ER$3,Commited_Actual_2ndProject!$E$5:$AG$34,$E28+2,0)</f>
        <v>0</v>
      </c>
      <c r="EU11" s="94">
        <f>VLOOKUP($EU$3,Commited_Actual_2ndProject!$E$5:$AG$34,$E28,0)</f>
        <v>0</v>
      </c>
      <c r="EV11" s="94">
        <f>VLOOKUP($EU$3,Commited_Actual_2ndProject!$E$5:$AG$34,$E28+1,0)</f>
        <v>0</v>
      </c>
      <c r="EW11" s="94">
        <f>VLOOKUP($EU$3,Commited_Actual_2ndProject!$E$5:$AG$34,$E28+2,0)</f>
        <v>0</v>
      </c>
      <c r="EX11" s="94">
        <f>VLOOKUP($EX$3,Commited_Actual_2ndProject!$E$5:$AG$34,$E28,0)</f>
        <v>0</v>
      </c>
      <c r="EY11" s="94">
        <f>VLOOKUP($EX$3,Commited_Actual_2ndProject!$E$5:$AG$34,$E28+1,0)</f>
        <v>0</v>
      </c>
      <c r="EZ11" s="94">
        <f>VLOOKUP($EX$3,Commited_Actual_2ndProject!$E$5:$AG$34,$E28+2,0)</f>
        <v>0</v>
      </c>
      <c r="FA11" s="96"/>
      <c r="FB11" s="97"/>
      <c r="FC11" s="97"/>
      <c r="FD11" s="96"/>
      <c r="FE11" s="97"/>
      <c r="FF11" s="97"/>
      <c r="FG11" s="96"/>
      <c r="FH11" s="97"/>
      <c r="FI11" s="97"/>
      <c r="FJ11" s="96"/>
      <c r="FK11" s="97"/>
      <c r="FL11" s="97"/>
      <c r="FM11" s="96"/>
      <c r="FN11" s="97"/>
      <c r="FO11" s="97"/>
      <c r="FP11" s="96"/>
      <c r="FQ11" s="97"/>
      <c r="FR11" s="97"/>
      <c r="FS11" s="96"/>
      <c r="FT11" s="97"/>
      <c r="FU11" s="97"/>
      <c r="FV11" s="94"/>
      <c r="FW11" s="95"/>
      <c r="FX11" s="95"/>
      <c r="FY11" s="94"/>
      <c r="FZ11" s="95"/>
      <c r="GA11" s="95"/>
      <c r="GB11" s="96"/>
      <c r="GC11" s="95"/>
      <c r="GD11" s="95"/>
      <c r="GE11" s="96"/>
      <c r="GF11" s="95"/>
      <c r="GG11" s="95"/>
      <c r="GH11" s="96"/>
      <c r="GI11" s="95"/>
      <c r="GJ11" s="95"/>
      <c r="GK11" s="96"/>
      <c r="GL11" s="95"/>
      <c r="GM11" s="95"/>
      <c r="GN11" s="96"/>
      <c r="GO11" s="95"/>
      <c r="GP11" s="95"/>
      <c r="GQ11" s="94"/>
      <c r="GR11" s="95"/>
      <c r="GS11" s="95"/>
      <c r="GT11" s="96"/>
      <c r="GU11" s="97"/>
      <c r="GV11" s="97"/>
      <c r="GW11" s="96"/>
      <c r="GX11" s="97"/>
      <c r="GY11" s="97"/>
      <c r="GZ11" s="96"/>
      <c r="HA11" s="97"/>
      <c r="HB11" s="97"/>
      <c r="HC11" s="96"/>
      <c r="HD11" s="97"/>
      <c r="HE11" s="97"/>
      <c r="HF11" s="96"/>
      <c r="HG11" s="97"/>
      <c r="HH11" s="97"/>
      <c r="HI11" s="96"/>
      <c r="HJ11" s="97"/>
      <c r="HK11" s="97"/>
      <c r="HL11" s="96"/>
      <c r="HM11" s="97"/>
      <c r="HN11" s="97"/>
      <c r="HO11" s="96"/>
      <c r="HP11" s="97"/>
      <c r="HQ11" s="97"/>
      <c r="HR11" s="96"/>
      <c r="HS11" s="97"/>
      <c r="HT11" s="97"/>
      <c r="HU11" s="96"/>
      <c r="HV11" s="97"/>
      <c r="HW11" s="97"/>
      <c r="HX11" s="94"/>
      <c r="HY11" s="95"/>
      <c r="HZ11" s="95"/>
      <c r="IA11" s="94"/>
      <c r="IB11" s="95"/>
      <c r="IC11" s="95"/>
      <c r="ID11" s="96"/>
      <c r="IE11" s="95"/>
      <c r="IF11" s="95"/>
      <c r="IG11" s="96"/>
      <c r="IH11" s="95"/>
      <c r="II11" s="95"/>
      <c r="IJ11" s="96"/>
      <c r="IK11" s="95"/>
      <c r="IL11" s="95"/>
      <c r="IM11" s="96"/>
      <c r="IN11" s="95"/>
      <c r="IO11" s="95"/>
      <c r="IP11" s="96"/>
      <c r="IQ11" s="95"/>
      <c r="IR11" s="95"/>
      <c r="IS11" s="94"/>
      <c r="IT11" s="95"/>
      <c r="IU11" s="95"/>
      <c r="IV11" s="96"/>
      <c r="IW11" s="97"/>
      <c r="IX11" s="97"/>
      <c r="IY11" s="96"/>
      <c r="IZ11" s="97"/>
      <c r="JA11" s="97"/>
      <c r="JB11" s="96"/>
      <c r="JC11" s="97"/>
      <c r="JD11" s="97"/>
      <c r="JE11" s="96"/>
      <c r="JF11" s="97"/>
      <c r="JG11" s="97"/>
      <c r="JH11" s="96"/>
      <c r="JI11" s="97"/>
      <c r="JJ11" s="97"/>
      <c r="JK11" s="96"/>
      <c r="JL11" s="97"/>
      <c r="JM11" s="97"/>
      <c r="JN11" s="96"/>
      <c r="JO11" s="97"/>
      <c r="JP11" s="97"/>
      <c r="JQ11" s="96"/>
      <c r="JR11" s="97"/>
      <c r="JS11" s="97"/>
      <c r="JT11" s="96"/>
      <c r="JU11" s="97"/>
      <c r="JV11" s="97"/>
      <c r="JW11" s="96"/>
      <c r="JX11" s="97"/>
      <c r="JY11" s="97"/>
    </row>
    <row r="12" spans="1:285" ht="16.2" customHeight="1">
      <c r="A12" s="182"/>
      <c r="B12" s="184"/>
      <c r="C12" s="6">
        <v>7</v>
      </c>
      <c r="D12" s="248" t="s">
        <v>326</v>
      </c>
      <c r="E12" s="25" t="s">
        <v>318</v>
      </c>
      <c r="F12" s="5" t="s">
        <v>33</v>
      </c>
      <c r="G12" s="94">
        <f>VLOOKUP($G$3,Commited_Actual_1stProject!$E$9:$BU$36,$D27,0)</f>
        <v>0</v>
      </c>
      <c r="H12" s="247">
        <f>VLOOKUP($G$3,Commited_Actual_1stProject!$E$9:$BU$36,$D27+1,0)</f>
        <v>0</v>
      </c>
      <c r="I12" s="247">
        <f>VLOOKUP($G$3,Commited_Actual_1stProject!$E$9:$BU$36,$D27+2,0)</f>
        <v>0</v>
      </c>
      <c r="J12" s="94">
        <f>VLOOKUP($J$3,Commited_Actual_1stProject!$E$9:$BU$36,$D27,0)</f>
        <v>0</v>
      </c>
      <c r="K12" s="247">
        <f>VLOOKUP($J$3,Commited_Actual_1stProject!$E$9:$BU$36,$D27+1,0)</f>
        <v>0</v>
      </c>
      <c r="L12" s="247">
        <f>VLOOKUP($J$3,Commited_Actual_1stProject!$E$9:$BU$36,$D27+2,0)</f>
        <v>0</v>
      </c>
      <c r="M12" s="94">
        <f>VLOOKUP($M$3,Commited_Actual_1stProject!$E$9:$BU$36,$D27,0)</f>
        <v>0</v>
      </c>
      <c r="N12" s="247">
        <f>VLOOKUP($M$3,Commited_Actual_1stProject!$E$9:$BU$36,$D27+1,0)</f>
        <v>0</v>
      </c>
      <c r="O12" s="247">
        <f>VLOOKUP($M$3,Commited_Actual_1stProject!$E$9:$BU$36,$D27+2,0)</f>
        <v>0</v>
      </c>
      <c r="P12" s="94">
        <f>VLOOKUP($P$3,Commited_Actual_1stProject!$E$9:$BU$36,$D27,0)</f>
        <v>0</v>
      </c>
      <c r="Q12" s="247">
        <f>VLOOKUP($P$3,Commited_Actual_1stProject!$E$9:$BU$36,$D27+1,0)</f>
        <v>0</v>
      </c>
      <c r="R12" s="247">
        <f>VLOOKUP($P$3,Commited_Actual_1stProject!$E$9:$BU$36,$D27+2,0)</f>
        <v>0</v>
      </c>
      <c r="S12" s="94">
        <f>VLOOKUP($S$3,Commited_Actual_1stProject!$E$9:$BU$36,$D27,0)</f>
        <v>0.04</v>
      </c>
      <c r="T12" s="247">
        <f>VLOOKUP($S$3,Commited_Actual_1stProject!$E$9:$BU$36,$D27+1,0)</f>
        <v>30</v>
      </c>
      <c r="U12" s="247">
        <f>VLOOKUP($S$3,Commited_Actual_1stProject!$E$9:$BU$36,$D27+2,0)</f>
        <v>29.88</v>
      </c>
      <c r="V12" s="94">
        <f>VLOOKUP($V$3,Commited_Actual_1stProject!$E$9:$BU$36,$D27,0)</f>
        <v>0</v>
      </c>
      <c r="W12" s="247">
        <f>VLOOKUP($V$3,Commited_Actual_1stProject!$E$9:$BU$36,$D27+1,0)</f>
        <v>0</v>
      </c>
      <c r="X12" s="247">
        <f>VLOOKUP($V$3,Commited_Actual_1stProject!$E$9:$BU$36,$D27+2,0)</f>
        <v>0</v>
      </c>
      <c r="Y12" s="94">
        <f>VLOOKUP($Y$3,Commited_Actual_1stProject!$E$9:$BU$36,$D27,0)</f>
        <v>0</v>
      </c>
      <c r="Z12" s="247">
        <f>VLOOKUP($Y$3,Commited_Actual_1stProject!$E$9:$BU$36,$D27+1,0)</f>
        <v>0</v>
      </c>
      <c r="AA12" s="247">
        <f>VLOOKUP($Y$3,Commited_Actual_1stProject!$E$9:$BU$36,$D27+2,0)</f>
        <v>0</v>
      </c>
      <c r="AB12" s="94">
        <f>VLOOKUP($AB$3,Commited_Actual_1stProject!$E$9:$BU$36,$D27,0)</f>
        <v>0.04</v>
      </c>
      <c r="AC12" s="247">
        <f>VLOOKUP($AB$3,Commited_Actual_1stProject!$E$9:$BU$36,$D27+1,0)</f>
        <v>5</v>
      </c>
      <c r="AD12" s="247">
        <f>VLOOKUP($AB$3,Commited_Actual_1stProject!$E$9:$BU$36,$D27+2,0)</f>
        <v>5</v>
      </c>
      <c r="AE12" s="94">
        <f>VLOOKUP($AE$3,Commited_Actual_1stProject!$E$9:$BU$36,$D27,0)</f>
        <v>0</v>
      </c>
      <c r="AF12" s="247">
        <f>VLOOKUP($AE$3,Commited_Actual_1stProject!$E$9:$BU$36,$D27+1,0)</f>
        <v>0</v>
      </c>
      <c r="AG12" s="247">
        <f>VLOOKUP($AE$3,Commited_Actual_1stProject!$E$9:$BU$36,$D27+2,0)</f>
        <v>0</v>
      </c>
      <c r="AH12" s="94">
        <f>VLOOKUP($AH$3,Commited_Actual_1stProject!$E$9:$BU$36,$D27,0)</f>
        <v>0</v>
      </c>
      <c r="AI12" s="124">
        <f>VLOOKUP($AH$3,Commited_Actual_1stProject!$E$9:$BU$36,$D27+1,0)</f>
        <v>0</v>
      </c>
      <c r="AJ12" s="94">
        <f>VLOOKUP($AH$3,Commited_Actual_1stProject!$E$9:$BU$36,$D27+2,0)</f>
        <v>0</v>
      </c>
      <c r="AK12" s="94">
        <f>VLOOKUP($AK$3,Commited_Actual_1stProject!$E$9:$BU$36,$D27,0)</f>
        <v>0</v>
      </c>
      <c r="AL12" s="124">
        <f>VLOOKUP($AK$3,Commited_Actual_1stProject!$E$9:$BU$36,$D27+1,0)</f>
        <v>0</v>
      </c>
      <c r="AM12" s="124">
        <f>VLOOKUP($AK$3,Commited_Actual_1stProject!$E$9:$BU$36,$D27+2,0)</f>
        <v>0</v>
      </c>
      <c r="AN12" s="94">
        <f>VLOOKUP($AN$3,Commited_Actual_1stProject!$E$9:$BU$36,$D27,0)</f>
        <v>0</v>
      </c>
      <c r="AO12" s="94">
        <f>VLOOKUP($AN$3,Commited_Actual_1stProject!$E$9:$BU$36,$D27+1,0)</f>
        <v>0</v>
      </c>
      <c r="AP12" s="94">
        <f>VLOOKUP($AN$3,Commited_Actual_1stProject!$E$9:$BU$36,$D27+2,0)</f>
        <v>0</v>
      </c>
      <c r="AQ12" s="94">
        <f>VLOOKUP($AQ$3,Commited_Actual_1stProject!$E$9:$BU$36,$D27,0)</f>
        <v>0</v>
      </c>
      <c r="AR12" s="247">
        <f>VLOOKUP($AQ$3,Commited_Actual_1stProject!$E$9:$BU$36,$D27+1,0)</f>
        <v>0</v>
      </c>
      <c r="AS12" s="247">
        <f>VLOOKUP($AQ$3,Commited_Actual_1stProject!$E$9:$BU$36,$D27+2,0)</f>
        <v>0</v>
      </c>
      <c r="AT12" s="94">
        <f>VLOOKUP($AT$3,Commited_Actual_1stProject!$E$9:$BU$36,$D27,0)</f>
        <v>0</v>
      </c>
      <c r="AU12" s="94">
        <f>VLOOKUP($AT$3,Commited_Actual_1stProject!$E$9:$BU$36,$D27+1,0)</f>
        <v>0</v>
      </c>
      <c r="AV12" s="94">
        <f>VLOOKUP($AT$3,Commited_Actual_1stProject!$E$9:$BU$36,$D27+2,0)</f>
        <v>0</v>
      </c>
      <c r="AW12" s="94">
        <f>VLOOKUP($AW$3,Commited_Actual_1stProject!$E$9:$BU$36,$D27,0)</f>
        <v>0</v>
      </c>
      <c r="AX12" s="247">
        <f>VLOOKUP($AW$3,Commited_Actual_1stProject!$E$9:$BU$36,$D27+1,0)</f>
        <v>0</v>
      </c>
      <c r="AY12" s="247">
        <f>VLOOKUP($AW$3,Commited_Actual_1stProject!$E$9:$BU$36,$D27+2,0)</f>
        <v>0</v>
      </c>
      <c r="AZ12" s="94">
        <f>VLOOKUP($AZ$3,Commited_Actual_1stProject!$E$9:$BU$36,$D27,0)</f>
        <v>0</v>
      </c>
      <c r="BA12" s="247">
        <f>VLOOKUP($AZ$3,Commited_Actual_1stProject!$E$9:$BU$36,$D27+1,0)</f>
        <v>0</v>
      </c>
      <c r="BB12" s="247">
        <f>VLOOKUP($AZ$3,Commited_Actual_1stProject!$E$9:$BU$36,$D27+2,0)</f>
        <v>0</v>
      </c>
      <c r="BC12" s="94">
        <f>VLOOKUP($BC$3,Commited_Actual_1stProject!$E$9:$BU$36,$D27,0)</f>
        <v>0.05</v>
      </c>
      <c r="BD12" s="124">
        <f>VLOOKUP($BC$3,Commited_Actual_1stProject!$E$9:$BU$36,$D27+1,0)</f>
        <v>0.25</v>
      </c>
      <c r="BE12" s="124">
        <f>VLOOKUP($BC$3,Commited_Actual_1stProject!$E$9:$BU$36,$D27+2,0)</f>
        <v>0.31</v>
      </c>
      <c r="BF12" s="94"/>
      <c r="BG12" s="247"/>
      <c r="BH12" s="247"/>
      <c r="BI12" s="94">
        <f>VLOOKUP($BI$3,Commited_Actual_1stProject!$E$9:$BU$36,$D27,0)</f>
        <v>0.05</v>
      </c>
      <c r="BJ12" s="247">
        <f>VLOOKUP($BI$3,Commited_Actual_1stProject!$E$9:$BU$36,$D27+1,0)</f>
        <v>650</v>
      </c>
      <c r="BK12" s="247">
        <f>VLOOKUP($BI$3,Commited_Actual_1stProject!$E$9:$BU$36,$D27+2,0)</f>
        <v>675</v>
      </c>
      <c r="BL12" s="94">
        <f>VLOOKUP($BL$3,Commited_Actual_1stProject!$E$9:$BU$36,$D27,0)</f>
        <v>0.04</v>
      </c>
      <c r="BM12" s="247">
        <f>VLOOKUP($BL$3,Commited_Actual_1stProject!$E$9:$BU$36,$D27+1,0)</f>
        <v>3</v>
      </c>
      <c r="BN12" s="247">
        <f>VLOOKUP($BL$3,Commited_Actual_1stProject!$E$9:$BU$36,$D27+2,0)</f>
        <v>5</v>
      </c>
      <c r="BO12" s="94">
        <f>VLOOKUP($BO$3,Commited_Actual_1stProject!$E$9:$BU$36,$D27,0)</f>
        <v>0.03</v>
      </c>
      <c r="BP12" s="247">
        <f>VLOOKUP($BO$3,Commited_Actual_1stProject!$E$9:$BU$36,$D27+1,0)</f>
        <v>3</v>
      </c>
      <c r="BQ12" s="247">
        <f>VLOOKUP($BO$3,Commited_Actual_1stProject!$E$9:$BU$36,$D27+2,0)</f>
        <v>4</v>
      </c>
      <c r="BR12" s="94">
        <f>VLOOKUP($BR$3,Commited_Actual_1stProject!$E$9:$BU$36,$D27,0)</f>
        <v>0.03</v>
      </c>
      <c r="BS12" s="247">
        <f>VLOOKUP($BR$3,Commited_Actual_1stProject!$E$9:$BU$36,$D27+1,0)</f>
        <v>3</v>
      </c>
      <c r="BT12" s="247">
        <f>VLOOKUP($BR$3,Commited_Actual_1stProject!$E$9:$BU$36,$D27+2,0)</f>
        <v>5</v>
      </c>
      <c r="BU12" s="94">
        <f>VLOOKUP($BU$3,Commited_Actual_1stProject!$E$9:$BU$36,$D27,0)</f>
        <v>0</v>
      </c>
      <c r="BV12" s="247">
        <f>VLOOKUP($BU$3,Commited_Actual_1stProject!$E$9:$BU$36,$D27+1,0)</f>
        <v>0</v>
      </c>
      <c r="BW12" s="247">
        <f>VLOOKUP($BU$3,Commited_Actual_1stProject!$E$9:$BU$36,$D27+2,0)</f>
        <v>0</v>
      </c>
      <c r="BX12" s="94">
        <f>VLOOKUP($BX$3,Commited_Actual_1stProject!$E$9:$BU$36,$D27,0)</f>
        <v>0.05</v>
      </c>
      <c r="BY12" s="247">
        <f>VLOOKUP($BX$3,Commited_Actual_1stProject!$E$9:$BU$36,$D27+1,0)</f>
        <v>10</v>
      </c>
      <c r="BZ12" s="247">
        <f>VLOOKUP($BX$3,Commited_Actual_1stProject!$E$9:$BU$36,$D27+2,0)</f>
        <v>18</v>
      </c>
      <c r="CA12" s="94">
        <f>VLOOKUP($CA$3,Commited_Actual_1stProject!$E$9:$BU$36,$D27,0)</f>
        <v>0</v>
      </c>
      <c r="CB12" s="247">
        <f>VLOOKUP($CA$3,Commited_Actual_1stProject!$E$9:$BU$36,$D27+1,0)</f>
        <v>0</v>
      </c>
      <c r="CC12" s="247">
        <f>VLOOKUP($CA$3,Commited_Actual_1stProject!$E$9:$BU$36,$D27+2,0)</f>
        <v>0</v>
      </c>
      <c r="CD12" s="94"/>
      <c r="CE12" s="247"/>
      <c r="CF12" s="247"/>
      <c r="CG12" s="94"/>
      <c r="CH12" s="247"/>
      <c r="CI12" s="247"/>
      <c r="CJ12" s="94">
        <f>VLOOKUP($CJ$3,Commited_Actual_1stProject!$E$9:$BU$36,$D27,0)</f>
        <v>0.1</v>
      </c>
      <c r="CK12" s="247">
        <f>VLOOKUP($CJ$3,Commited_Actual_1stProject!$E$9:$BU$36,$D27+1,0)</f>
        <v>3</v>
      </c>
      <c r="CL12" s="247">
        <f>VLOOKUP($CJ$3,Commited_Actual_1stProject!$E$9:$BU$36,$D27+2,0)</f>
        <v>5</v>
      </c>
      <c r="CM12" s="94"/>
      <c r="CN12" s="247"/>
      <c r="CO12" s="247"/>
      <c r="CP12" s="94"/>
      <c r="CQ12" s="247"/>
      <c r="CR12" s="247"/>
      <c r="CS12" s="94">
        <f>VLOOKUP($CS$3,Commited_Actual_1stProject!$E$9:$BU$36,$D27,0)</f>
        <v>0.03</v>
      </c>
      <c r="CT12" s="247">
        <f>VLOOKUP($CS$3,Commited_Actual_1stProject!$E$9:$BU$36,$D27+1,0)</f>
        <v>0.9</v>
      </c>
      <c r="CU12" s="247">
        <f>VLOOKUP($CS$3,Commited_Actual_1stProject!$E$9:$BU$36,$D27+2,0)</f>
        <v>1</v>
      </c>
      <c r="CV12" s="94"/>
      <c r="CW12" s="247"/>
      <c r="CX12" s="247"/>
      <c r="CY12" s="94"/>
      <c r="CZ12" s="247"/>
      <c r="DA12" s="247"/>
      <c r="DB12" s="94">
        <f>VLOOKUP($DB$3,Commited_Actual_2ndProject!$E$5:$AG$34,$E27,0)</f>
        <v>0</v>
      </c>
      <c r="DC12" s="94">
        <f>VLOOKUP($DB$3,Commited_Actual_2ndProject!$E$5:$AG$34,$E27+1,0)</f>
        <v>0</v>
      </c>
      <c r="DD12" s="94">
        <f>VLOOKUP($DB$3,Commited_Actual_2ndProject!$E$5:$AG$34,$E27+2,0)</f>
        <v>0</v>
      </c>
      <c r="DE12" s="94">
        <f>VLOOKUP($DE$3,Commited_Actual_2ndProject!$E$5:$AG$34,$E27,0)</f>
        <v>0</v>
      </c>
      <c r="DF12" s="94">
        <f>VLOOKUP($DE$3,Commited_Actual_2ndProject!$E$5:$AG$34,$E27+1,0)</f>
        <v>0</v>
      </c>
      <c r="DG12" s="94">
        <f>VLOOKUP($DE$3,Commited_Actual_2ndProject!$E$5:$AG$34,$E27+2,0)</f>
        <v>0</v>
      </c>
      <c r="DH12" s="94">
        <f>VLOOKUP($DH$3,Commited_Actual_2ndProject!$E$5:$AG$34,$E27,0)</f>
        <v>0</v>
      </c>
      <c r="DI12" s="94">
        <f>VLOOKUP($DH$3,Commited_Actual_2ndProject!$E$5:$AG$34,$E27+1,0)</f>
        <v>0</v>
      </c>
      <c r="DJ12" s="94">
        <f>VLOOKUP($DH$3,Commited_Actual_2ndProject!$E$5:$AG$34,$E27+2,0)</f>
        <v>0</v>
      </c>
      <c r="DK12" s="94">
        <f>VLOOKUP($DK$3,Commited_Actual_2ndProject!$E$5:$AG$34,$E27,0)</f>
        <v>0</v>
      </c>
      <c r="DL12" s="94">
        <f>VLOOKUP($DK$3,Commited_Actual_2ndProject!$E$5:$AG$34,$E27+1,0)</f>
        <v>0</v>
      </c>
      <c r="DM12" s="94">
        <f>VLOOKUP($DK$3,Commited_Actual_2ndProject!$E$5:$AG$34,$E27+2,0)</f>
        <v>0</v>
      </c>
      <c r="DN12" s="94">
        <f>VLOOKUP($DN$3,Commited_Actual_2ndProject!$E$5:$AG$34,$E27,0)</f>
        <v>0.04</v>
      </c>
      <c r="DO12" s="247">
        <f>VLOOKUP($DN$3,Commited_Actual_2ndProject!$E$5:$AG$34,$E27+1,0)</f>
        <v>37</v>
      </c>
      <c r="DP12" s="247">
        <f>VLOOKUP($DN$3,Commited_Actual_2ndProject!$E$5:$AG$34,$E27+2,0)</f>
        <v>40.619999999999997</v>
      </c>
      <c r="DQ12" s="94">
        <f>VLOOKUP($DQ$3,Commited_Actual_2ndProject!$E$5:$AG$34,$E27,0)</f>
        <v>0</v>
      </c>
      <c r="DR12" s="94">
        <f>VLOOKUP($DQ$3,Commited_Actual_2ndProject!$E$5:$AG$34,$E27+1,0)</f>
        <v>0</v>
      </c>
      <c r="DS12" s="94">
        <f>VLOOKUP($DQ$3,Commited_Actual_2ndProject!$E$5:$AG$34,$E27+2,0)</f>
        <v>0</v>
      </c>
      <c r="DT12" s="94">
        <f>VLOOKUP($DT$3,Commited_Actual_2ndProject!$E$5:$AG$34,$E27,0)</f>
        <v>0</v>
      </c>
      <c r="DU12" s="94">
        <f>VLOOKUP($DT$3,Commited_Actual_2ndProject!$E$5:$AG$34,$E27+1,0)</f>
        <v>0</v>
      </c>
      <c r="DV12" s="94">
        <f>VLOOKUP($DT$3,Commited_Actual_2ndProject!$E$5:$AG$34,$E27+2,0)</f>
        <v>0</v>
      </c>
      <c r="DW12" s="94">
        <f>VLOOKUP($DW$3,Commited_Actual_2ndProject!$E$5:$AG$34,$E27,0)</f>
        <v>0.05</v>
      </c>
      <c r="DX12" s="94">
        <f>VLOOKUP($DW$3,Commited_Actual_2ndProject!$E$5:$AG$34,$E27+1,0)</f>
        <v>8</v>
      </c>
      <c r="DY12" s="94">
        <f>VLOOKUP($DW$3,Commited_Actual_2ndProject!$E$5:$AG$34,$E27+2,0)</f>
        <v>12.79</v>
      </c>
      <c r="DZ12" s="94">
        <f>VLOOKUP($DZ$3,Commited_Actual_2ndProject!$E$5:$AG$34,$E27,0)</f>
        <v>0</v>
      </c>
      <c r="EA12" s="94">
        <f>VLOOKUP($DZ$3,Commited_Actual_2ndProject!$E$5:$AG$34,$E27+1,0)</f>
        <v>0</v>
      </c>
      <c r="EB12" s="94">
        <f>VLOOKUP($DZ$3,Commited_Actual_2ndProject!$E$5:$AG$34,$E27+2,0)</f>
        <v>0</v>
      </c>
      <c r="EC12" s="94">
        <f>VLOOKUP($EC$3,Commited_Actual_2ndProject!$E$5:$AG$34,$E27,0)</f>
        <v>0</v>
      </c>
      <c r="ED12" s="94">
        <f>VLOOKUP($EC$3,Commited_Actual_2ndProject!$E$5:$AG$34,$E27+1,0)</f>
        <v>0</v>
      </c>
      <c r="EE12" s="94">
        <f>VLOOKUP($EC$3,Commited_Actual_2ndProject!$E$5:$AG$34,$E27+2,0)</f>
        <v>0</v>
      </c>
      <c r="EF12" s="94">
        <f>VLOOKUP($EF$3,Commited_Actual_2ndProject!$E$5:$AG$34,$E27,0)</f>
        <v>0</v>
      </c>
      <c r="EG12" s="94">
        <f>VLOOKUP($EF$3,Commited_Actual_2ndProject!$E$5:$AG$34,$E27+1,0)</f>
        <v>0</v>
      </c>
      <c r="EH12" s="94">
        <f>VLOOKUP($EF$3,Commited_Actual_2ndProject!$E$5:$AG$34,$E27+2,0)</f>
        <v>0</v>
      </c>
      <c r="EI12" s="94">
        <f>VLOOKUP($EI$3,Commited_Actual_2ndProject!$E$5:$AG$34,$E27,0)</f>
        <v>0</v>
      </c>
      <c r="EJ12" s="94">
        <f>VLOOKUP($EI$3,Commited_Actual_2ndProject!$E$5:$AG$34,$E27+1,0)</f>
        <v>0</v>
      </c>
      <c r="EK12" s="94">
        <f>VLOOKUP($EI$3,Commited_Actual_2ndProject!$E$5:$AG$34,$E27+2,0)</f>
        <v>0</v>
      </c>
      <c r="EL12" s="94">
        <f>VLOOKUP($EL$3,Commited_Actual_2ndProject!$E$5:$AG$34,$E27,0)</f>
        <v>0</v>
      </c>
      <c r="EM12" s="94">
        <f>VLOOKUP($EL$3,Commited_Actual_2ndProject!$E$5:$AG$34,$E27+1,0)</f>
        <v>0</v>
      </c>
      <c r="EN12" s="94">
        <f>VLOOKUP($EL$3,Commited_Actual_2ndProject!$E$5:$AG$34,$E27+2,0)</f>
        <v>0</v>
      </c>
      <c r="EO12" s="94">
        <f>VLOOKUP($EO$3,Commited_Actual_2ndProject!$E$5:$AG$34,$E27,0)</f>
        <v>0</v>
      </c>
      <c r="EP12" s="94">
        <f>VLOOKUP($EO$3,Commited_Actual_2ndProject!$E$5:$AG$34,$E27+1,0)</f>
        <v>0</v>
      </c>
      <c r="EQ12" s="94">
        <f>VLOOKUP($EO$3,Commited_Actual_2ndProject!$E$5:$AG$34,$E27+2,0)</f>
        <v>0</v>
      </c>
      <c r="ER12" s="94">
        <f>VLOOKUP($ER$3,Commited_Actual_2ndProject!$E$5:$AG$34,$E27,0)</f>
        <v>0</v>
      </c>
      <c r="ES12" s="94">
        <f>VLOOKUP($ER$3,Commited_Actual_2ndProject!$E$5:$AG$34,$E27+1,0)</f>
        <v>0</v>
      </c>
      <c r="ET12" s="94">
        <f>VLOOKUP($ER$3,Commited_Actual_2ndProject!$E$5:$AG$34,$E27+2,0)</f>
        <v>0</v>
      </c>
      <c r="EU12" s="94">
        <f>VLOOKUP($EU$3,Commited_Actual_2ndProject!$E$5:$AG$34,$E27,0)</f>
        <v>0</v>
      </c>
      <c r="EV12" s="94">
        <f>VLOOKUP($EU$3,Commited_Actual_2ndProject!$E$5:$AG$34,$E27+1,0)</f>
        <v>0</v>
      </c>
      <c r="EW12" s="94">
        <f>VLOOKUP($EU$3,Commited_Actual_2ndProject!$E$5:$AG$34,$E27+2,0)</f>
        <v>0</v>
      </c>
      <c r="EX12" s="94">
        <f>VLOOKUP($EX$3,Commited_Actual_2ndProject!$E$5:$AG$34,$E27,0)</f>
        <v>0.04</v>
      </c>
      <c r="EY12" s="94">
        <f>VLOOKUP($EX$3,Commited_Actual_2ndProject!$E$5:$AG$34,$E27+1,0)</f>
        <v>0.3</v>
      </c>
      <c r="EZ12" s="94">
        <f>VLOOKUP($EX$3,Commited_Actual_2ndProject!$E$5:$AG$34,$E27+2,0)</f>
        <v>0.31</v>
      </c>
      <c r="FA12" s="94">
        <f>VLOOKUP($FA$3,Commited_Actual_2ndProject!$E$5:$AG$34,$E27,0)</f>
        <v>0.04</v>
      </c>
      <c r="FB12" s="94">
        <f>VLOOKUP($FA$3,Commited_Actual_2ndProject!$E$5:$AG$34,$E27+1,0)</f>
        <v>0</v>
      </c>
      <c r="FC12" s="94">
        <f>VLOOKUP($FA$3,Commited_Actual_2ndProject!$E$5:$AG$34,$E27+2,0)</f>
        <v>0</v>
      </c>
      <c r="FD12" s="96"/>
      <c r="FE12" s="97"/>
      <c r="FF12" s="97"/>
      <c r="FG12" s="96"/>
      <c r="FH12" s="97"/>
      <c r="FI12" s="97"/>
      <c r="FJ12" s="96"/>
      <c r="FK12" s="97"/>
      <c r="FL12" s="97"/>
      <c r="FM12" s="96"/>
      <c r="FN12" s="97"/>
      <c r="FO12" s="97"/>
      <c r="FP12" s="96"/>
      <c r="FQ12" s="97"/>
      <c r="FR12" s="97"/>
      <c r="FS12" s="96"/>
      <c r="FT12" s="97"/>
      <c r="FU12" s="97"/>
      <c r="FV12" s="94">
        <f>VLOOKUP($FV$3,Commited_Actual_3rdProject!$E$5:$M$34,$F27,0)</f>
        <v>0</v>
      </c>
      <c r="FW12" s="94">
        <f>VLOOKUP($FV$3,Commited_Actual_3rdProject!$E$5:$M$34,$F27+1,0)</f>
        <v>0</v>
      </c>
      <c r="FX12" s="94">
        <f>VLOOKUP($FV$3,Commited_Actual_3rdProject!$E$5:$M$34,$F27+2,0)</f>
        <v>0</v>
      </c>
      <c r="FY12" s="94">
        <f>VLOOKUP($FY$3,Commited_Actual_3rdProject!$E$5:$M$34,$F27,0)</f>
        <v>0</v>
      </c>
      <c r="FZ12" s="94">
        <f>VLOOKUP($FY$3,Commited_Actual_3rdProject!$E$5:$M$34,$F27+1,0)</f>
        <v>0</v>
      </c>
      <c r="GA12" s="94">
        <f>VLOOKUP($FY$3,Commited_Actual_3rdProject!$E$5:$M$34,$F27+2,0)</f>
        <v>0</v>
      </c>
      <c r="GB12" s="94">
        <f>VLOOKUP($GB$3,Commited_Actual_3rdProject!$E$5:$M$34,$F27,0)</f>
        <v>0</v>
      </c>
      <c r="GC12" s="94">
        <f>VLOOKUP($GB$3,Commited_Actual_3rdProject!$E$5:$M$34,$F27+1,0)</f>
        <v>0</v>
      </c>
      <c r="GD12" s="94">
        <f>VLOOKUP($GB$3,Commited_Actual_3rdProject!$E$5:$M$34,$F27+2,0)</f>
        <v>0</v>
      </c>
      <c r="GE12" s="94">
        <f>VLOOKUP($GE$3,Commited_Actual_3rdProject!$E$5:$M$34,$F27,0)</f>
        <v>0</v>
      </c>
      <c r="GF12" s="94">
        <f>VLOOKUP($GE$3,Commited_Actual_3rdProject!$E$5:$M$34,$F27+1,0)</f>
        <v>0</v>
      </c>
      <c r="GG12" s="94">
        <f>VLOOKUP($GE$3,Commited_Actual_3rdProject!$E$5:$M$34,$F27+2,0)</f>
        <v>0</v>
      </c>
      <c r="GH12" s="94">
        <f>VLOOKUP($GH$3,Commited_Actual_3rdProject!$E$5:$M$34,$F27,0)</f>
        <v>0</v>
      </c>
      <c r="GI12" s="94">
        <f>VLOOKUP($GH$3,Commited_Actual_3rdProject!$E$5:$M$34,$F27+1,0)</f>
        <v>0</v>
      </c>
      <c r="GJ12" s="94">
        <f>VLOOKUP($GH$3,Commited_Actual_3rdProject!$E$5:$M$34,$F27+2,0)</f>
        <v>0</v>
      </c>
      <c r="GK12" s="94">
        <f>VLOOKUP($GK$3,Commited_Actual_3rdProject!$E$5:$M$34,$F27,0)</f>
        <v>0.05</v>
      </c>
      <c r="GL12" s="94">
        <f>VLOOKUP($GK$3,Commited_Actual_3rdProject!$E$5:$M$34,$F27+1,0)</f>
        <v>6</v>
      </c>
      <c r="GM12" s="94">
        <f>VLOOKUP($GK$3,Commited_Actual_3rdProject!$E$5:$M$34,$F27+2,0)</f>
        <v>6.81</v>
      </c>
      <c r="GN12" s="94">
        <f>VLOOKUP($GN$3,Commited_Actual_3rdProject!$E$5:$M$34,$F27,0)</f>
        <v>0.05</v>
      </c>
      <c r="GO12" s="94">
        <f>VLOOKUP($GN$3,Commited_Actual_3rdProject!$E$5:$M$34,$F27+1,0)</f>
        <v>4</v>
      </c>
      <c r="GP12" s="94">
        <f>VLOOKUP($GN$3,Commited_Actual_3rdProject!$E$5:$M$34,$F27+2,0)</f>
        <v>5.15</v>
      </c>
      <c r="GQ12" s="94">
        <f>VLOOKUP($GQ$3,Commited_Actual_3rdProject!$E$5:$M$34,$F27,0)</f>
        <v>0</v>
      </c>
      <c r="GR12" s="94">
        <f>VLOOKUP($GQ$3,Commited_Actual_3rdProject!$E$5:$M$34,$F27+1,0)</f>
        <v>0</v>
      </c>
      <c r="GS12" s="94">
        <f>VLOOKUP($GQ$3,Commited_Actual_3rdProject!$E$5:$M$34,$F27+2,0)</f>
        <v>0</v>
      </c>
      <c r="GT12" s="94">
        <f>VLOOKUP($GT$3,Commited_Actual_3rdProject!$E$5:$M$34,$F27,0)</f>
        <v>0</v>
      </c>
      <c r="GU12" s="94">
        <f>VLOOKUP($GT$3,Commited_Actual_3rdProject!$E$5:$M$34,$F27+1,0)</f>
        <v>0</v>
      </c>
      <c r="GV12" s="94">
        <f>VLOOKUP($GT$3,Commited_Actual_3rdProject!$E$5:$M$34,$F27+2,0)</f>
        <v>0</v>
      </c>
      <c r="GW12" s="94">
        <f>VLOOKUP($GW$3,Commited_Actual_3rdProject!$E$5:$M$34,$F27,0)</f>
        <v>0</v>
      </c>
      <c r="GX12" s="94">
        <f>VLOOKUP($GW$3,Commited_Actual_3rdProject!$E$5:$M$34,$F27+1,0)</f>
        <v>0</v>
      </c>
      <c r="GY12" s="94">
        <f>VLOOKUP($GW$3,Commited_Actual_3rdProject!$E$5:$M$34,$F27+2,0)</f>
        <v>0</v>
      </c>
      <c r="GZ12" s="94">
        <f>VLOOKUP($GZ$3,Commited_Actual_3rdProject!$E$5:$M$34,$F27,0)</f>
        <v>0</v>
      </c>
      <c r="HA12" s="94">
        <f>VLOOKUP($GZ$3,Commited_Actual_3rdProject!$E$5:$M$34,$F27+1,0)</f>
        <v>0</v>
      </c>
      <c r="HB12" s="94">
        <f>VLOOKUP($GZ$3,Commited_Actual_3rdProject!$E$5:$M$34,$F27+2,0)</f>
        <v>0</v>
      </c>
      <c r="HC12" s="94">
        <f>VLOOKUP($HC$3,Commited_Actual_3rdProject!$E$5:$M$34,$F27,0)</f>
        <v>0</v>
      </c>
      <c r="HD12" s="94">
        <f>VLOOKUP($HC$3,Commited_Actual_3rdProject!$E$5:$M$34,$F27+1,0)</f>
        <v>0</v>
      </c>
      <c r="HE12" s="94">
        <f>VLOOKUP($HC$3,Commited_Actual_3rdProject!$E$5:$M$34,$F27+2,0)</f>
        <v>0</v>
      </c>
      <c r="HF12" s="94">
        <f>VLOOKUP($HF$3,Commited_Actual_3rdProject!$E$5:$M$34,$F27,0)</f>
        <v>0</v>
      </c>
      <c r="HG12" s="94">
        <f>VLOOKUP($HF$3,Commited_Actual_3rdProject!$E$5:$M$34,$F27+1,0)</f>
        <v>0</v>
      </c>
      <c r="HH12" s="94">
        <f>VLOOKUP($HF$3,Commited_Actual_3rdProject!$E$5:$M$34,$F27+2,0)</f>
        <v>0</v>
      </c>
      <c r="HI12" s="94">
        <f>VLOOKUP($HI$3,Commited_Actual_3rdProject!$E$5:$M$34,$F27,0)</f>
        <v>0</v>
      </c>
      <c r="HJ12" s="94">
        <f>VLOOKUP($HI$3,Commited_Actual_3rdProject!$E$5:$M$34,$F27+1,0)</f>
        <v>0</v>
      </c>
      <c r="HK12" s="94">
        <f>VLOOKUP($HI$3,Commited_Actual_3rdProject!$E$5:$M$34,$F27+2,0)</f>
        <v>0</v>
      </c>
      <c r="HL12" s="94">
        <f>VLOOKUP($HL$3,Commited_Actual_3rdProject!$E$5:$M$34,$F27,0)</f>
        <v>0.04</v>
      </c>
      <c r="HM12" s="94">
        <f>VLOOKUP($HL$3,Commited_Actual_3rdProject!$E$5:$M$34,$F27+1,0)</f>
        <v>0.05</v>
      </c>
      <c r="HN12" s="94">
        <f>VLOOKUP($HL$3,Commited_Actual_3rdProject!$E$5:$M$34,$F27+2,0)</f>
        <v>0</v>
      </c>
      <c r="HO12" s="94">
        <f>VLOOKUP($HO$3,Commited_Actual_3rdProject!$E$5:$M$34,$F27,0)</f>
        <v>0</v>
      </c>
      <c r="HP12" s="94">
        <f>VLOOKUP($HO$3,Commited_Actual_3rdProject!$E$5:$M$34,$F27+1,0)</f>
        <v>0</v>
      </c>
      <c r="HQ12" s="94">
        <f>VLOOKUP($HO$3,Commited_Actual_3rdProject!$E$5:$M$34,$F27+2,0)</f>
        <v>0</v>
      </c>
      <c r="HR12" s="94">
        <f>VLOOKUP($HR$3,Commited_Actual_3rdProject!$E$5:$M$34,$F27,0)</f>
        <v>0</v>
      </c>
      <c r="HS12" s="94">
        <f>VLOOKUP($HR$3,Commited_Actual_3rdProject!$E$5:$M$34,$F27+1,0)</f>
        <v>0</v>
      </c>
      <c r="HT12" s="94">
        <f>VLOOKUP($HR$3,Commited_Actual_3rdProject!$E$5:$M$34,$F27+2,0)</f>
        <v>0</v>
      </c>
      <c r="HU12" s="94">
        <f>VLOOKUP($HU$3,Commited_Actual_3rdProject!$E$5:$M$34,$F27,0)</f>
        <v>0.03</v>
      </c>
      <c r="HV12" s="94">
        <f>VLOOKUP($HU$3,Commited_Actual_3rdProject!$E$5:$M$34,$F27+1,0)</f>
        <v>0.9</v>
      </c>
      <c r="HW12" s="94">
        <f>VLOOKUP($HU$3,Commited_Actual_3rdProject!$E$5:$M$34,$F27+2,0)</f>
        <v>1</v>
      </c>
      <c r="HX12" s="94">
        <f>VLOOKUP($HX$3,Commited_Actual_4thProject!$E$5:$M$34,$G27,0)</f>
        <v>2.5000000000000001E-2</v>
      </c>
      <c r="HY12" s="94">
        <f>VLOOKUP($HX$3,Commited_Actual_4thProject!$E$5:$M$34,$G27+1,0)</f>
        <v>40</v>
      </c>
      <c r="HZ12" s="94">
        <f>VLOOKUP($HX$3,Commited_Actual_4thProject!$E$5:$M$34,$G27+2,0)</f>
        <v>46.32</v>
      </c>
      <c r="IA12" s="94">
        <f>VLOOKUP($IA$3,Commited_Actual_4thProject!$E$5:$M$34,$G27,0)</f>
        <v>2.5000000000000001E-2</v>
      </c>
      <c r="IB12" s="94">
        <f>VLOOKUP($IA$3,Commited_Actual_4thProject!$E$5:$M$34,$G27+1,0)</f>
        <v>4</v>
      </c>
      <c r="IC12" s="94">
        <f>VLOOKUP($IA$3,Commited_Actual_4thProject!$E$5:$M$34,$G27+2,0)</f>
        <v>12.71</v>
      </c>
      <c r="ID12" s="94">
        <f>VLOOKUP($ID$3,Commited_Actual_4thProject!$E$5:$M$34,$G27,0)</f>
        <v>2.5000000000000001E-2</v>
      </c>
      <c r="IE12" s="94">
        <f>VLOOKUP($ID$3,Commited_Actual_4thProject!$E$5:$M$34,$G27+1,0)</f>
        <v>20</v>
      </c>
      <c r="IF12" s="94">
        <f>VLOOKUP($ID$3,Commited_Actual_4thProject!$E$5:$M$34,$G27+2,0)</f>
        <v>32.39</v>
      </c>
      <c r="IG12" s="94">
        <f>VLOOKUP($IG$3,Commited_Actual_4thProject!$E$5:$M$34,$G27,0)</f>
        <v>2.5000000000000001E-2</v>
      </c>
      <c r="IH12" s="94">
        <f>VLOOKUP($IG$3,Commited_Actual_4thProject!$E$5:$M$34,$G27+1,0)</f>
        <v>40</v>
      </c>
      <c r="II12" s="94">
        <f>VLOOKUP($IG$3,Commited_Actual_4thProject!$E$5:$M$34,$G27+2,0)</f>
        <v>56.6</v>
      </c>
      <c r="IJ12" s="94">
        <f>VLOOKUP($IJ$3,Commited_Actual_4thProject!$E$5:$M$34,$G27,0)</f>
        <v>0</v>
      </c>
      <c r="IK12" s="94">
        <f>VLOOKUP($IJ$3,Commited_Actual_4thProject!$E$5:$M$34,$G27+1,0)</f>
        <v>0</v>
      </c>
      <c r="IL12" s="94">
        <f>VLOOKUP($IJ$3,Commited_Actual_4thProject!$E$5:$M$34,$G27+2,0)</f>
        <v>0</v>
      </c>
      <c r="IM12" s="94">
        <f>VLOOKUP($IM$3,Commited_Actual_4thProject!$E$5:$M$34,$G27,0)</f>
        <v>0</v>
      </c>
      <c r="IN12" s="94">
        <f>VLOOKUP($IM$3,Commited_Actual_4thProject!$E$5:$M$34,$G27+1,0)</f>
        <v>0</v>
      </c>
      <c r="IO12" s="94">
        <f>VLOOKUP($IM$3,Commited_Actual_4thProject!$E$5:$M$34,$G27+2,0)</f>
        <v>0</v>
      </c>
      <c r="IP12" s="94">
        <f>VLOOKUP($IP$3,Commited_Actual_4thProject!$E$5:$M$34,$G27,0)</f>
        <v>0</v>
      </c>
      <c r="IQ12" s="94">
        <f>VLOOKUP($IP$3,Commited_Actual_4thProject!$E$5:$M$34,$G27+1,0)</f>
        <v>0</v>
      </c>
      <c r="IR12" s="94">
        <f>VLOOKUP($IP$3,Commited_Actual_4thProject!$E$5:$M$34,$G27+2,0)</f>
        <v>0</v>
      </c>
      <c r="IS12" s="94">
        <f>VLOOKUP($IS$3,Commited_Actual_4thProject!$E$5:$M$34,$G27,0)</f>
        <v>0</v>
      </c>
      <c r="IT12" s="94">
        <f>VLOOKUP($IS$3,Commited_Actual_4thProject!$E$5:$M$34,$G27+1,0)</f>
        <v>0</v>
      </c>
      <c r="IU12" s="94">
        <f>VLOOKUP($IS$3,Commited_Actual_4thProject!$E$5:$M$34,$G27+2,0)</f>
        <v>0</v>
      </c>
      <c r="IV12" s="94">
        <f>VLOOKUP($IV$3,Commited_Actual_4thProject!$E$5:$M$34,$G27,0)</f>
        <v>0</v>
      </c>
      <c r="IW12" s="94">
        <f>VLOOKUP($IV$3,Commited_Actual_4thProject!$E$5:$M$34,$G27+1,0)</f>
        <v>0</v>
      </c>
      <c r="IX12" s="94">
        <f>VLOOKUP($IV$3,Commited_Actual_4thProject!$E$5:$M$34,$G27+2,0)</f>
        <v>0</v>
      </c>
      <c r="IY12" s="94">
        <f>VLOOKUP($IY$3,Commited_Actual_4thProject!$E$5:$M$34,$G27,0)</f>
        <v>0.05</v>
      </c>
      <c r="IZ12" s="94">
        <f>VLOOKUP($IY$3,Commited_Actual_4thProject!$E$5:$M$34,$G27+1,0)</f>
        <v>0.05</v>
      </c>
      <c r="JA12" s="94">
        <f>VLOOKUP($IY$3,Commited_Actual_4thProject!$E$5:$M$34,$G27+2,0)</f>
        <v>0</v>
      </c>
      <c r="JB12" s="94">
        <f>VLOOKUP($JB$3,Commited_Actual_4thProject!$E$5:$M$34,$G27,0)</f>
        <v>0</v>
      </c>
      <c r="JC12" s="94">
        <f>VLOOKUP($JB$3,Commited_Actual_4thProject!$E$5:$M$34,$G27+1,0)</f>
        <v>0</v>
      </c>
      <c r="JD12" s="94">
        <f>VLOOKUP($JB$3,Commited_Actual_4thProject!$E$5:$M$34,$G27+2,0)</f>
        <v>0</v>
      </c>
      <c r="JE12" s="94">
        <f>VLOOKUP($JE$3,Commited_Actual_4thProject!$E$5:$M$34,$G27,0)</f>
        <v>2.5000000000000001E-2</v>
      </c>
      <c r="JF12" s="94">
        <f>VLOOKUP($JE$3,Commited_Actual_4thProject!$E$5:$M$34,$G27+1,0)</f>
        <v>0.18</v>
      </c>
      <c r="JG12" s="94">
        <f>VLOOKUP($JE$3,Commited_Actual_4thProject!$E$5:$M$34,$G27+2,0)</f>
        <v>0</v>
      </c>
      <c r="JH12" s="94">
        <f>VLOOKUP($JH$3,Commited_Actual_4thProject!$E$5:$M$34,$G27,0)</f>
        <v>0</v>
      </c>
      <c r="JI12" s="94">
        <f>VLOOKUP($JH$3,Commited_Actual_4thProject!$E$5:$M$34,$G27+1,0)</f>
        <v>0</v>
      </c>
      <c r="JJ12" s="94">
        <f>VLOOKUP($JH$3,Commited_Actual_4thProject!$E$5:$M$34,$G27+2,0)</f>
        <v>0</v>
      </c>
      <c r="JK12" s="94">
        <f>VLOOKUP($JK$3,Commited_Actual_4thProject!$E$5:$M$34,$G27,0)</f>
        <v>2.5000000000000001E-2</v>
      </c>
      <c r="JL12" s="94">
        <f>VLOOKUP($JK$3,Commited_Actual_4thProject!$E$5:$M$34,$G27+1,0)</f>
        <v>0.25</v>
      </c>
      <c r="JM12" s="94">
        <f>VLOOKUP($JK$3,Commited_Actual_4thProject!$E$5:$M$34,$G27+2,0)</f>
        <v>0</v>
      </c>
      <c r="JN12" s="94">
        <f>VLOOKUP($JN$3,Commited_Actual_4thProject!$E$5:$M$34,$G27,0)</f>
        <v>0</v>
      </c>
      <c r="JO12" s="94">
        <f>VLOOKUP($JN$3,Commited_Actual_4thProject!$E$5:$M$34,$G27+1,0)</f>
        <v>0</v>
      </c>
      <c r="JP12" s="94">
        <f>VLOOKUP($JN$3,Commited_Actual_4thProject!$E$5:$M$34,$G27+2,0)</f>
        <v>0</v>
      </c>
      <c r="JQ12" s="94">
        <f>VLOOKUP($JQ$3,Commited_Actual_4thProject!$E$5:$M$34,$G27,0)</f>
        <v>0</v>
      </c>
      <c r="JR12" s="94">
        <f>VLOOKUP($JQ$3,Commited_Actual_4thProject!$E$5:$M$34,$G27+1,0)</f>
        <v>0</v>
      </c>
      <c r="JS12" s="94">
        <f>VLOOKUP($JQ$3,Commited_Actual_4thProject!$E$5:$M$34,$G27+2,0)</f>
        <v>0</v>
      </c>
      <c r="JT12" s="94">
        <f>VLOOKUP($JT$3,Commited_Actual_4thProject!$E$5:$M$34,$G27,0)</f>
        <v>0</v>
      </c>
      <c r="JU12" s="94">
        <f>VLOOKUP($JT$3,Commited_Actual_4thProject!$E$5:$M$34,$G27+1,0)</f>
        <v>0</v>
      </c>
      <c r="JV12" s="94">
        <f>VLOOKUP($JT$3,Commited_Actual_4thProject!$E$5:$M$34,$G27+2,0)</f>
        <v>0</v>
      </c>
      <c r="JW12" s="94">
        <f>VLOOKUP($JW$3,Commited_Actual_4thProject!$E$5:$M$34,$G27,0)</f>
        <v>0</v>
      </c>
      <c r="JX12" s="94">
        <f>VLOOKUP($JW$3,Commited_Actual_4thProject!$E$5:$M$34,$G27+1,0)</f>
        <v>0</v>
      </c>
      <c r="JY12" s="94">
        <f>VLOOKUP($JW$3,Commited_Actual_4thProject!$E$5:$M$34,$G27+2,0)</f>
        <v>0</v>
      </c>
    </row>
    <row r="13" spans="1:285">
      <c r="A13" s="182">
        <v>57</v>
      </c>
      <c r="B13" s="184"/>
      <c r="C13" s="6">
        <v>8</v>
      </c>
      <c r="D13" s="192" t="s">
        <v>328</v>
      </c>
      <c r="E13" s="25" t="s">
        <v>318</v>
      </c>
      <c r="F13" s="5" t="s">
        <v>33</v>
      </c>
      <c r="G13" s="94">
        <f>VLOOKUP($G$3,Commited_Actual_1stProject!$E$9:$BU$36,$A13,0)</f>
        <v>0.25</v>
      </c>
      <c r="H13" s="247">
        <f>VLOOKUP($G$3,Commited_Actual_1stProject!$E$9:$BU$36,$A13+1,0)</f>
        <v>37</v>
      </c>
      <c r="I13" s="247">
        <f>VLOOKUP($G$3,Commited_Actual_1stProject!$E$9:$BU$36,$A13+2,0)</f>
        <v>36.31</v>
      </c>
      <c r="J13" s="94">
        <f>VLOOKUP($J$3,Commited_Actual_1stProject!$E$9:$BU$36,$A13,0)</f>
        <v>0.15</v>
      </c>
      <c r="K13" s="247">
        <f>VLOOKUP($J$3,Commited_Actual_1stProject!$E$9:$BU$36,$A13+1,0)</f>
        <v>8</v>
      </c>
      <c r="L13" s="247">
        <f>VLOOKUP($J$3,Commited_Actual_1stProject!$E$9:$BU$36,$A13+2,0)</f>
        <v>11.37</v>
      </c>
      <c r="M13" s="94">
        <f>VLOOKUP($M$3,Commited_Actual_1stProject!$E$9:$BU$36,$A13,0)</f>
        <v>0</v>
      </c>
      <c r="N13" s="247">
        <f>VLOOKUP($M$3,Commited_Actual_1stProject!$E$9:$BU$36,$A13+1,0)</f>
        <v>0</v>
      </c>
      <c r="O13" s="247">
        <f>VLOOKUP($M$3,Commited_Actual_1stProject!$E$9:$BU$36,$A13+2,0)</f>
        <v>0</v>
      </c>
      <c r="P13" s="94">
        <f>VLOOKUP($P$3,Commited_Actual_1stProject!$E$9:$BU$36,$A13,0)</f>
        <v>0</v>
      </c>
      <c r="Q13" s="247">
        <f>VLOOKUP($P$3,Commited_Actual_1stProject!$E$9:$BU$36,$A13+1,0)</f>
        <v>0</v>
      </c>
      <c r="R13" s="247">
        <f>VLOOKUP($P$3,Commited_Actual_1stProject!$E$9:$BU$36,$A13+2,0)</f>
        <v>0</v>
      </c>
      <c r="S13" s="94">
        <f>VLOOKUP($S$3,Commited_Actual_1stProject!$E$9:$BU$36,$A13,0)</f>
        <v>0</v>
      </c>
      <c r="T13" s="247">
        <f>VLOOKUP($S$3,Commited_Actual_1stProject!$E$9:$BU$36,$A13+1,0)</f>
        <v>0</v>
      </c>
      <c r="U13" s="247">
        <f>VLOOKUP($S$3,Commited_Actual_1stProject!$E$9:$BU$36,$A13+2,0)</f>
        <v>0</v>
      </c>
      <c r="V13" s="94">
        <f>VLOOKUP($V$3,Commited_Actual_1stProject!$E$9:$BU$36,$A13,0)</f>
        <v>0</v>
      </c>
      <c r="W13" s="247">
        <f>VLOOKUP($V$3,Commited_Actual_1stProject!$E$9:$BU$36,$A13+1,0)</f>
        <v>0</v>
      </c>
      <c r="X13" s="247">
        <f>VLOOKUP($V$3,Commited_Actual_1stProject!$E$9:$BU$36,$A13+2,0)</f>
        <v>0</v>
      </c>
      <c r="Y13" s="94">
        <f>VLOOKUP($Y$3,Commited_Actual_1stProject!$E$9:$BU$36,$A13,0)</f>
        <v>0</v>
      </c>
      <c r="Z13" s="247">
        <f>VLOOKUP($Y$3,Commited_Actual_1stProject!$E$9:$BU$36,$A13+1,0)</f>
        <v>0</v>
      </c>
      <c r="AA13" s="247">
        <f>VLOOKUP($Y$3,Commited_Actual_1stProject!$E$9:$BU$36,$A13+2,0)</f>
        <v>0</v>
      </c>
      <c r="AB13" s="94">
        <f>VLOOKUP($AB$3,Commited_Actual_1stProject!$E$9:$BU$36,$A13,0)</f>
        <v>0</v>
      </c>
      <c r="AC13" s="247">
        <f>VLOOKUP($AB$3,Commited_Actual_1stProject!$E$9:$BU$36,$A13+1,0)</f>
        <v>0</v>
      </c>
      <c r="AD13" s="247">
        <f>VLOOKUP($AB$3,Commited_Actual_1stProject!$E$9:$BU$36,$A13+2,0)</f>
        <v>0</v>
      </c>
      <c r="AE13" s="94">
        <f>VLOOKUP($AE$3,Commited_Actual_1stProject!$E$9:$BU$36,$A13,0)</f>
        <v>0</v>
      </c>
      <c r="AF13" s="247">
        <f>VLOOKUP($AE$3,Commited_Actual_1stProject!$E$9:$BU$36,$A13+1,0)</f>
        <v>0</v>
      </c>
      <c r="AG13" s="247">
        <f>VLOOKUP($AE$3,Commited_Actual_1stProject!$E$9:$BU$36,$A13+2,0)</f>
        <v>0</v>
      </c>
      <c r="AH13" s="94">
        <f>VLOOKUP($AH$3,Commited_Actual_1stProject!$E$9:$BU$36,$A13,0)</f>
        <v>0</v>
      </c>
      <c r="AI13" s="124">
        <f>VLOOKUP($AH$3,Commited_Actual_1stProject!$E$9:$BU$36,$A13+1,0)</f>
        <v>0</v>
      </c>
      <c r="AJ13" s="94">
        <f>VLOOKUP($AH$3,Commited_Actual_1stProject!$E$9:$BU$36,$A13+2,0)</f>
        <v>0</v>
      </c>
      <c r="AK13" s="94">
        <f>VLOOKUP($AK$3,Commited_Actual_1stProject!$E$9:$BU$36,$A13,0)</f>
        <v>0</v>
      </c>
      <c r="AL13" s="124">
        <f>VLOOKUP($AK$3,Commited_Actual_1stProject!$E$9:$BU$36,$A13+1,0)</f>
        <v>0</v>
      </c>
      <c r="AM13" s="124">
        <f>VLOOKUP($AK$3,Commited_Actual_1stProject!$E$9:$BU$36,$A13+2,0)</f>
        <v>0</v>
      </c>
      <c r="AN13" s="94">
        <f>VLOOKUP($AN$3,Commited_Actual_1stProject!$E$9:$BU$36,$A13,0)</f>
        <v>0.15</v>
      </c>
      <c r="AO13" s="94">
        <f>VLOOKUP($AN$3,Commited_Actual_1stProject!$E$9:$BU$36,$A13+1,0)</f>
        <v>0.1</v>
      </c>
      <c r="AP13" s="94">
        <f>VLOOKUP($AN$3,Commited_Actual_1stProject!$E$9:$BU$36,$A13+2,0)</f>
        <v>0.01</v>
      </c>
      <c r="AQ13" s="94">
        <f>VLOOKUP($AQ$3,Commited_Actual_1stProject!$E$9:$BU$36,$A13,0)</f>
        <v>0</v>
      </c>
      <c r="AR13" s="247">
        <f>VLOOKUP($AQ$3,Commited_Actual_1stProject!$E$9:$BU$36,$A13+1,0)</f>
        <v>0</v>
      </c>
      <c r="AS13" s="247">
        <f>VLOOKUP($AQ$3,Commited_Actual_1stProject!$E$9:$BU$36,$A13+2,0)</f>
        <v>0</v>
      </c>
      <c r="AT13" s="94">
        <f>VLOOKUP($AT$3,Commited_Actual_1stProject!$E$9:$BU$36,$A13,0)</f>
        <v>0.15</v>
      </c>
      <c r="AU13" s="94">
        <f>VLOOKUP($AT$3,Commited_Actual_1stProject!$E$9:$BU$36,$A13+1,0)</f>
        <v>0.15</v>
      </c>
      <c r="AV13" s="94">
        <f>VLOOKUP($AT$3,Commited_Actual_1stProject!$E$9:$BU$36,$A13+2,0)</f>
        <v>0.08</v>
      </c>
      <c r="AW13" s="94">
        <f>VLOOKUP($AW$3,Commited_Actual_1stProject!$E$9:$BU$36,$A13,0)</f>
        <v>0</v>
      </c>
      <c r="AX13" s="247">
        <f>VLOOKUP($AW$3,Commited_Actual_1stProject!$E$9:$BU$36,$A13+1,0)</f>
        <v>0</v>
      </c>
      <c r="AY13" s="247">
        <f>VLOOKUP($AW$3,Commited_Actual_1stProject!$E$9:$BU$36,$A13+2,0)</f>
        <v>0</v>
      </c>
      <c r="AZ13" s="94">
        <f>VLOOKUP($AZ$3,Commited_Actual_1stProject!$E$9:$BU$36,$A13,0)</f>
        <v>0</v>
      </c>
      <c r="BA13" s="247">
        <f>VLOOKUP($AZ$3,Commited_Actual_1stProject!$E$9:$BU$36,$A13+1,0)</f>
        <v>0</v>
      </c>
      <c r="BB13" s="247">
        <f>VLOOKUP($AZ$3,Commited_Actual_1stProject!$E$9:$BU$36,$A13+2,0)</f>
        <v>0</v>
      </c>
      <c r="BC13" s="94">
        <f>VLOOKUP($BC$3,Commited_Actual_1stProject!$E$9:$BU$36,$A13,0)</f>
        <v>0</v>
      </c>
      <c r="BD13" s="124">
        <f>VLOOKUP($BC$3,Commited_Actual_1stProject!$E$9:$BU$36,$A13+1,0)</f>
        <v>0</v>
      </c>
      <c r="BE13" s="124">
        <f>VLOOKUP($BC$3,Commited_Actual_1stProject!$E$9:$BU$36,$A13+2,0)</f>
        <v>0</v>
      </c>
      <c r="BF13" s="94"/>
      <c r="BG13" s="247"/>
      <c r="BH13" s="247"/>
      <c r="BI13" s="94">
        <f>VLOOKUP($BI$3,Commited_Actual_1stProject!$E$9:$BU$36,$A13,0)</f>
        <v>0</v>
      </c>
      <c r="BJ13" s="247">
        <f>VLOOKUP($BI$3,Commited_Actual_1stProject!$E$9:$BU$36,$A13+1,0)</f>
        <v>0</v>
      </c>
      <c r="BK13" s="247">
        <f>VLOOKUP($BI$3,Commited_Actual_1stProject!$E$9:$BU$36,$A13+2,0)</f>
        <v>0</v>
      </c>
      <c r="BL13" s="94">
        <f>VLOOKUP($BL$3,Commited_Actual_1stProject!$E$9:$BU$36,$A13,0)</f>
        <v>0.04</v>
      </c>
      <c r="BM13" s="247">
        <f>VLOOKUP($BL$3,Commited_Actual_1stProject!$E$9:$BU$36,$A13+1,0)</f>
        <v>3</v>
      </c>
      <c r="BN13" s="247">
        <f>VLOOKUP($BL$3,Commited_Actual_1stProject!$E$9:$BU$36,$A13+2,0)</f>
        <v>4</v>
      </c>
      <c r="BO13" s="94">
        <f>VLOOKUP($BO$3,Commited_Actual_1stProject!$E$9:$BU$36,$A13,0)</f>
        <v>0.03</v>
      </c>
      <c r="BP13" s="247">
        <f>VLOOKUP($BO$3,Commited_Actual_1stProject!$E$9:$BU$36,$A13+1,0)</f>
        <v>3</v>
      </c>
      <c r="BQ13" s="247">
        <f>VLOOKUP($BO$3,Commited_Actual_1stProject!$E$9:$BU$36,$A13+2,0)</f>
        <v>4</v>
      </c>
      <c r="BR13" s="94">
        <f>VLOOKUP($BR$3,Commited_Actual_1stProject!$E$9:$BU$36,$A13,0)</f>
        <v>0.03</v>
      </c>
      <c r="BS13" s="247">
        <f>VLOOKUP($BR$3,Commited_Actual_1stProject!$E$9:$BU$36,$A13+1,0)</f>
        <v>3</v>
      </c>
      <c r="BT13" s="247">
        <f>VLOOKUP($BR$3,Commited_Actual_1stProject!$E$9:$BU$36,$A13+2,0)</f>
        <v>4</v>
      </c>
      <c r="BU13" s="94">
        <f>VLOOKUP($BU$3,Commited_Actual_1stProject!$E$9:$BU$36,$A13,0)</f>
        <v>0</v>
      </c>
      <c r="BV13" s="247">
        <f>VLOOKUP($BU$3,Commited_Actual_1stProject!$E$9:$BU$36,$A13+1,0)</f>
        <v>0</v>
      </c>
      <c r="BW13" s="247">
        <f>VLOOKUP($BU$3,Commited_Actual_1stProject!$E$9:$BU$36,$A13+2,0)</f>
        <v>0</v>
      </c>
      <c r="BX13" s="94">
        <f>VLOOKUP($BX$3,Commited_Actual_1stProject!$E$9:$BU$36,$A13,0)</f>
        <v>0.05</v>
      </c>
      <c r="BY13" s="247">
        <f>VLOOKUP($BX$3,Commited_Actual_1stProject!$E$9:$BU$36,$A13+1,0)</f>
        <v>3</v>
      </c>
      <c r="BZ13" s="247">
        <f>VLOOKUP($BX$3,Commited_Actual_1stProject!$E$9:$BU$36,$A13+2,0)</f>
        <v>3</v>
      </c>
      <c r="CA13" s="94">
        <f>VLOOKUP($CA$3,Commited_Actual_1stProject!$E$9:$BU$36,$A13,0)</f>
        <v>0.05</v>
      </c>
      <c r="CB13" s="247">
        <f>VLOOKUP($CA$3,Commited_Actual_1stProject!$E$9:$BU$36,$A13+1,0)</f>
        <v>3</v>
      </c>
      <c r="CC13" s="247">
        <f>VLOOKUP($CA$3,Commited_Actual_1stProject!$E$9:$BU$36,$A13+2,0)</f>
        <v>0</v>
      </c>
      <c r="CD13" s="94"/>
      <c r="CE13" s="247"/>
      <c r="CF13" s="247"/>
      <c r="CG13" s="94"/>
      <c r="CH13" s="247"/>
      <c r="CI13" s="247"/>
      <c r="CJ13" s="94">
        <f>VLOOKUP($CJ$3,Commited_Actual_1stProject!$E$9:$BU$36,$A13,0)</f>
        <v>0.1</v>
      </c>
      <c r="CK13" s="247">
        <f>VLOOKUP($CJ$3,Commited_Actual_1stProject!$E$9:$BU$36,$A13+1,0)</f>
        <v>3</v>
      </c>
      <c r="CL13" s="247">
        <f>VLOOKUP($CJ$3,Commited_Actual_1stProject!$E$9:$BU$36,$A13+2,0)</f>
        <v>3</v>
      </c>
      <c r="CM13" s="94"/>
      <c r="CN13" s="247"/>
      <c r="CO13" s="247"/>
      <c r="CP13" s="94"/>
      <c r="CQ13" s="247"/>
      <c r="CR13" s="247"/>
      <c r="CS13" s="94">
        <f>VLOOKUP($CS$3,Commited_Actual_1stProject!$E$9:$BU$36,$A13,0)</f>
        <v>0</v>
      </c>
      <c r="CT13" s="247">
        <f>VLOOKUP($CS$3,Commited_Actual_1stProject!$E$9:$BU$36,$A13+1,0)</f>
        <v>0</v>
      </c>
      <c r="CU13" s="247">
        <f>VLOOKUP($CS$3,Commited_Actual_1stProject!$E$9:$BU$36,$A13+2,0)</f>
        <v>0</v>
      </c>
      <c r="CV13" s="94"/>
      <c r="CW13" s="247"/>
      <c r="CX13" s="247"/>
      <c r="CY13" s="94"/>
      <c r="CZ13" s="247"/>
      <c r="DA13" s="247"/>
      <c r="DB13" s="94"/>
      <c r="DC13" s="94"/>
      <c r="DD13" s="94"/>
      <c r="DE13" s="94"/>
      <c r="DF13" s="94"/>
      <c r="DG13" s="94"/>
      <c r="DH13" s="94"/>
      <c r="DI13" s="94"/>
      <c r="DJ13" s="94"/>
      <c r="DK13" s="94"/>
      <c r="DL13" s="94"/>
      <c r="DM13" s="94"/>
      <c r="DN13" s="94"/>
      <c r="DO13" s="247"/>
      <c r="DP13" s="247"/>
      <c r="DQ13" s="94"/>
      <c r="DR13" s="94"/>
      <c r="DS13" s="94"/>
      <c r="DT13" s="94"/>
      <c r="DU13" s="94"/>
      <c r="DV13" s="94"/>
      <c r="DW13" s="94"/>
      <c r="DX13" s="94"/>
      <c r="DY13" s="94"/>
      <c r="DZ13" s="94"/>
      <c r="EA13" s="94"/>
      <c r="EB13" s="94"/>
      <c r="EC13" s="94"/>
      <c r="ED13" s="94"/>
      <c r="EE13" s="94"/>
      <c r="EF13" s="94"/>
      <c r="EG13" s="94"/>
      <c r="EH13" s="94"/>
      <c r="EI13" s="94"/>
      <c r="EJ13" s="94"/>
      <c r="EK13" s="94"/>
      <c r="EL13" s="94"/>
      <c r="EM13" s="94"/>
      <c r="EN13" s="94"/>
      <c r="EO13" s="94"/>
      <c r="EP13" s="94"/>
      <c r="EQ13" s="94"/>
      <c r="ER13" s="94"/>
      <c r="ES13" s="94"/>
      <c r="ET13" s="94"/>
      <c r="EU13" s="94"/>
      <c r="EV13" s="94"/>
      <c r="EW13" s="94"/>
      <c r="EX13" s="94"/>
      <c r="EY13" s="94"/>
      <c r="EZ13" s="94"/>
      <c r="FA13" s="96"/>
      <c r="FB13" s="97"/>
      <c r="FC13" s="97"/>
      <c r="FD13" s="96"/>
      <c r="FE13" s="97"/>
      <c r="FF13" s="97"/>
      <c r="FG13" s="96"/>
      <c r="FH13" s="97"/>
      <c r="FI13" s="97"/>
      <c r="FJ13" s="96"/>
      <c r="FK13" s="97"/>
      <c r="FL13" s="97"/>
      <c r="FM13" s="96"/>
      <c r="FN13" s="97"/>
      <c r="FO13" s="97"/>
      <c r="FP13" s="96"/>
      <c r="FQ13" s="97"/>
      <c r="FR13" s="97"/>
      <c r="FS13" s="96"/>
      <c r="FT13" s="97"/>
      <c r="FU13" s="97"/>
      <c r="FV13" s="94"/>
      <c r="FW13" s="95"/>
      <c r="FX13" s="95"/>
      <c r="FY13" s="94"/>
      <c r="FZ13" s="95"/>
      <c r="GA13" s="95"/>
      <c r="GB13" s="96"/>
      <c r="GC13" s="95"/>
      <c r="GD13" s="95"/>
      <c r="GE13" s="96"/>
      <c r="GF13" s="95"/>
      <c r="GG13" s="95"/>
      <c r="GH13" s="96"/>
      <c r="GI13" s="95"/>
      <c r="GJ13" s="95"/>
      <c r="GK13" s="96"/>
      <c r="GL13" s="95"/>
      <c r="GM13" s="95"/>
      <c r="GN13" s="96"/>
      <c r="GO13" s="95"/>
      <c r="GP13" s="95"/>
      <c r="GQ13" s="94"/>
      <c r="GR13" s="95"/>
      <c r="GS13" s="95"/>
      <c r="GT13" s="96"/>
      <c r="GU13" s="97"/>
      <c r="GV13" s="97"/>
      <c r="GW13" s="96"/>
      <c r="GX13" s="97"/>
      <c r="GY13" s="97"/>
      <c r="GZ13" s="96"/>
      <c r="HA13" s="97"/>
      <c r="HB13" s="97"/>
      <c r="HC13" s="96"/>
      <c r="HD13" s="97"/>
      <c r="HE13" s="97"/>
      <c r="HF13" s="96"/>
      <c r="HG13" s="97"/>
      <c r="HH13" s="97"/>
      <c r="HI13" s="96"/>
      <c r="HJ13" s="97"/>
      <c r="HK13" s="97"/>
      <c r="HL13" s="96"/>
      <c r="HM13" s="97"/>
      <c r="HN13" s="97"/>
      <c r="HO13" s="96"/>
      <c r="HP13" s="97"/>
      <c r="HQ13" s="97"/>
      <c r="HR13" s="96"/>
      <c r="HS13" s="97"/>
      <c r="HT13" s="97"/>
      <c r="HU13" s="96"/>
      <c r="HV13" s="97"/>
      <c r="HW13" s="97"/>
      <c r="HX13" s="94"/>
      <c r="HY13" s="95"/>
      <c r="HZ13" s="95"/>
      <c r="IA13" s="94"/>
      <c r="IB13" s="95"/>
      <c r="IC13" s="95"/>
      <c r="ID13" s="96"/>
      <c r="IE13" s="95"/>
      <c r="IF13" s="95"/>
      <c r="IG13" s="96"/>
      <c r="IH13" s="95"/>
      <c r="II13" s="95"/>
      <c r="IJ13" s="96"/>
      <c r="IK13" s="95"/>
      <c r="IL13" s="95"/>
      <c r="IM13" s="96"/>
      <c r="IN13" s="95"/>
      <c r="IO13" s="95"/>
      <c r="IP13" s="96"/>
      <c r="IQ13" s="95"/>
      <c r="IR13" s="95"/>
      <c r="IS13" s="94"/>
      <c r="IT13" s="95"/>
      <c r="IU13" s="95"/>
      <c r="IV13" s="96"/>
      <c r="IW13" s="97"/>
      <c r="IX13" s="97"/>
      <c r="IY13" s="96"/>
      <c r="IZ13" s="97"/>
      <c r="JA13" s="97"/>
      <c r="JB13" s="96"/>
      <c r="JC13" s="97"/>
      <c r="JD13" s="97"/>
      <c r="JE13" s="96"/>
      <c r="JF13" s="97"/>
      <c r="JG13" s="97"/>
      <c r="JH13" s="96"/>
      <c r="JI13" s="97"/>
      <c r="JJ13" s="97"/>
      <c r="JK13" s="96"/>
      <c r="JL13" s="97"/>
      <c r="JM13" s="97"/>
      <c r="JN13" s="96"/>
      <c r="JO13" s="97"/>
      <c r="JP13" s="97"/>
      <c r="JQ13" s="96"/>
      <c r="JR13" s="97"/>
      <c r="JS13" s="97"/>
      <c r="JT13" s="96"/>
      <c r="JU13" s="97"/>
      <c r="JV13" s="97"/>
      <c r="JW13" s="96"/>
      <c r="JX13" s="97"/>
      <c r="JY13" s="97"/>
    </row>
    <row r="14" spans="1:285">
      <c r="A14" s="18">
        <v>52</v>
      </c>
      <c r="C14" s="6">
        <v>9</v>
      </c>
      <c r="D14" s="192" t="s">
        <v>329</v>
      </c>
      <c r="E14" s="25" t="s">
        <v>318</v>
      </c>
      <c r="F14" s="5" t="s">
        <v>33</v>
      </c>
      <c r="G14" s="94">
        <f>VLOOKUP($G$3,Commited_Actual_1stProject!$E$9:$BU$36,$A14,0)</f>
        <v>0.25</v>
      </c>
      <c r="H14" s="247">
        <f>VLOOKUP($G$3,Commited_Actual_1stProject!$E$9:$BU$36,$A14+1,0)</f>
        <v>41</v>
      </c>
      <c r="I14" s="247">
        <f>VLOOKUP($G$3,Commited_Actual_1stProject!$E$9:$BU$36,$A14+2,0)</f>
        <v>45.78</v>
      </c>
      <c r="J14" s="94">
        <f>VLOOKUP($J$3,Commited_Actual_1stProject!$E$9:$BU$36,$A14,0)</f>
        <v>0.25</v>
      </c>
      <c r="K14" s="247">
        <f>VLOOKUP($J$3,Commited_Actual_1stProject!$E$9:$BU$36,$A14+1,0)</f>
        <v>13</v>
      </c>
      <c r="L14" s="247">
        <f>VLOOKUP($J$3,Commited_Actual_1stProject!$E$9:$BU$36,$A14+2,0)</f>
        <v>14.52</v>
      </c>
      <c r="M14" s="94">
        <f>VLOOKUP($M$3,Commited_Actual_1stProject!$E$9:$BU$36,$A14,0)</f>
        <v>0</v>
      </c>
      <c r="N14" s="247">
        <f>VLOOKUP($M$3,Commited_Actual_1stProject!$E$9:$BU$36,$A14+1,0)</f>
        <v>0</v>
      </c>
      <c r="O14" s="247">
        <f>VLOOKUP($M$3,Commited_Actual_1stProject!$E$9:$BU$36,$A14+2,0)</f>
        <v>0</v>
      </c>
      <c r="P14" s="94">
        <f>VLOOKUP($P$3,Commited_Actual_1stProject!$E$9:$BU$36,$A14,0)</f>
        <v>0</v>
      </c>
      <c r="Q14" s="247">
        <f>VLOOKUP($P$3,Commited_Actual_1stProject!$E$9:$BU$36,$A14+1,0)</f>
        <v>0</v>
      </c>
      <c r="R14" s="247">
        <f>VLOOKUP($P$3,Commited_Actual_1stProject!$E$9:$BU$36,$A14+2,0)</f>
        <v>0</v>
      </c>
      <c r="S14" s="94">
        <f>VLOOKUP($S$3,Commited_Actual_1stProject!$E$9:$BU$36,$A14,0)</f>
        <v>0</v>
      </c>
      <c r="T14" s="247">
        <f>VLOOKUP($S$3,Commited_Actual_1stProject!$E$9:$BU$36,$A14+1,0)</f>
        <v>0</v>
      </c>
      <c r="U14" s="247">
        <f>VLOOKUP($S$3,Commited_Actual_1stProject!$E$9:$BU$36,$A14+2,0)</f>
        <v>0</v>
      </c>
      <c r="V14" s="94">
        <f>VLOOKUP($V$3,Commited_Actual_1stProject!$E$9:$BU$36,$A14,0)</f>
        <v>0</v>
      </c>
      <c r="W14" s="247">
        <f>VLOOKUP($V$3,Commited_Actual_1stProject!$E$9:$BU$36,$A14+1,0)</f>
        <v>0</v>
      </c>
      <c r="X14" s="247">
        <f>VLOOKUP($V$3,Commited_Actual_1stProject!$E$9:$BU$36,$A14+2,0)</f>
        <v>0</v>
      </c>
      <c r="Y14" s="94">
        <f>VLOOKUP($Y$3,Commited_Actual_1stProject!$E$9:$BU$36,$A14,0)</f>
        <v>0</v>
      </c>
      <c r="Z14" s="247">
        <f>VLOOKUP($Y$3,Commited_Actual_1stProject!$E$9:$BU$36,$A14+1,0)</f>
        <v>0</v>
      </c>
      <c r="AA14" s="247">
        <f>VLOOKUP($Y$3,Commited_Actual_1stProject!$E$9:$BU$36,$A14+2,0)</f>
        <v>0</v>
      </c>
      <c r="AB14" s="94">
        <f>VLOOKUP($AB$3,Commited_Actual_1stProject!$E$9:$BU$36,$A14,0)</f>
        <v>0</v>
      </c>
      <c r="AC14" s="247">
        <f>VLOOKUP($AB$3,Commited_Actual_1stProject!$E$9:$BU$36,$A14+1,0)</f>
        <v>0</v>
      </c>
      <c r="AD14" s="247">
        <f>VLOOKUP($AB$3,Commited_Actual_1stProject!$E$9:$BU$36,$A14+2,0)</f>
        <v>0</v>
      </c>
      <c r="AE14" s="94">
        <f>VLOOKUP($AE$3,Commited_Actual_1stProject!$E$9:$BU$36,$A14,0)</f>
        <v>0</v>
      </c>
      <c r="AF14" s="247">
        <f>VLOOKUP($AE$3,Commited_Actual_1stProject!$E$9:$BU$36,$A14+1,0)</f>
        <v>0</v>
      </c>
      <c r="AG14" s="247">
        <f>VLOOKUP($AE$3,Commited_Actual_1stProject!$E$9:$BU$36,$A14+2,0)</f>
        <v>0</v>
      </c>
      <c r="AH14" s="94">
        <f>VLOOKUP($AH$3,Commited_Actual_1stProject!$E$9:$BU$36,$A14,0)</f>
        <v>0</v>
      </c>
      <c r="AI14" s="124">
        <f>VLOOKUP($AH$3,Commited_Actual_1stProject!$E$9:$BU$36,$A14+1,0)</f>
        <v>0</v>
      </c>
      <c r="AJ14" s="94">
        <f>VLOOKUP($AH$3,Commited_Actual_1stProject!$E$9:$BU$36,$A14+2,0)</f>
        <v>0</v>
      </c>
      <c r="AK14" s="94">
        <f>VLOOKUP($AK$3,Commited_Actual_1stProject!$E$9:$BU$36,$A14,0)</f>
        <v>0</v>
      </c>
      <c r="AL14" s="124">
        <f>VLOOKUP($AK$3,Commited_Actual_1stProject!$E$9:$BU$36,$A14+1,0)</f>
        <v>0</v>
      </c>
      <c r="AM14" s="124">
        <f>VLOOKUP($AK$3,Commited_Actual_1stProject!$E$9:$BU$36,$A14+2,0)</f>
        <v>0</v>
      </c>
      <c r="AN14" s="94">
        <f>VLOOKUP($AN$3,Commited_Actual_1stProject!$E$9:$BU$36,$A14,0)</f>
        <v>0.15</v>
      </c>
      <c r="AO14" s="94">
        <f>VLOOKUP($AN$3,Commited_Actual_1stProject!$E$9:$BU$36,$A14+1,0)</f>
        <v>0.1</v>
      </c>
      <c r="AP14" s="94">
        <f>VLOOKUP($AN$3,Commited_Actual_1stProject!$E$9:$BU$36,$A14+2,0)</f>
        <v>0.1</v>
      </c>
      <c r="AQ14" s="94">
        <f>VLOOKUP($AQ$3,Commited_Actual_1stProject!$E$9:$BU$36,$A14,0)</f>
        <v>0</v>
      </c>
      <c r="AR14" s="247">
        <f>VLOOKUP($AQ$3,Commited_Actual_1stProject!$E$9:$BU$36,$A14+1,0)</f>
        <v>0</v>
      </c>
      <c r="AS14" s="247">
        <f>VLOOKUP($AQ$3,Commited_Actual_1stProject!$E$9:$BU$36,$A14+2,0)</f>
        <v>0</v>
      </c>
      <c r="AT14" s="94">
        <f>VLOOKUP($AT$3,Commited_Actual_1stProject!$E$9:$BU$36,$A14,0)</f>
        <v>0.15</v>
      </c>
      <c r="AU14" s="94">
        <f>VLOOKUP($AT$3,Commited_Actual_1stProject!$E$9:$BU$36,$A14+1,0)</f>
        <v>0.15</v>
      </c>
      <c r="AV14" s="94">
        <f>VLOOKUP($AT$3,Commited_Actual_1stProject!$E$9:$BU$36,$A14+2,0)</f>
        <v>0.03</v>
      </c>
      <c r="AW14" s="94">
        <f>VLOOKUP($AW$3,Commited_Actual_1stProject!$E$9:$BU$36,$A14,0)</f>
        <v>0</v>
      </c>
      <c r="AX14" s="247">
        <f>VLOOKUP($AW$3,Commited_Actual_1stProject!$E$9:$BU$36,$A14+1,0)</f>
        <v>0</v>
      </c>
      <c r="AY14" s="247">
        <f>VLOOKUP($AW$3,Commited_Actual_1stProject!$E$9:$BU$36,$A14+2,0)</f>
        <v>0</v>
      </c>
      <c r="AZ14" s="94">
        <f>VLOOKUP($AZ$3,Commited_Actual_1stProject!$E$9:$BU$36,$A14,0)</f>
        <v>0</v>
      </c>
      <c r="BA14" s="247">
        <f>VLOOKUP($AZ$3,Commited_Actual_1stProject!$E$9:$BU$36,$A14+1,0)</f>
        <v>0</v>
      </c>
      <c r="BB14" s="247">
        <f>VLOOKUP($AZ$3,Commited_Actual_1stProject!$E$9:$BU$36,$A14+2,0)</f>
        <v>0</v>
      </c>
      <c r="BC14" s="94">
        <f>VLOOKUP($BC$3,Commited_Actual_1stProject!$E$9:$BU$36,$A14,0)</f>
        <v>0</v>
      </c>
      <c r="BD14" s="124">
        <f>VLOOKUP($BC$3,Commited_Actual_1stProject!$E$9:$BU$36,$A14+1,0)</f>
        <v>0</v>
      </c>
      <c r="BE14" s="124">
        <f>VLOOKUP($BC$3,Commited_Actual_1stProject!$E$9:$BU$36,$A14+2,0)</f>
        <v>0</v>
      </c>
      <c r="BF14" s="94"/>
      <c r="BG14" s="247"/>
      <c r="BH14" s="247"/>
      <c r="BI14" s="94">
        <f>VLOOKUP($BI$3,Commited_Actual_1stProject!$E$9:$BU$36,$A14,0)</f>
        <v>0</v>
      </c>
      <c r="BJ14" s="247">
        <f>VLOOKUP($BI$3,Commited_Actual_1stProject!$E$9:$BU$36,$A14+1,0)</f>
        <v>0</v>
      </c>
      <c r="BK14" s="247">
        <f>VLOOKUP($BI$3,Commited_Actual_1stProject!$E$9:$BU$36,$A14+2,0)</f>
        <v>0</v>
      </c>
      <c r="BL14" s="94">
        <f>VLOOKUP($BL$3,Commited_Actual_1stProject!$E$9:$BU$36,$A14,0)</f>
        <v>0.03</v>
      </c>
      <c r="BM14" s="247">
        <f>VLOOKUP($BL$3,Commited_Actual_1stProject!$E$9:$BU$36,$A14+1,0)</f>
        <v>3</v>
      </c>
      <c r="BN14" s="247">
        <f>VLOOKUP($BL$3,Commited_Actual_1stProject!$E$9:$BU$36,$A14+2,0)</f>
        <v>3</v>
      </c>
      <c r="BO14" s="94">
        <f>VLOOKUP($BO$3,Commited_Actual_1stProject!$E$9:$BU$36,$A14,0)</f>
        <v>0.03</v>
      </c>
      <c r="BP14" s="247">
        <f>VLOOKUP($BO$3,Commited_Actual_1stProject!$E$9:$BU$36,$A14+1,0)</f>
        <v>3</v>
      </c>
      <c r="BQ14" s="247">
        <f>VLOOKUP($BO$3,Commited_Actual_1stProject!$E$9:$BU$36,$A14+2,0)</f>
        <v>3</v>
      </c>
      <c r="BR14" s="94">
        <f>VLOOKUP($BR$3,Commited_Actual_1stProject!$E$9:$BU$36,$A14,0)</f>
        <v>0.04</v>
      </c>
      <c r="BS14" s="247">
        <f>VLOOKUP($BR$3,Commited_Actual_1stProject!$E$9:$BU$36,$A14+1,0)</f>
        <v>3</v>
      </c>
      <c r="BT14" s="247">
        <f>VLOOKUP($BR$3,Commited_Actual_1stProject!$E$9:$BU$36,$A14+2,0)</f>
        <v>3</v>
      </c>
      <c r="BU14" s="94">
        <f>VLOOKUP($BU$3,Commited_Actual_1stProject!$E$9:$BU$36,$A14,0)</f>
        <v>0</v>
      </c>
      <c r="BV14" s="247">
        <f>VLOOKUP($BU$3,Commited_Actual_1stProject!$E$9:$BU$36,$A14+1,0)</f>
        <v>0</v>
      </c>
      <c r="BW14" s="247">
        <f>VLOOKUP($BU$3,Commited_Actual_1stProject!$E$9:$BU$36,$A14+2,0)</f>
        <v>0</v>
      </c>
      <c r="BX14" s="94">
        <f>VLOOKUP($BX$3,Commited_Actual_1stProject!$E$9:$BU$36,$A14,0)</f>
        <v>0.05</v>
      </c>
      <c r="BY14" s="247">
        <f>VLOOKUP($BX$3,Commited_Actual_1stProject!$E$9:$BU$36,$A14+1,0)</f>
        <v>3</v>
      </c>
      <c r="BZ14" s="247">
        <f>VLOOKUP($BX$3,Commited_Actual_1stProject!$E$9:$BU$36,$A14+2,0)</f>
        <v>3</v>
      </c>
      <c r="CA14" s="94">
        <f>VLOOKUP($CA$3,Commited_Actual_1stProject!$E$9:$BU$36,$A14,0)</f>
        <v>0.05</v>
      </c>
      <c r="CB14" s="247">
        <f>VLOOKUP($CA$3,Commited_Actual_1stProject!$E$9:$BU$36,$A14+1,0)</f>
        <v>3</v>
      </c>
      <c r="CC14" s="247">
        <f>VLOOKUP($CA$3,Commited_Actual_1stProject!$E$9:$BU$36,$A14+2,0)</f>
        <v>3</v>
      </c>
      <c r="CD14" s="94"/>
      <c r="CE14" s="247"/>
      <c r="CF14" s="247"/>
      <c r="CG14" s="94"/>
      <c r="CH14" s="247"/>
      <c r="CI14" s="247"/>
      <c r="CJ14" s="94">
        <f>VLOOKUP($CJ$3,Commited_Actual_1stProject!$E$9:$BU$36,$A14,0)</f>
        <v>0</v>
      </c>
      <c r="CK14" s="247">
        <f>VLOOKUP($CJ$3,Commited_Actual_1stProject!$E$9:$BU$36,$A14+1,0)</f>
        <v>0</v>
      </c>
      <c r="CL14" s="247">
        <f>VLOOKUP($CJ$3,Commited_Actual_1stProject!$E$9:$BU$36,$A14+2,0)</f>
        <v>0</v>
      </c>
      <c r="CM14" s="94"/>
      <c r="CN14" s="247"/>
      <c r="CO14" s="247"/>
      <c r="CP14" s="94"/>
      <c r="CQ14" s="247"/>
      <c r="CR14" s="247"/>
      <c r="CS14" s="94">
        <f>VLOOKUP($CS$3,Commited_Actual_1stProject!$E$9:$BU$36,$A14,0)</f>
        <v>0</v>
      </c>
      <c r="CT14" s="247">
        <f>VLOOKUP($CS$3,Commited_Actual_1stProject!$E$9:$BU$36,$A14+1,0)</f>
        <v>0</v>
      </c>
      <c r="CU14" s="247">
        <f>VLOOKUP($CS$3,Commited_Actual_1stProject!$E$9:$BU$36,$A14+2,0)</f>
        <v>0</v>
      </c>
      <c r="CV14" s="94"/>
      <c r="CW14" s="247"/>
      <c r="CX14" s="247"/>
      <c r="CY14" s="94"/>
      <c r="CZ14" s="247"/>
      <c r="DA14" s="247"/>
      <c r="DB14" s="94"/>
      <c r="DC14" s="94"/>
      <c r="DD14" s="94"/>
      <c r="DE14" s="94"/>
      <c r="DF14" s="94"/>
      <c r="DG14" s="94"/>
      <c r="DH14" s="94"/>
      <c r="DI14" s="94"/>
      <c r="DJ14" s="94"/>
      <c r="DK14" s="94"/>
      <c r="DL14" s="94"/>
      <c r="DM14" s="94"/>
      <c r="DN14" s="94"/>
      <c r="DO14" s="247"/>
      <c r="DP14" s="247"/>
      <c r="DQ14" s="94"/>
      <c r="DR14" s="94"/>
      <c r="DS14" s="94"/>
      <c r="DT14" s="94"/>
      <c r="DU14" s="94"/>
      <c r="DV14" s="94"/>
      <c r="DW14" s="94"/>
      <c r="DX14" s="94"/>
      <c r="DY14" s="94"/>
      <c r="DZ14" s="94"/>
      <c r="EA14" s="94"/>
      <c r="EB14" s="94"/>
      <c r="EC14" s="94"/>
      <c r="ED14" s="94"/>
      <c r="EE14" s="94"/>
      <c r="EF14" s="94"/>
      <c r="EG14" s="94"/>
      <c r="EH14" s="94"/>
      <c r="EI14" s="94"/>
      <c r="EJ14" s="94"/>
      <c r="EK14" s="94"/>
      <c r="EL14" s="94"/>
      <c r="EM14" s="94"/>
      <c r="EN14" s="94"/>
      <c r="EO14" s="94"/>
      <c r="EP14" s="94"/>
      <c r="EQ14" s="94"/>
      <c r="ER14" s="94"/>
      <c r="ES14" s="94"/>
      <c r="ET14" s="94"/>
      <c r="EU14" s="94"/>
      <c r="EV14" s="94"/>
      <c r="EW14" s="94"/>
      <c r="EX14" s="94"/>
      <c r="EY14" s="94"/>
      <c r="EZ14" s="94"/>
      <c r="FA14" s="5"/>
      <c r="FB14" s="5"/>
      <c r="FC14" s="5"/>
      <c r="FD14" s="5"/>
      <c r="FE14" s="5"/>
      <c r="FF14" s="5"/>
      <c r="FG14" s="5"/>
      <c r="FH14" s="5"/>
      <c r="FI14" s="5"/>
      <c r="FJ14" s="5"/>
      <c r="FK14" s="5"/>
      <c r="FL14" s="5"/>
      <c r="FM14" s="5"/>
      <c r="FN14" s="5"/>
      <c r="FO14" s="5"/>
      <c r="FP14" s="5"/>
      <c r="FQ14" s="5"/>
      <c r="FR14" s="5"/>
      <c r="FS14" s="5"/>
      <c r="FT14" s="5"/>
      <c r="FU14" s="5"/>
      <c r="FV14" s="5"/>
      <c r="FW14" s="242"/>
      <c r="FX14" s="242"/>
      <c r="FY14" s="5"/>
      <c r="FZ14" s="242"/>
      <c r="GA14" s="242"/>
      <c r="GB14" s="5"/>
      <c r="GC14" s="242"/>
      <c r="GD14" s="242"/>
      <c r="GE14" s="5"/>
      <c r="GF14" s="242"/>
      <c r="GG14" s="242"/>
      <c r="GH14" s="5"/>
      <c r="GI14" s="242"/>
      <c r="GJ14" s="242"/>
      <c r="GK14" s="5"/>
      <c r="GL14" s="242"/>
      <c r="GM14" s="242"/>
      <c r="GN14" s="5"/>
      <c r="GO14" s="242"/>
      <c r="GP14" s="242"/>
      <c r="GQ14" s="5"/>
      <c r="GR14" s="242"/>
      <c r="GS14" s="242"/>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242"/>
      <c r="HZ14" s="242"/>
      <c r="IA14" s="5"/>
      <c r="IB14" s="242"/>
      <c r="IC14" s="242"/>
      <c r="ID14" s="5"/>
      <c r="IE14" s="242"/>
      <c r="IF14" s="242"/>
      <c r="IG14" s="5"/>
      <c r="IH14" s="242"/>
      <c r="II14" s="242"/>
      <c r="IJ14" s="5"/>
      <c r="IK14" s="242"/>
      <c r="IL14" s="242"/>
      <c r="IM14" s="5"/>
      <c r="IN14" s="242"/>
      <c r="IO14" s="242"/>
      <c r="IP14" s="5"/>
      <c r="IQ14" s="242"/>
      <c r="IR14" s="242"/>
      <c r="IS14" s="5"/>
      <c r="IT14" s="242"/>
      <c r="IU14" s="242"/>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row>
    <row r="15" spans="1:285" ht="16.8" customHeight="1">
      <c r="A15" s="182"/>
      <c r="B15" s="184"/>
      <c r="C15" s="6">
        <v>10</v>
      </c>
      <c r="D15" s="248" t="s">
        <v>330</v>
      </c>
      <c r="E15" s="25" t="s">
        <v>317</v>
      </c>
      <c r="F15" s="5" t="s">
        <v>33</v>
      </c>
      <c r="G15" s="94">
        <f>VLOOKUP($G$3,Commited_Actual_1stProject!$E$9:$BU$36,$D30,0)</f>
        <v>0.15</v>
      </c>
      <c r="H15" s="247">
        <f>VLOOKUP($G$3,Commited_Actual_1stProject!$E$9:$BU$36,$D30+1,0)</f>
        <v>37</v>
      </c>
      <c r="I15" s="247">
        <f>VLOOKUP($G$3,Commited_Actual_1stProject!$E$9:$BU$36,$D30+2,0)</f>
        <v>31.37</v>
      </c>
      <c r="J15" s="94">
        <f>VLOOKUP($J$3,Commited_Actual_1stProject!$E$9:$BU$36,$D30,0)</f>
        <v>0.15</v>
      </c>
      <c r="K15" s="247">
        <f>VLOOKUP($J$3,Commited_Actual_1stProject!$E$9:$BU$36,$D30+1,0)</f>
        <v>8</v>
      </c>
      <c r="L15" s="247">
        <f>VLOOKUP($J$3,Commited_Actual_1stProject!$E$9:$BU$36,$D30+2,0)</f>
        <v>8.6</v>
      </c>
      <c r="M15" s="94">
        <f>VLOOKUP($M$3,Commited_Actual_1stProject!$E$9:$BU$36,$D30,0)</f>
        <v>0</v>
      </c>
      <c r="N15" s="247">
        <f>VLOOKUP($M$3,Commited_Actual_1stProject!$E$9:$BU$36,$D30+1,0)</f>
        <v>0</v>
      </c>
      <c r="O15" s="247">
        <f>VLOOKUP($M$3,Commited_Actual_1stProject!$E$9:$BU$36,$D30+2,0)</f>
        <v>0</v>
      </c>
      <c r="P15" s="94">
        <f>VLOOKUP($P$3,Commited_Actual_1stProject!$E$9:$BU$36,$D30,0)</f>
        <v>0</v>
      </c>
      <c r="Q15" s="247">
        <f>VLOOKUP($P$3,Commited_Actual_1stProject!$E$9:$BU$36,$D30+1,0)</f>
        <v>0</v>
      </c>
      <c r="R15" s="247">
        <f>VLOOKUP($P$3,Commited_Actual_1stProject!$E$9:$BU$36,$D30+2,0)</f>
        <v>0</v>
      </c>
      <c r="S15" s="94">
        <f>VLOOKUP($S$3,Commited_Actual_1stProject!$E$9:$BU$36,$D30,0)</f>
        <v>0</v>
      </c>
      <c r="T15" s="247">
        <f>VLOOKUP($S$3,Commited_Actual_1stProject!$E$9:$BU$36,$D30+1,0)</f>
        <v>0</v>
      </c>
      <c r="U15" s="247">
        <f>VLOOKUP($S$3,Commited_Actual_1stProject!$E$9:$BU$36,$D30+2,0)</f>
        <v>0</v>
      </c>
      <c r="V15" s="94">
        <f>VLOOKUP($V$3,Commited_Actual_1stProject!$E$9:$BU$36,$D30,0)</f>
        <v>0</v>
      </c>
      <c r="W15" s="247">
        <f>VLOOKUP($V$3,Commited_Actual_1stProject!$E$9:$BU$36,$D30+1,0)</f>
        <v>0</v>
      </c>
      <c r="X15" s="247">
        <f>VLOOKUP($V$3,Commited_Actual_1stProject!$E$9:$BU$36,$D30+2,0)</f>
        <v>0</v>
      </c>
      <c r="Y15" s="94">
        <f>VLOOKUP($Y$3,Commited_Actual_1stProject!$E$9:$BU$36,$D30,0)</f>
        <v>0</v>
      </c>
      <c r="Z15" s="247">
        <f>VLOOKUP($Y$3,Commited_Actual_1stProject!$E$9:$BU$36,$D30+1,0)</f>
        <v>0</v>
      </c>
      <c r="AA15" s="247">
        <f>VLOOKUP($Y$3,Commited_Actual_1stProject!$E$9:$BU$36,$D30+2,0)</f>
        <v>0</v>
      </c>
      <c r="AB15" s="94">
        <f>VLOOKUP($AB$3,Commited_Actual_1stProject!$E$9:$BU$36,$D30,0)</f>
        <v>0</v>
      </c>
      <c r="AC15" s="247">
        <f>VLOOKUP($AB$3,Commited_Actual_1stProject!$E$9:$BU$36,$D30+1,0)</f>
        <v>0</v>
      </c>
      <c r="AD15" s="247">
        <f>VLOOKUP($AB$3,Commited_Actual_1stProject!$E$9:$BU$36,$D30+2,0)</f>
        <v>0</v>
      </c>
      <c r="AE15" s="94">
        <f>VLOOKUP($AE$3,Commited_Actual_1stProject!$E$9:$BU$36,$D30,0)</f>
        <v>0</v>
      </c>
      <c r="AF15" s="247">
        <f>VLOOKUP($AE$3,Commited_Actual_1stProject!$E$9:$BU$36,$D30+1,0)</f>
        <v>0</v>
      </c>
      <c r="AG15" s="247">
        <f>VLOOKUP($AE$3,Commited_Actual_1stProject!$E$9:$BU$36,$D30+2,0)</f>
        <v>0</v>
      </c>
      <c r="AH15" s="94">
        <f>VLOOKUP($AH$3,Commited_Actual_1stProject!$E$9:$BU$36,$D30,0)</f>
        <v>0</v>
      </c>
      <c r="AI15" s="124">
        <f>VLOOKUP($AH$3,Commited_Actual_1stProject!$E$9:$BU$36,$D30+1,0)</f>
        <v>0</v>
      </c>
      <c r="AJ15" s="94">
        <f>VLOOKUP($AH$3,Commited_Actual_1stProject!$E$9:$BU$36,$D30+2,0)</f>
        <v>0</v>
      </c>
      <c r="AK15" s="94">
        <f>VLOOKUP($AK$3,Commited_Actual_1stProject!$E$9:$BU$36,$D30,0)</f>
        <v>0</v>
      </c>
      <c r="AL15" s="124">
        <f>VLOOKUP($AK$3,Commited_Actual_1stProject!$E$9:$BU$36,$D30+1,0)</f>
        <v>0</v>
      </c>
      <c r="AM15" s="124">
        <f>VLOOKUP($AK$3,Commited_Actual_1stProject!$E$9:$BU$36,$D30+2,0)</f>
        <v>0</v>
      </c>
      <c r="AN15" s="94">
        <f>VLOOKUP($AN$3,Commited_Actual_1stProject!$E$9:$BU$36,$D30,0)</f>
        <v>0.15</v>
      </c>
      <c r="AO15" s="94">
        <f>VLOOKUP($AN$3,Commited_Actual_1stProject!$E$9:$BU$36,$D30+1,0)</f>
        <v>0.1</v>
      </c>
      <c r="AP15" s="94">
        <f>VLOOKUP($AN$3,Commited_Actual_1stProject!$E$9:$BU$36,$D30+2,0)</f>
        <v>0</v>
      </c>
      <c r="AQ15" s="94">
        <f>VLOOKUP($AQ$3,Commited_Actual_1stProject!$E$9:$BU$36,$D30,0)</f>
        <v>0</v>
      </c>
      <c r="AR15" s="247">
        <f>VLOOKUP($AQ$3,Commited_Actual_1stProject!$E$9:$BU$36,$D30+1,0)</f>
        <v>0</v>
      </c>
      <c r="AS15" s="247">
        <f>VLOOKUP($AQ$3,Commited_Actual_1stProject!$E$9:$BU$36,$D30+2,0)</f>
        <v>0</v>
      </c>
      <c r="AT15" s="94">
        <f>VLOOKUP($AT$3,Commited_Actual_1stProject!$E$9:$BU$36,$D30,0)</f>
        <v>0.15</v>
      </c>
      <c r="AU15" s="94">
        <f>VLOOKUP($AT$3,Commited_Actual_1stProject!$E$9:$BU$36,$D30+1,0)</f>
        <v>0.15</v>
      </c>
      <c r="AV15" s="94">
        <f>VLOOKUP($AT$3,Commited_Actual_1stProject!$E$9:$BU$36,$D30+2,0)</f>
        <v>7.0000000000000007E-2</v>
      </c>
      <c r="AW15" s="94">
        <f>VLOOKUP($AW$3,Commited_Actual_1stProject!$E$9:$BU$36,$D30,0)</f>
        <v>0</v>
      </c>
      <c r="AX15" s="247">
        <f>VLOOKUP($AW$3,Commited_Actual_1stProject!$E$9:$BU$36,$D30+1,0)</f>
        <v>0</v>
      </c>
      <c r="AY15" s="247">
        <f>VLOOKUP($AW$3,Commited_Actual_1stProject!$E$9:$BU$36,$D30+2,0)</f>
        <v>0</v>
      </c>
      <c r="AZ15" s="94">
        <f>VLOOKUP($AZ$3,Commited_Actual_1stProject!$E$9:$BU$36,$D30,0)</f>
        <v>0</v>
      </c>
      <c r="BA15" s="247">
        <f>VLOOKUP($AZ$3,Commited_Actual_1stProject!$E$9:$BU$36,$D30+1,0)</f>
        <v>0</v>
      </c>
      <c r="BB15" s="247">
        <f>VLOOKUP($AZ$3,Commited_Actual_1stProject!$E$9:$BU$36,$D30+2,0)</f>
        <v>0</v>
      </c>
      <c r="BC15" s="94">
        <f>VLOOKUP($BC$3,Commited_Actual_1stProject!$E$9:$BU$36,$D30,0)</f>
        <v>0</v>
      </c>
      <c r="BD15" s="124">
        <f>VLOOKUP($BC$3,Commited_Actual_1stProject!$E$9:$BU$36,$D30+1,0)</f>
        <v>0</v>
      </c>
      <c r="BE15" s="124">
        <f>VLOOKUP($BC$3,Commited_Actual_1stProject!$E$9:$BU$36,$D30+2,0)</f>
        <v>0</v>
      </c>
      <c r="BF15" s="94"/>
      <c r="BG15" s="247"/>
      <c r="BH15" s="247"/>
      <c r="BI15" s="94">
        <f>VLOOKUP($BI$3,Commited_Actual_1stProject!$E$9:$BU$36,$D30,0)</f>
        <v>0</v>
      </c>
      <c r="BJ15" s="247">
        <f>VLOOKUP($BI$3,Commited_Actual_1stProject!$E$9:$BU$36,$D30+1,0)</f>
        <v>0</v>
      </c>
      <c r="BK15" s="247">
        <f>VLOOKUP($BI$3,Commited_Actual_1stProject!$E$9:$BU$36,$D30+2,0)</f>
        <v>0</v>
      </c>
      <c r="BL15" s="94">
        <f>VLOOKUP($BL$3,Commited_Actual_1stProject!$E$9:$BU$36,$D30,0)</f>
        <v>0.04</v>
      </c>
      <c r="BM15" s="247">
        <f>VLOOKUP($BL$3,Commited_Actual_1stProject!$E$9:$BU$36,$D30+1,0)</f>
        <v>3</v>
      </c>
      <c r="BN15" s="247">
        <f>VLOOKUP($BL$3,Commited_Actual_1stProject!$E$9:$BU$36,$D30+2,0)</f>
        <v>3</v>
      </c>
      <c r="BO15" s="94">
        <f>VLOOKUP($BO$3,Commited_Actual_1stProject!$E$9:$BU$36,$D30,0)</f>
        <v>0.03</v>
      </c>
      <c r="BP15" s="247">
        <f>VLOOKUP($BO$3,Commited_Actual_1stProject!$E$9:$BU$36,$D30+1,0)</f>
        <v>3</v>
      </c>
      <c r="BQ15" s="247">
        <f>VLOOKUP($BO$3,Commited_Actual_1stProject!$E$9:$BU$36,$D30+2,0)</f>
        <v>4</v>
      </c>
      <c r="BR15" s="94">
        <f>VLOOKUP($BR$3,Commited_Actual_1stProject!$E$9:$BU$36,$D30,0)</f>
        <v>0.03</v>
      </c>
      <c r="BS15" s="247">
        <f>VLOOKUP($BR$3,Commited_Actual_1stProject!$E$9:$BU$36,$D30+1,0)</f>
        <v>3</v>
      </c>
      <c r="BT15" s="247">
        <f>VLOOKUP($BR$3,Commited_Actual_1stProject!$E$9:$BU$36,$D30+2,0)</f>
        <v>3</v>
      </c>
      <c r="BU15" s="94">
        <f>VLOOKUP($BU$3,Commited_Actual_1stProject!$E$9:$BU$36,$D30,0)</f>
        <v>0</v>
      </c>
      <c r="BV15" s="247">
        <f>VLOOKUP($BU$3,Commited_Actual_1stProject!$E$9:$BU$36,$D30+1,0)</f>
        <v>0</v>
      </c>
      <c r="BW15" s="247">
        <f>VLOOKUP($BU$3,Commited_Actual_1stProject!$E$9:$BU$36,$D30+2,0)</f>
        <v>0</v>
      </c>
      <c r="BX15" s="94">
        <f>VLOOKUP($BX$3,Commited_Actual_1stProject!$E$9:$BU$36,$D30,0)</f>
        <v>0.1</v>
      </c>
      <c r="BY15" s="247">
        <f>VLOOKUP($BX$3,Commited_Actual_1stProject!$E$9:$BU$36,$D30+1,0)</f>
        <v>10</v>
      </c>
      <c r="BZ15" s="247">
        <f>VLOOKUP($BX$3,Commited_Actual_1stProject!$E$9:$BU$36,$D30+2,0)</f>
        <v>12</v>
      </c>
      <c r="CA15" s="94">
        <f>VLOOKUP($CA$3,Commited_Actual_1stProject!$E$9:$BU$36,$D30,0)</f>
        <v>0</v>
      </c>
      <c r="CB15" s="247">
        <f>VLOOKUP($CA$3,Commited_Actual_1stProject!$E$9:$BU$36,$D30+1,0)</f>
        <v>0</v>
      </c>
      <c r="CC15" s="247">
        <f>VLOOKUP($CA$3,Commited_Actual_1stProject!$E$9:$BU$36,$D30+2,0)</f>
        <v>0</v>
      </c>
      <c r="CD15" s="94"/>
      <c r="CE15" s="247"/>
      <c r="CF15" s="247"/>
      <c r="CG15" s="94"/>
      <c r="CH15" s="247"/>
      <c r="CI15" s="247"/>
      <c r="CJ15" s="94">
        <f>VLOOKUP($CJ$3,Commited_Actual_1stProject!$E$9:$BU$36,$D30,0)</f>
        <v>0.1</v>
      </c>
      <c r="CK15" s="247">
        <f>VLOOKUP($CJ$3,Commited_Actual_1stProject!$E$9:$BU$36,$D30+1,0)</f>
        <v>3</v>
      </c>
      <c r="CL15" s="247">
        <f>VLOOKUP($CJ$3,Commited_Actual_1stProject!$E$9:$BU$36,$D30+2,0)</f>
        <v>3</v>
      </c>
      <c r="CM15" s="94"/>
      <c r="CN15" s="247"/>
      <c r="CO15" s="247"/>
      <c r="CP15" s="94"/>
      <c r="CQ15" s="247"/>
      <c r="CR15" s="247"/>
      <c r="CS15" s="94">
        <f>VLOOKUP($CS$3,Commited_Actual_1stProject!$E$9:$BU$36,$D30,0)</f>
        <v>0</v>
      </c>
      <c r="CT15" s="247">
        <f>VLOOKUP($CS$3,Commited_Actual_1stProject!$E$9:$BU$36,$D30+1,0)</f>
        <v>0</v>
      </c>
      <c r="CU15" s="247">
        <f>VLOOKUP($CS$3,Commited_Actual_1stProject!$E$9:$BU$36,$D30+2,0)</f>
        <v>0</v>
      </c>
      <c r="CV15" s="94"/>
      <c r="CW15" s="247"/>
      <c r="CX15" s="247"/>
      <c r="CY15" s="94"/>
      <c r="CZ15" s="247"/>
      <c r="DA15" s="247"/>
      <c r="DB15" s="94">
        <f>VLOOKUP($DB$3,Commited_Actual_2ndProject!$E$5:$AG$34,$E30,0)</f>
        <v>0</v>
      </c>
      <c r="DC15" s="94">
        <f>VLOOKUP($DB$3,Commited_Actual_2ndProject!$E$5:$AG$34,$E30+1,0)</f>
        <v>0</v>
      </c>
      <c r="DD15" s="94">
        <f>VLOOKUP($DB$3,Commited_Actual_2ndProject!$E$5:$AG$34,$E30+2,0)</f>
        <v>0</v>
      </c>
      <c r="DE15" s="94">
        <f>VLOOKUP($DE$3,Commited_Actual_2ndProject!$E$5:$AG$34,$E30,0)</f>
        <v>0</v>
      </c>
      <c r="DF15" s="94">
        <f>VLOOKUP($DE$3,Commited_Actual_2ndProject!$E$5:$AG$34,$E30+1,0)</f>
        <v>0</v>
      </c>
      <c r="DG15" s="94">
        <f>VLOOKUP($DE$3,Commited_Actual_2ndProject!$E$5:$AG$34,$E30+2,0)</f>
        <v>0</v>
      </c>
      <c r="DH15" s="94">
        <f>VLOOKUP($DH$3,Commited_Actual_2ndProject!$E$5:$AG$34,$E30,0)</f>
        <v>0</v>
      </c>
      <c r="DI15" s="94">
        <f>VLOOKUP($DH$3,Commited_Actual_2ndProject!$E$5:$AG$34,$E30+1,0)</f>
        <v>0</v>
      </c>
      <c r="DJ15" s="94">
        <f>VLOOKUP($DH$3,Commited_Actual_2ndProject!$E$5:$AG$34,$E30+2,0)</f>
        <v>0</v>
      </c>
      <c r="DK15" s="94">
        <f>VLOOKUP($DK$3,Commited_Actual_2ndProject!$E$5:$AG$34,$E30,0)</f>
        <v>0</v>
      </c>
      <c r="DL15" s="94">
        <f>VLOOKUP($DK$3,Commited_Actual_2ndProject!$E$5:$AG$34,$E30+1,0)</f>
        <v>0</v>
      </c>
      <c r="DM15" s="94">
        <f>VLOOKUP($DK$3,Commited_Actual_2ndProject!$E$5:$AG$34,$E30+2,0)</f>
        <v>0</v>
      </c>
      <c r="DN15" s="94">
        <f>VLOOKUP($DN$3,Commited_Actual_2ndProject!$E$5:$AG$34,$E30,0)</f>
        <v>0</v>
      </c>
      <c r="DO15" s="247">
        <f>VLOOKUP($DN$3,Commited_Actual_2ndProject!$E$5:$AG$34,$E30+1,0)</f>
        <v>0</v>
      </c>
      <c r="DP15" s="247">
        <f>VLOOKUP($DN$3,Commited_Actual_2ndProject!$E$5:$AG$34,$E30+2,0)</f>
        <v>0</v>
      </c>
      <c r="DQ15" s="94">
        <f>VLOOKUP($DQ$3,Commited_Actual_2ndProject!$E$5:$AG$34,$E30,0)</f>
        <v>0</v>
      </c>
      <c r="DR15" s="94">
        <f>VLOOKUP($DQ$3,Commited_Actual_2ndProject!$E$5:$AG$34,$E30+1,0)</f>
        <v>0</v>
      </c>
      <c r="DS15" s="94">
        <f>VLOOKUP($DQ$3,Commited_Actual_2ndProject!$E$5:$AG$34,$E30+2,0)</f>
        <v>0</v>
      </c>
      <c r="DT15" s="94">
        <f>VLOOKUP($DT$3,Commited_Actual_2ndProject!$E$5:$AG$34,$E30,0)</f>
        <v>0</v>
      </c>
      <c r="DU15" s="94">
        <f>VLOOKUP($DT$3,Commited_Actual_2ndProject!$E$5:$AG$34,$E30+1,0)</f>
        <v>0</v>
      </c>
      <c r="DV15" s="94">
        <f>VLOOKUP($DT$3,Commited_Actual_2ndProject!$E$5:$AG$34,$E30+2,0)</f>
        <v>0</v>
      </c>
      <c r="DW15" s="94">
        <f>VLOOKUP($DW$3,Commited_Actual_2ndProject!$E$5:$AG$34,$E30,0)</f>
        <v>0</v>
      </c>
      <c r="DX15" s="94">
        <f>VLOOKUP($DW$3,Commited_Actual_2ndProject!$E$5:$AG$34,$E30+1,0)</f>
        <v>0</v>
      </c>
      <c r="DY15" s="94">
        <f>VLOOKUP($DW$3,Commited_Actual_2ndProject!$E$5:$AG$34,$E30+2,0)</f>
        <v>0</v>
      </c>
      <c r="DZ15" s="94">
        <f>VLOOKUP($DZ$3,Commited_Actual_2ndProject!$E$5:$AG$34,$E30,0)</f>
        <v>0</v>
      </c>
      <c r="EA15" s="94">
        <f>VLOOKUP($DZ$3,Commited_Actual_2ndProject!$E$5:$AG$34,$E30+1,0)</f>
        <v>0</v>
      </c>
      <c r="EB15" s="94">
        <f>VLOOKUP($DZ$3,Commited_Actual_2ndProject!$E$5:$AG$34,$E30+2,0)</f>
        <v>0</v>
      </c>
      <c r="EC15" s="94">
        <f>VLOOKUP($EC$3,Commited_Actual_2ndProject!$E$5:$AG$34,$E30,0)</f>
        <v>0</v>
      </c>
      <c r="ED15" s="94">
        <f>VLOOKUP($EC$3,Commited_Actual_2ndProject!$E$5:$AG$34,$E30+1,0)</f>
        <v>0</v>
      </c>
      <c r="EE15" s="94">
        <f>VLOOKUP($EC$3,Commited_Actual_2ndProject!$E$5:$AG$34,$E30+2,0)</f>
        <v>0</v>
      </c>
      <c r="EF15" s="94">
        <f>VLOOKUP($EF$3,Commited_Actual_2ndProject!$E$5:$AG$34,$E30,0)</f>
        <v>0</v>
      </c>
      <c r="EG15" s="94">
        <f>VLOOKUP($EF$3,Commited_Actual_2ndProject!$E$5:$AG$34,$E30+1,0)</f>
        <v>0</v>
      </c>
      <c r="EH15" s="94">
        <f>VLOOKUP($EF$3,Commited_Actual_2ndProject!$E$5:$AG$34,$E30+2,0)</f>
        <v>0</v>
      </c>
      <c r="EI15" s="94">
        <f>VLOOKUP($EI$3,Commited_Actual_2ndProject!$E$5:$AG$34,$E30,0)</f>
        <v>0</v>
      </c>
      <c r="EJ15" s="94">
        <f>VLOOKUP($EI$3,Commited_Actual_2ndProject!$E$5:$AG$34,$E30+1,0)</f>
        <v>0</v>
      </c>
      <c r="EK15" s="94">
        <f>VLOOKUP($EI$3,Commited_Actual_2ndProject!$E$5:$AG$34,$E30+2,0)</f>
        <v>0</v>
      </c>
      <c r="EL15" s="94">
        <f>VLOOKUP($EL$3,Commited_Actual_2ndProject!$E$5:$AG$34,$E30,0)</f>
        <v>0</v>
      </c>
      <c r="EM15" s="94">
        <f>VLOOKUP($EL$3,Commited_Actual_2ndProject!$E$5:$AG$34,$E30+1,0)</f>
        <v>0</v>
      </c>
      <c r="EN15" s="94">
        <f>VLOOKUP($EL$3,Commited_Actual_2ndProject!$E$5:$AG$34,$E30+2,0)</f>
        <v>0</v>
      </c>
      <c r="EO15" s="94">
        <f>VLOOKUP($EO$3,Commited_Actual_2ndProject!$E$5:$AG$34,$E30,0)</f>
        <v>0</v>
      </c>
      <c r="EP15" s="94">
        <f>VLOOKUP($EO$3,Commited_Actual_2ndProject!$E$5:$AG$34,$E30+1,0)</f>
        <v>0</v>
      </c>
      <c r="EQ15" s="94">
        <f>VLOOKUP($EO$3,Commited_Actual_2ndProject!$E$5:$AG$34,$E30+2,0)</f>
        <v>0</v>
      </c>
      <c r="ER15" s="94">
        <f>VLOOKUP($ER$3,Commited_Actual_2ndProject!$E$5:$AG$34,$E30,0)</f>
        <v>0</v>
      </c>
      <c r="ES15" s="94">
        <f>VLOOKUP($ER$3,Commited_Actual_2ndProject!$E$5:$AG$34,$E30+1,0)</f>
        <v>0</v>
      </c>
      <c r="ET15" s="94">
        <f>VLOOKUP($ER$3,Commited_Actual_2ndProject!$E$5:$AG$34,$E30+2,0)</f>
        <v>0</v>
      </c>
      <c r="EU15" s="94">
        <f>VLOOKUP($EU$3,Commited_Actual_2ndProject!$E$5:$AG$34,$E30,0)</f>
        <v>0</v>
      </c>
      <c r="EV15" s="94">
        <f>VLOOKUP($EU$3,Commited_Actual_2ndProject!$E$5:$AG$34,$E30+1,0)</f>
        <v>0</v>
      </c>
      <c r="EW15" s="94">
        <f>VLOOKUP($EU$3,Commited_Actual_2ndProject!$E$5:$AG$34,$E30+2,0)</f>
        <v>0</v>
      </c>
      <c r="EX15" s="94">
        <f>VLOOKUP($EX$3,Commited_Actual_2ndProject!$E$5:$AG$34,$E30,0)</f>
        <v>0.1</v>
      </c>
      <c r="EY15" s="94">
        <f>VLOOKUP($EX$3,Commited_Actual_2ndProject!$E$5:$AG$34,$E30+1,0)</f>
        <v>0.3</v>
      </c>
      <c r="EZ15" s="94">
        <f>VLOOKUP($EX$3,Commited_Actual_2ndProject!$E$5:$AG$34,$E30+2,0)</f>
        <v>0.31</v>
      </c>
      <c r="FA15" s="96"/>
      <c r="FB15" s="97"/>
      <c r="FC15" s="97"/>
      <c r="FD15" s="96"/>
      <c r="FE15" s="97"/>
      <c r="FF15" s="97"/>
      <c r="FG15" s="96"/>
      <c r="FH15" s="97"/>
      <c r="FI15" s="97"/>
      <c r="FJ15" s="96"/>
      <c r="FK15" s="97"/>
      <c r="FL15" s="97"/>
      <c r="FM15" s="96"/>
      <c r="FN15" s="97"/>
      <c r="FO15" s="97"/>
      <c r="FP15" s="96"/>
      <c r="FQ15" s="97"/>
      <c r="FR15" s="97"/>
      <c r="FS15" s="96"/>
      <c r="FT15" s="97"/>
      <c r="FU15" s="97"/>
      <c r="FV15" s="94"/>
      <c r="FW15" s="95"/>
      <c r="FX15" s="95"/>
      <c r="FY15" s="94"/>
      <c r="FZ15" s="95"/>
      <c r="GA15" s="95"/>
      <c r="GB15" s="96"/>
      <c r="GC15" s="95"/>
      <c r="GD15" s="95"/>
      <c r="GE15" s="96"/>
      <c r="GF15" s="95"/>
      <c r="GG15" s="95"/>
      <c r="GH15" s="96"/>
      <c r="GI15" s="95"/>
      <c r="GJ15" s="95"/>
      <c r="GK15" s="96"/>
      <c r="GL15" s="95"/>
      <c r="GM15" s="95"/>
      <c r="GN15" s="96"/>
      <c r="GO15" s="95"/>
      <c r="GP15" s="95"/>
      <c r="GQ15" s="94"/>
      <c r="GR15" s="95"/>
      <c r="GS15" s="95"/>
      <c r="GT15" s="96"/>
      <c r="GU15" s="97"/>
      <c r="GV15" s="97"/>
      <c r="GW15" s="96"/>
      <c r="GX15" s="97"/>
      <c r="GY15" s="97"/>
      <c r="GZ15" s="96"/>
      <c r="HA15" s="97"/>
      <c r="HB15" s="97"/>
      <c r="HC15" s="96"/>
      <c r="HD15" s="97"/>
      <c r="HE15" s="97"/>
      <c r="HF15" s="96"/>
      <c r="HG15" s="97"/>
      <c r="HH15" s="97"/>
      <c r="HI15" s="96"/>
      <c r="HJ15" s="97"/>
      <c r="HK15" s="97"/>
      <c r="HL15" s="96"/>
      <c r="HM15" s="97"/>
      <c r="HN15" s="97"/>
      <c r="HO15" s="96"/>
      <c r="HP15" s="97"/>
      <c r="HQ15" s="97"/>
      <c r="HR15" s="96"/>
      <c r="HS15" s="97"/>
      <c r="HT15" s="97"/>
      <c r="HU15" s="96"/>
      <c r="HV15" s="97"/>
      <c r="HW15" s="97"/>
      <c r="HX15" s="94"/>
      <c r="HY15" s="95"/>
      <c r="HZ15" s="95"/>
      <c r="IA15" s="94"/>
      <c r="IB15" s="95"/>
      <c r="IC15" s="95"/>
      <c r="ID15" s="96"/>
      <c r="IE15" s="95"/>
      <c r="IF15" s="95"/>
      <c r="IG15" s="96"/>
      <c r="IH15" s="95"/>
      <c r="II15" s="95"/>
      <c r="IJ15" s="96"/>
      <c r="IK15" s="95"/>
      <c r="IL15" s="95"/>
      <c r="IM15" s="96"/>
      <c r="IN15" s="95"/>
      <c r="IO15" s="95"/>
      <c r="IP15" s="96"/>
      <c r="IQ15" s="95"/>
      <c r="IR15" s="95"/>
      <c r="IS15" s="94"/>
      <c r="IT15" s="95"/>
      <c r="IU15" s="95"/>
      <c r="IV15" s="96"/>
      <c r="IW15" s="97"/>
      <c r="IX15" s="97"/>
      <c r="IY15" s="96"/>
      <c r="IZ15" s="97"/>
      <c r="JA15" s="97"/>
      <c r="JB15" s="96"/>
      <c r="JC15" s="97"/>
      <c r="JD15" s="97"/>
      <c r="JE15" s="96"/>
      <c r="JF15" s="97"/>
      <c r="JG15" s="97"/>
      <c r="JH15" s="96"/>
      <c r="JI15" s="97"/>
      <c r="JJ15" s="97"/>
      <c r="JK15" s="96"/>
      <c r="JL15" s="97"/>
      <c r="JM15" s="97"/>
      <c r="JN15" s="96"/>
      <c r="JO15" s="97"/>
      <c r="JP15" s="97"/>
      <c r="JQ15" s="96"/>
      <c r="JR15" s="97"/>
      <c r="JS15" s="97"/>
      <c r="JT15" s="96"/>
      <c r="JU15" s="97"/>
      <c r="JV15" s="97"/>
      <c r="JW15" s="96"/>
      <c r="JX15" s="97"/>
      <c r="JY15" s="97"/>
    </row>
    <row r="16" spans="1:285">
      <c r="A16" s="182">
        <v>42</v>
      </c>
      <c r="B16" s="184"/>
      <c r="C16" s="6">
        <v>11</v>
      </c>
      <c r="D16" s="192" t="s">
        <v>331</v>
      </c>
      <c r="E16" s="25" t="s">
        <v>317</v>
      </c>
      <c r="F16" s="5" t="s">
        <v>33</v>
      </c>
      <c r="G16" s="94">
        <f>VLOOKUP($G$3,Commited_Actual_1stProject!$E$9:$BU$36,$A16,0)</f>
        <v>0.3</v>
      </c>
      <c r="H16" s="247">
        <f>VLOOKUP($G$3,Commited_Actual_1stProject!$E$9:$BU$36,$A16+1,0)</f>
        <v>37</v>
      </c>
      <c r="I16" s="247">
        <f>VLOOKUP($G$3,Commited_Actual_1stProject!$E$9:$BU$36,$A16+2,0)</f>
        <v>38.299999999999997</v>
      </c>
      <c r="J16" s="94">
        <f>VLOOKUP($J$3,Commited_Actual_1stProject!$E$9:$BU$36,$A16,0)</f>
        <v>0.2</v>
      </c>
      <c r="K16" s="247">
        <f>VLOOKUP($J$3,Commited_Actual_1stProject!$E$9:$BU$36,$A16+1,0)</f>
        <v>8</v>
      </c>
      <c r="L16" s="247">
        <f>VLOOKUP($J$3,Commited_Actual_1stProject!$E$9:$BU$36,$A16+2,0)</f>
        <v>4.03</v>
      </c>
      <c r="M16" s="94">
        <f>VLOOKUP($M$3,Commited_Actual_1stProject!$E$9:$BU$36,$A16,0)</f>
        <v>0</v>
      </c>
      <c r="N16" s="247">
        <f>VLOOKUP($M$3,Commited_Actual_1stProject!$E$9:$BU$36,$A16+1,0)</f>
        <v>0</v>
      </c>
      <c r="O16" s="247">
        <f>VLOOKUP($M$3,Commited_Actual_1stProject!$E$9:$BU$36,$A16+2,0)</f>
        <v>0</v>
      </c>
      <c r="P16" s="94">
        <f>VLOOKUP($P$3,Commited_Actual_1stProject!$E$9:$BU$36,$A16,0)</f>
        <v>0</v>
      </c>
      <c r="Q16" s="247">
        <f>VLOOKUP($P$3,Commited_Actual_1stProject!$E$9:$BU$36,$A16+1,0)</f>
        <v>0</v>
      </c>
      <c r="R16" s="247">
        <f>VLOOKUP($P$3,Commited_Actual_1stProject!$E$9:$BU$36,$A16+2,0)</f>
        <v>0</v>
      </c>
      <c r="S16" s="94">
        <f>VLOOKUP($S$3,Commited_Actual_1stProject!$E$9:$BU$36,$A16,0)</f>
        <v>0</v>
      </c>
      <c r="T16" s="247">
        <f>VLOOKUP($S$3,Commited_Actual_1stProject!$E$9:$BU$36,$A16+1,0)</f>
        <v>0</v>
      </c>
      <c r="U16" s="247">
        <f>VLOOKUP($S$3,Commited_Actual_1stProject!$E$9:$BU$36,$A16+2,0)</f>
        <v>0</v>
      </c>
      <c r="V16" s="94">
        <f>VLOOKUP($V$3,Commited_Actual_1stProject!$E$9:$BU$36,$A16,0)</f>
        <v>0</v>
      </c>
      <c r="W16" s="247">
        <f>VLOOKUP($V$3,Commited_Actual_1stProject!$E$9:$BU$36,$A16+1,0)</f>
        <v>0</v>
      </c>
      <c r="X16" s="247">
        <f>VLOOKUP($V$3,Commited_Actual_1stProject!$E$9:$BU$36,$A16+2,0)</f>
        <v>0</v>
      </c>
      <c r="Y16" s="94">
        <f>VLOOKUP($Y$3,Commited_Actual_1stProject!$E$9:$BU$36,$A16,0)</f>
        <v>0</v>
      </c>
      <c r="Z16" s="247">
        <f>VLOOKUP($Y$3,Commited_Actual_1stProject!$E$9:$BU$36,$A16+1,0)</f>
        <v>0</v>
      </c>
      <c r="AA16" s="247">
        <f>VLOOKUP($Y$3,Commited_Actual_1stProject!$E$9:$BU$36,$A16+2,0)</f>
        <v>0</v>
      </c>
      <c r="AB16" s="94">
        <f>VLOOKUP($AB$3,Commited_Actual_1stProject!$E$9:$BU$36,$A16,0)</f>
        <v>0</v>
      </c>
      <c r="AC16" s="247">
        <f>VLOOKUP($AB$3,Commited_Actual_1stProject!$E$9:$BU$36,$A16+1,0)</f>
        <v>0</v>
      </c>
      <c r="AD16" s="247">
        <f>VLOOKUP($AB$3,Commited_Actual_1stProject!$E$9:$BU$36,$A16+2,0)</f>
        <v>0</v>
      </c>
      <c r="AE16" s="94">
        <f>VLOOKUP($AE$3,Commited_Actual_1stProject!$E$9:$BU$36,$A16,0)</f>
        <v>0</v>
      </c>
      <c r="AF16" s="247">
        <f>VLOOKUP($AE$3,Commited_Actual_1stProject!$E$9:$BU$36,$A16+1,0)</f>
        <v>0</v>
      </c>
      <c r="AG16" s="247">
        <f>VLOOKUP($AE$3,Commited_Actual_1stProject!$E$9:$BU$36,$A16+2,0)</f>
        <v>0</v>
      </c>
      <c r="AH16" s="94">
        <f>VLOOKUP($AH$3,Commited_Actual_1stProject!$E$9:$BU$36,$A16,0)</f>
        <v>0</v>
      </c>
      <c r="AI16" s="124">
        <f>VLOOKUP($AH$3,Commited_Actual_1stProject!$E$9:$BU$36,$A16+1,0)</f>
        <v>0</v>
      </c>
      <c r="AJ16" s="94">
        <f>VLOOKUP($AH$3,Commited_Actual_1stProject!$E$9:$BU$36,$A16+2,0)</f>
        <v>0</v>
      </c>
      <c r="AK16" s="94">
        <f>VLOOKUP($AK$3,Commited_Actual_1stProject!$E$9:$BU$36,$A16,0)</f>
        <v>0</v>
      </c>
      <c r="AL16" s="124">
        <f>VLOOKUP($AK$3,Commited_Actual_1stProject!$E$9:$BU$36,$A16+1,0)</f>
        <v>0</v>
      </c>
      <c r="AM16" s="124">
        <f>VLOOKUP($AK$3,Commited_Actual_1stProject!$E$9:$BU$36,$A16+2,0)</f>
        <v>0</v>
      </c>
      <c r="AN16" s="94">
        <f>VLOOKUP($AN$3,Commited_Actual_1stProject!$E$9:$BU$36,$A16,0)</f>
        <v>0.1</v>
      </c>
      <c r="AO16" s="94">
        <f>VLOOKUP($AN$3,Commited_Actual_1stProject!$E$9:$BU$36,$A16+1,0)</f>
        <v>0.1</v>
      </c>
      <c r="AP16" s="94">
        <f>VLOOKUP($AN$3,Commited_Actual_1stProject!$E$9:$BU$36,$A16+2,0)</f>
        <v>0.02</v>
      </c>
      <c r="AQ16" s="94">
        <f>VLOOKUP($AQ$3,Commited_Actual_1stProject!$E$9:$BU$36,$A16,0)</f>
        <v>0</v>
      </c>
      <c r="AR16" s="247">
        <f>VLOOKUP($AQ$3,Commited_Actual_1stProject!$E$9:$BU$36,$A16+1,0)</f>
        <v>0</v>
      </c>
      <c r="AS16" s="247">
        <f>VLOOKUP($AQ$3,Commited_Actual_1stProject!$E$9:$BU$36,$A16+2,0)</f>
        <v>0</v>
      </c>
      <c r="AT16" s="94">
        <f>VLOOKUP($AT$3,Commited_Actual_1stProject!$E$9:$BU$36,$A16,0)</f>
        <v>0.15</v>
      </c>
      <c r="AU16" s="94">
        <f>VLOOKUP($AT$3,Commited_Actual_1stProject!$E$9:$BU$36,$A16+1,0)</f>
        <v>0.15</v>
      </c>
      <c r="AV16" s="94">
        <f>VLOOKUP($AT$3,Commited_Actual_1stProject!$E$9:$BU$36,$A16+2,0)</f>
        <v>0.03</v>
      </c>
      <c r="AW16" s="94">
        <f>VLOOKUP($AW$3,Commited_Actual_1stProject!$E$9:$BU$36,$A16,0)</f>
        <v>0</v>
      </c>
      <c r="AX16" s="247">
        <f>VLOOKUP($AW$3,Commited_Actual_1stProject!$E$9:$BU$36,$A16+1,0)</f>
        <v>0</v>
      </c>
      <c r="AY16" s="247">
        <f>VLOOKUP($AW$3,Commited_Actual_1stProject!$E$9:$BU$36,$A16+2,0)</f>
        <v>0</v>
      </c>
      <c r="AZ16" s="94">
        <f>VLOOKUP($AZ$3,Commited_Actual_1stProject!$E$9:$BU$36,$A16,0)</f>
        <v>0</v>
      </c>
      <c r="BA16" s="247">
        <f>VLOOKUP($AZ$3,Commited_Actual_1stProject!$E$9:$BU$36,$A16+1,0)</f>
        <v>0</v>
      </c>
      <c r="BB16" s="247">
        <f>VLOOKUP($AZ$3,Commited_Actual_1stProject!$E$9:$BU$36,$A16+2,0)</f>
        <v>0</v>
      </c>
      <c r="BC16" s="94">
        <f>VLOOKUP($BC$3,Commited_Actual_1stProject!$E$9:$BU$36,$A16,0)</f>
        <v>0</v>
      </c>
      <c r="BD16" s="124">
        <f>VLOOKUP($BC$3,Commited_Actual_1stProject!$E$9:$BU$36,$A16+1,0)</f>
        <v>0</v>
      </c>
      <c r="BE16" s="124">
        <f>VLOOKUP($BC$3,Commited_Actual_1stProject!$E$9:$BU$36,$A16+2,0)</f>
        <v>0</v>
      </c>
      <c r="BF16" s="94"/>
      <c r="BG16" s="247"/>
      <c r="BH16" s="247"/>
      <c r="BI16" s="94">
        <f>VLOOKUP($BI$3,Commited_Actual_1stProject!$E$9:$BU$36,$A16,0)</f>
        <v>0</v>
      </c>
      <c r="BJ16" s="247">
        <f>VLOOKUP($BI$3,Commited_Actual_1stProject!$E$9:$BU$36,$A16+1,0)</f>
        <v>0</v>
      </c>
      <c r="BK16" s="247">
        <f>VLOOKUP($BI$3,Commited_Actual_1stProject!$E$9:$BU$36,$A16+2,0)</f>
        <v>0</v>
      </c>
      <c r="BL16" s="94">
        <f>VLOOKUP($BL$3,Commited_Actual_1stProject!$E$9:$BU$36,$A16,0)</f>
        <v>0.05</v>
      </c>
      <c r="BM16" s="247">
        <f>VLOOKUP($BL$3,Commited_Actual_1stProject!$E$9:$BU$36,$A16+1,0)</f>
        <v>3</v>
      </c>
      <c r="BN16" s="247">
        <f>VLOOKUP($BL$3,Commited_Actual_1stProject!$E$9:$BU$36,$A16+2,0)</f>
        <v>4</v>
      </c>
      <c r="BO16" s="94">
        <f>VLOOKUP($BO$3,Commited_Actual_1stProject!$E$9:$BU$36,$A16,0)</f>
        <v>0.05</v>
      </c>
      <c r="BP16" s="247">
        <f>VLOOKUP($BO$3,Commited_Actual_1stProject!$E$9:$BU$36,$A16+1,0)</f>
        <v>3</v>
      </c>
      <c r="BQ16" s="247">
        <f>VLOOKUP($BO$3,Commited_Actual_1stProject!$E$9:$BU$36,$A16+2,0)</f>
        <v>4</v>
      </c>
      <c r="BR16" s="94">
        <f>VLOOKUP($BR$3,Commited_Actual_1stProject!$E$9:$BU$36,$A16,0)</f>
        <v>0.05</v>
      </c>
      <c r="BS16" s="247">
        <f>VLOOKUP($BR$3,Commited_Actual_1stProject!$E$9:$BU$36,$A16+1,0)</f>
        <v>3</v>
      </c>
      <c r="BT16" s="247">
        <f>VLOOKUP($BR$3,Commited_Actual_1stProject!$E$9:$BU$36,$A16+2,0)</f>
        <v>5</v>
      </c>
      <c r="BU16" s="94">
        <f>VLOOKUP($BU$3,Commited_Actual_1stProject!$E$9:$BU$36,$A16,0)</f>
        <v>0</v>
      </c>
      <c r="BV16" s="247">
        <f>VLOOKUP($BU$3,Commited_Actual_1stProject!$E$9:$BU$36,$A16+1,0)</f>
        <v>0</v>
      </c>
      <c r="BW16" s="247">
        <f>VLOOKUP($BU$3,Commited_Actual_1stProject!$E$9:$BU$36,$A16+2,0)</f>
        <v>0</v>
      </c>
      <c r="BX16" s="94">
        <f>VLOOKUP($BX$3,Commited_Actual_1stProject!$E$9:$BU$36,$A16,0)</f>
        <v>0.1</v>
      </c>
      <c r="BY16" s="247">
        <f>VLOOKUP($BX$3,Commited_Actual_1stProject!$E$9:$BU$36,$A16+1,0)</f>
        <v>10</v>
      </c>
      <c r="BZ16" s="247">
        <f>VLOOKUP($BX$3,Commited_Actual_1stProject!$E$9:$BU$36,$A16+2,0)</f>
        <v>3.66</v>
      </c>
      <c r="CA16" s="94">
        <f>VLOOKUP($CA$3,Commited_Actual_1stProject!$E$9:$BU$36,$A16,0)</f>
        <v>0</v>
      </c>
      <c r="CB16" s="247">
        <f>VLOOKUP($CA$3,Commited_Actual_1stProject!$E$9:$BU$36,$A16+1,0)</f>
        <v>0</v>
      </c>
      <c r="CC16" s="247">
        <f>VLOOKUP($CA$3,Commited_Actual_1stProject!$E$9:$BU$36,$A16+2,0)</f>
        <v>0</v>
      </c>
      <c r="CD16" s="94"/>
      <c r="CE16" s="247"/>
      <c r="CF16" s="247"/>
      <c r="CG16" s="94"/>
      <c r="CH16" s="247"/>
      <c r="CI16" s="247"/>
      <c r="CJ16" s="94">
        <f>VLOOKUP($CJ$3,Commited_Actual_1stProject!$E$9:$BU$36,$A16,0)</f>
        <v>0</v>
      </c>
      <c r="CK16" s="247">
        <f>VLOOKUP($CJ$3,Commited_Actual_1stProject!$E$9:$BU$36,$A16+1,0)</f>
        <v>0</v>
      </c>
      <c r="CL16" s="247">
        <f>VLOOKUP($CJ$3,Commited_Actual_1stProject!$E$9:$BU$36,$A16+2,0)</f>
        <v>0</v>
      </c>
      <c r="CM16" s="94"/>
      <c r="CN16" s="247"/>
      <c r="CO16" s="247"/>
      <c r="CP16" s="94"/>
      <c r="CQ16" s="247"/>
      <c r="CR16" s="247"/>
      <c r="CS16" s="94">
        <f>VLOOKUP($CS$3,Commited_Actual_1stProject!$E$9:$BU$36,$A16,0)</f>
        <v>0</v>
      </c>
      <c r="CT16" s="247">
        <f>VLOOKUP($CS$3,Commited_Actual_1stProject!$E$9:$BU$36,$A16+1,0)</f>
        <v>0</v>
      </c>
      <c r="CU16" s="247">
        <f>VLOOKUP($CS$3,Commited_Actual_1stProject!$E$9:$BU$36,$A16+2,0)</f>
        <v>0</v>
      </c>
      <c r="CV16" s="94"/>
      <c r="CW16" s="247"/>
      <c r="CX16" s="247"/>
      <c r="CY16" s="94"/>
      <c r="CZ16" s="247"/>
      <c r="DA16" s="247"/>
      <c r="DB16" s="94"/>
      <c r="DC16" s="94"/>
      <c r="DD16" s="94"/>
      <c r="DE16" s="94"/>
      <c r="DF16" s="94"/>
      <c r="DG16" s="94"/>
      <c r="DH16" s="94"/>
      <c r="DI16" s="94"/>
      <c r="DJ16" s="94"/>
      <c r="DK16" s="94"/>
      <c r="DL16" s="94"/>
      <c r="DM16" s="94"/>
      <c r="DN16" s="94"/>
      <c r="DO16" s="94"/>
      <c r="DP16" s="94"/>
      <c r="DQ16" s="94"/>
      <c r="DR16" s="94"/>
      <c r="DS16" s="94"/>
      <c r="DT16" s="94"/>
      <c r="DU16" s="94"/>
      <c r="DV16" s="94"/>
      <c r="DW16" s="94"/>
      <c r="DX16" s="94"/>
      <c r="DY16" s="94"/>
      <c r="DZ16" s="94"/>
      <c r="EA16" s="94"/>
      <c r="EB16" s="94"/>
      <c r="EC16" s="94"/>
      <c r="ED16" s="94"/>
      <c r="EE16" s="94"/>
      <c r="EF16" s="94"/>
      <c r="EG16" s="94"/>
      <c r="EH16" s="94"/>
      <c r="EI16" s="94"/>
      <c r="EJ16" s="94"/>
      <c r="EK16" s="94"/>
      <c r="EL16" s="94"/>
      <c r="EM16" s="94"/>
      <c r="EN16" s="94"/>
      <c r="EO16" s="94"/>
      <c r="EP16" s="94"/>
      <c r="EQ16" s="94"/>
      <c r="ER16" s="94"/>
      <c r="ES16" s="94"/>
      <c r="ET16" s="94"/>
      <c r="EU16" s="94"/>
      <c r="EV16" s="94"/>
      <c r="EW16" s="94"/>
      <c r="EX16" s="94"/>
      <c r="EY16" s="94"/>
      <c r="EZ16" s="94"/>
      <c r="FA16" s="96"/>
      <c r="FB16" s="97"/>
      <c r="FC16" s="97"/>
      <c r="FD16" s="96"/>
      <c r="FE16" s="97"/>
      <c r="FF16" s="97"/>
      <c r="FG16" s="96"/>
      <c r="FH16" s="97"/>
      <c r="FI16" s="97"/>
      <c r="FJ16" s="96"/>
      <c r="FK16" s="97"/>
      <c r="FL16" s="97"/>
      <c r="FM16" s="96"/>
      <c r="FN16" s="97"/>
      <c r="FO16" s="97"/>
      <c r="FP16" s="96"/>
      <c r="FQ16" s="97"/>
      <c r="FR16" s="97"/>
      <c r="FS16" s="96"/>
      <c r="FT16" s="97"/>
      <c r="FU16" s="97"/>
      <c r="FV16" s="94"/>
      <c r="FW16" s="95"/>
      <c r="FX16" s="95"/>
      <c r="FY16" s="94"/>
      <c r="FZ16" s="95"/>
      <c r="GA16" s="95"/>
      <c r="GB16" s="96"/>
      <c r="GC16" s="95"/>
      <c r="GD16" s="95"/>
      <c r="GE16" s="96"/>
      <c r="GF16" s="95"/>
      <c r="GG16" s="95"/>
      <c r="GH16" s="96"/>
      <c r="GI16" s="95"/>
      <c r="GJ16" s="95"/>
      <c r="GK16" s="96"/>
      <c r="GL16" s="95"/>
      <c r="GM16" s="95"/>
      <c r="GN16" s="96"/>
      <c r="GO16" s="95"/>
      <c r="GP16" s="95"/>
      <c r="GQ16" s="94"/>
      <c r="GR16" s="95"/>
      <c r="GS16" s="95"/>
      <c r="GT16" s="96"/>
      <c r="GU16" s="97"/>
      <c r="GV16" s="97"/>
      <c r="GW16" s="96"/>
      <c r="GX16" s="97"/>
      <c r="GY16" s="97"/>
      <c r="GZ16" s="96"/>
      <c r="HA16" s="97"/>
      <c r="HB16" s="97"/>
      <c r="HC16" s="96"/>
      <c r="HD16" s="97"/>
      <c r="HE16" s="97"/>
      <c r="HF16" s="96"/>
      <c r="HG16" s="97"/>
      <c r="HH16" s="97"/>
      <c r="HI16" s="96"/>
      <c r="HJ16" s="97"/>
      <c r="HK16" s="97"/>
      <c r="HL16" s="96"/>
      <c r="HM16" s="97"/>
      <c r="HN16" s="97"/>
      <c r="HO16" s="96"/>
      <c r="HP16" s="97"/>
      <c r="HQ16" s="97"/>
      <c r="HR16" s="96"/>
      <c r="HS16" s="97"/>
      <c r="HT16" s="97"/>
      <c r="HU16" s="96"/>
      <c r="HV16" s="97"/>
      <c r="HW16" s="97"/>
      <c r="HX16" s="94"/>
      <c r="HY16" s="95"/>
      <c r="HZ16" s="95"/>
      <c r="IA16" s="94"/>
      <c r="IB16" s="95"/>
      <c r="IC16" s="95"/>
      <c r="ID16" s="96"/>
      <c r="IE16" s="95"/>
      <c r="IF16" s="95"/>
      <c r="IG16" s="96"/>
      <c r="IH16" s="95"/>
      <c r="II16" s="95"/>
      <c r="IJ16" s="96"/>
      <c r="IK16" s="95"/>
      <c r="IL16" s="95"/>
      <c r="IM16" s="96"/>
      <c r="IN16" s="95"/>
      <c r="IO16" s="95"/>
      <c r="IP16" s="96"/>
      <c r="IQ16" s="95"/>
      <c r="IR16" s="95"/>
      <c r="IS16" s="94"/>
      <c r="IT16" s="95"/>
      <c r="IU16" s="95"/>
      <c r="IV16" s="96"/>
      <c r="IW16" s="97"/>
      <c r="IX16" s="97"/>
      <c r="IY16" s="96"/>
      <c r="IZ16" s="97"/>
      <c r="JA16" s="97"/>
      <c r="JB16" s="96"/>
      <c r="JC16" s="97"/>
      <c r="JD16" s="97"/>
      <c r="JE16" s="96"/>
      <c r="JF16" s="97"/>
      <c r="JG16" s="97"/>
      <c r="JH16" s="96"/>
      <c r="JI16" s="97"/>
      <c r="JJ16" s="97"/>
      <c r="JK16" s="96"/>
      <c r="JL16" s="97"/>
      <c r="JM16" s="97"/>
      <c r="JN16" s="96"/>
      <c r="JO16" s="97"/>
      <c r="JP16" s="97"/>
      <c r="JQ16" s="96"/>
      <c r="JR16" s="97"/>
      <c r="JS16" s="97"/>
      <c r="JT16" s="96"/>
      <c r="JU16" s="97"/>
      <c r="JV16" s="97"/>
      <c r="JW16" s="96"/>
      <c r="JX16" s="97"/>
      <c r="JY16" s="97"/>
    </row>
    <row r="17" spans="1:285">
      <c r="A17" s="182">
        <v>47</v>
      </c>
      <c r="B17" s="184"/>
      <c r="C17" s="6">
        <v>12</v>
      </c>
      <c r="D17" s="192" t="s">
        <v>332</v>
      </c>
      <c r="E17" s="25" t="s">
        <v>317</v>
      </c>
      <c r="F17" s="5" t="s">
        <v>33</v>
      </c>
      <c r="G17" s="94">
        <f>VLOOKUP($G$3,Commited_Actual_1stProject!$E$9:$BU$36,$A17,0)</f>
        <v>0.2</v>
      </c>
      <c r="H17" s="247">
        <f>VLOOKUP($G$3,Commited_Actual_1stProject!$E$9:$BU$36,$A17+1,0)</f>
        <v>37</v>
      </c>
      <c r="I17" s="247">
        <f>VLOOKUP($G$3,Commited_Actual_1stProject!$E$9:$BU$36,$A17+2,0)</f>
        <v>37.43</v>
      </c>
      <c r="J17" s="94">
        <f>VLOOKUP($J$3,Commited_Actual_1stProject!$E$9:$BU$36,$A17,0)</f>
        <v>0.15</v>
      </c>
      <c r="K17" s="247">
        <f>VLOOKUP($J$3,Commited_Actual_1stProject!$E$9:$BU$36,$A17+1,0)</f>
        <v>8</v>
      </c>
      <c r="L17" s="247">
        <f>VLOOKUP($J$3,Commited_Actual_1stProject!$E$9:$BU$36,$A17+2,0)</f>
        <v>2.74</v>
      </c>
      <c r="M17" s="94">
        <f>VLOOKUP($M$3,Commited_Actual_1stProject!$E$9:$BU$36,$A17,0)</f>
        <v>0</v>
      </c>
      <c r="N17" s="247">
        <f>VLOOKUP($M$3,Commited_Actual_1stProject!$E$9:$BU$36,$A17+1,0)</f>
        <v>0</v>
      </c>
      <c r="O17" s="247">
        <f>VLOOKUP($M$3,Commited_Actual_1stProject!$E$9:$BU$36,$A17+2,0)</f>
        <v>0</v>
      </c>
      <c r="P17" s="94">
        <f>VLOOKUP($P$3,Commited_Actual_1stProject!$E$9:$BU$36,$A17,0)</f>
        <v>0</v>
      </c>
      <c r="Q17" s="247">
        <f>VLOOKUP($P$3,Commited_Actual_1stProject!$E$9:$BU$36,$A17+1,0)</f>
        <v>0</v>
      </c>
      <c r="R17" s="247">
        <f>VLOOKUP($P$3,Commited_Actual_1stProject!$E$9:$BU$36,$A17+2,0)</f>
        <v>0</v>
      </c>
      <c r="S17" s="94">
        <f>VLOOKUP($S$3,Commited_Actual_1stProject!$E$9:$BU$36,$A17,0)</f>
        <v>0</v>
      </c>
      <c r="T17" s="247">
        <f>VLOOKUP($S$3,Commited_Actual_1stProject!$E$9:$BU$36,$A17+1,0)</f>
        <v>0</v>
      </c>
      <c r="U17" s="247">
        <f>VLOOKUP($S$3,Commited_Actual_1stProject!$E$9:$BU$36,$A17+2,0)</f>
        <v>0</v>
      </c>
      <c r="V17" s="94">
        <f>VLOOKUP($V$3,Commited_Actual_1stProject!$E$9:$BU$36,$A17,0)</f>
        <v>0</v>
      </c>
      <c r="W17" s="247">
        <f>VLOOKUP($V$3,Commited_Actual_1stProject!$E$9:$BU$36,$A17+1,0)</f>
        <v>0</v>
      </c>
      <c r="X17" s="247">
        <f>VLOOKUP($V$3,Commited_Actual_1stProject!$E$9:$BU$36,$A17+2,0)</f>
        <v>0</v>
      </c>
      <c r="Y17" s="94">
        <f>VLOOKUP($Y$3,Commited_Actual_1stProject!$E$9:$BU$36,$A17,0)</f>
        <v>0</v>
      </c>
      <c r="Z17" s="247">
        <f>VLOOKUP($Y$3,Commited_Actual_1stProject!$E$9:$BU$36,$A17+1,0)</f>
        <v>0</v>
      </c>
      <c r="AA17" s="247">
        <f>VLOOKUP($Y$3,Commited_Actual_1stProject!$E$9:$BU$36,$A17+2,0)</f>
        <v>0</v>
      </c>
      <c r="AB17" s="94">
        <f>VLOOKUP($AB$3,Commited_Actual_1stProject!$E$9:$BU$36,$A17,0)</f>
        <v>0</v>
      </c>
      <c r="AC17" s="247">
        <f>VLOOKUP($AB$3,Commited_Actual_1stProject!$E$9:$BU$36,$A17+1,0)</f>
        <v>0</v>
      </c>
      <c r="AD17" s="247">
        <f>VLOOKUP($AB$3,Commited_Actual_1stProject!$E$9:$BU$36,$A17+2,0)</f>
        <v>0</v>
      </c>
      <c r="AE17" s="94">
        <f>VLOOKUP($AE$3,Commited_Actual_1stProject!$E$9:$BU$36,$A17,0)</f>
        <v>0</v>
      </c>
      <c r="AF17" s="247">
        <f>VLOOKUP($AE$3,Commited_Actual_1stProject!$E$9:$BU$36,$A17+1,0)</f>
        <v>0</v>
      </c>
      <c r="AG17" s="247">
        <f>VLOOKUP($AE$3,Commited_Actual_1stProject!$E$9:$BU$36,$A17+2,0)</f>
        <v>0</v>
      </c>
      <c r="AH17" s="94">
        <f>VLOOKUP($AH$3,Commited_Actual_1stProject!$E$9:$BU$36,$A17,0)</f>
        <v>0</v>
      </c>
      <c r="AI17" s="124">
        <f>VLOOKUP($AH$3,Commited_Actual_1stProject!$E$9:$BU$36,$A17+1,0)</f>
        <v>0</v>
      </c>
      <c r="AJ17" s="94">
        <f>VLOOKUP($AH$3,Commited_Actual_1stProject!$E$9:$BU$36,$A17+2,0)</f>
        <v>0</v>
      </c>
      <c r="AK17" s="94">
        <f>VLOOKUP($AK$3,Commited_Actual_1stProject!$E$9:$BU$36,$A17,0)</f>
        <v>0</v>
      </c>
      <c r="AL17" s="124">
        <f>VLOOKUP($AK$3,Commited_Actual_1stProject!$E$9:$BU$36,$A17+1,0)</f>
        <v>0</v>
      </c>
      <c r="AM17" s="124">
        <f>VLOOKUP($AK$3,Commited_Actual_1stProject!$E$9:$BU$36,$A17+2,0)</f>
        <v>0</v>
      </c>
      <c r="AN17" s="94">
        <f>VLOOKUP($AN$3,Commited_Actual_1stProject!$E$9:$BU$36,$A17,0)</f>
        <v>0.15</v>
      </c>
      <c r="AO17" s="94">
        <f>VLOOKUP($AN$3,Commited_Actual_1stProject!$E$9:$BU$36,$A17+1,0)</f>
        <v>0.1</v>
      </c>
      <c r="AP17" s="94">
        <f>VLOOKUP($AN$3,Commited_Actual_1stProject!$E$9:$BU$36,$A17+2,0)</f>
        <v>0.01</v>
      </c>
      <c r="AQ17" s="94">
        <f>VLOOKUP($AQ$3,Commited_Actual_1stProject!$E$9:$BU$36,$A17,0)</f>
        <v>0</v>
      </c>
      <c r="AR17" s="247">
        <f>VLOOKUP($AQ$3,Commited_Actual_1stProject!$E$9:$BU$36,$A17+1,0)</f>
        <v>0</v>
      </c>
      <c r="AS17" s="247">
        <f>VLOOKUP($AQ$3,Commited_Actual_1stProject!$E$9:$BU$36,$A17+2,0)</f>
        <v>0</v>
      </c>
      <c r="AT17" s="94">
        <f>VLOOKUP($AT$3,Commited_Actual_1stProject!$E$9:$BU$36,$A17,0)</f>
        <v>0.2</v>
      </c>
      <c r="AU17" s="94">
        <f>VLOOKUP($AT$3,Commited_Actual_1stProject!$E$9:$BU$36,$A17+1,0)</f>
        <v>0.15</v>
      </c>
      <c r="AV17" s="94">
        <f>VLOOKUP($AT$3,Commited_Actual_1stProject!$E$9:$BU$36,$A17+2,0)</f>
        <v>0.09</v>
      </c>
      <c r="AW17" s="94">
        <f>VLOOKUP($AW$3,Commited_Actual_1stProject!$E$9:$BU$36,$A17,0)</f>
        <v>0</v>
      </c>
      <c r="AX17" s="247">
        <f>VLOOKUP($AW$3,Commited_Actual_1stProject!$E$9:$BU$36,$A17+1,0)</f>
        <v>0</v>
      </c>
      <c r="AY17" s="247">
        <f>VLOOKUP($AW$3,Commited_Actual_1stProject!$E$9:$BU$36,$A17+2,0)</f>
        <v>0</v>
      </c>
      <c r="AZ17" s="94">
        <f>VLOOKUP($AZ$3,Commited_Actual_1stProject!$E$9:$BU$36,$A17,0)</f>
        <v>0</v>
      </c>
      <c r="BA17" s="247">
        <f>VLOOKUP($AZ$3,Commited_Actual_1stProject!$E$9:$BU$36,$A17+1,0)</f>
        <v>0</v>
      </c>
      <c r="BB17" s="247">
        <f>VLOOKUP($AZ$3,Commited_Actual_1stProject!$E$9:$BU$36,$A17+2,0)</f>
        <v>0</v>
      </c>
      <c r="BC17" s="94">
        <f>VLOOKUP($BC$3,Commited_Actual_1stProject!$E$9:$BU$36,$A17,0)</f>
        <v>0</v>
      </c>
      <c r="BD17" s="124">
        <f>VLOOKUP($BC$3,Commited_Actual_1stProject!$E$9:$BU$36,$A17+1,0)</f>
        <v>0</v>
      </c>
      <c r="BE17" s="124">
        <f>VLOOKUP($BC$3,Commited_Actual_1stProject!$E$9:$BU$36,$A17+2,0)</f>
        <v>0</v>
      </c>
      <c r="BF17" s="94"/>
      <c r="BG17" s="247"/>
      <c r="BH17" s="247"/>
      <c r="BI17" s="94">
        <f>VLOOKUP($BI$3,Commited_Actual_1stProject!$E$9:$BU$36,$A17,0)</f>
        <v>0</v>
      </c>
      <c r="BJ17" s="247">
        <f>VLOOKUP($BI$3,Commited_Actual_1stProject!$E$9:$BU$36,$A17+1,0)</f>
        <v>0</v>
      </c>
      <c r="BK17" s="247">
        <f>VLOOKUP($BI$3,Commited_Actual_1stProject!$E$9:$BU$36,$A17+2,0)</f>
        <v>0</v>
      </c>
      <c r="BL17" s="94">
        <f>VLOOKUP($BL$3,Commited_Actual_1stProject!$E$9:$BU$36,$A17,0)</f>
        <v>0.04</v>
      </c>
      <c r="BM17" s="247">
        <f>VLOOKUP($BL$3,Commited_Actual_1stProject!$E$9:$BU$36,$A17+1,0)</f>
        <v>3</v>
      </c>
      <c r="BN17" s="247" t="str">
        <f>VLOOKUP($BL$3,Commited_Actual_1stProject!$E$9:$BU$36,$A17+2,0)</f>
        <v> 4</v>
      </c>
      <c r="BO17" s="94">
        <f>VLOOKUP($BO$3,Commited_Actual_1stProject!$E$9:$BU$36,$A17,0)</f>
        <v>0.03</v>
      </c>
      <c r="BP17" s="247">
        <f>VLOOKUP($BO$3,Commited_Actual_1stProject!$E$9:$BU$36,$A17+1,0)</f>
        <v>3</v>
      </c>
      <c r="BQ17" s="247" t="str">
        <f>VLOOKUP($BO$3,Commited_Actual_1stProject!$E$9:$BU$36,$A17+2,0)</f>
        <v> 4</v>
      </c>
      <c r="BR17" s="94">
        <f>VLOOKUP($BR$3,Commited_Actual_1stProject!$E$9:$BU$36,$A17,0)</f>
        <v>0.03</v>
      </c>
      <c r="BS17" s="247">
        <f>VLOOKUP($BR$3,Commited_Actual_1stProject!$E$9:$BU$36,$A17+1,0)</f>
        <v>3</v>
      </c>
      <c r="BT17" s="247">
        <f>VLOOKUP($BR$3,Commited_Actual_1stProject!$E$9:$BU$36,$A17+2,0)</f>
        <v>4</v>
      </c>
      <c r="BU17" s="94">
        <f>VLOOKUP($BU$3,Commited_Actual_1stProject!$E$9:$BU$36,$A17,0)</f>
        <v>0.05</v>
      </c>
      <c r="BV17" s="247">
        <f>VLOOKUP($BU$3,Commited_Actual_1stProject!$E$9:$BU$36,$A17+1,0)</f>
        <v>3</v>
      </c>
      <c r="BW17" s="247">
        <f>VLOOKUP($BU$3,Commited_Actual_1stProject!$E$9:$BU$36,$A17+2,0)</f>
        <v>4</v>
      </c>
      <c r="BX17" s="94">
        <f>VLOOKUP($BX$3,Commited_Actual_1stProject!$E$9:$BU$36,$A17,0)</f>
        <v>0.05</v>
      </c>
      <c r="BY17" s="247">
        <f>VLOOKUP($BX$3,Commited_Actual_1stProject!$E$9:$BU$36,$A17+1,0)</f>
        <v>3</v>
      </c>
      <c r="BZ17" s="247">
        <f>VLOOKUP($BX$3,Commited_Actual_1stProject!$E$9:$BU$36,$A17+2,0)</f>
        <v>4</v>
      </c>
      <c r="CA17" s="94">
        <f>VLOOKUP($CA$3,Commited_Actual_1stProject!$E$9:$BU$36,$A17,0)</f>
        <v>0.05</v>
      </c>
      <c r="CB17" s="247">
        <f>VLOOKUP($CA$3,Commited_Actual_1stProject!$E$9:$BU$36,$A17+1,0)</f>
        <v>3</v>
      </c>
      <c r="CC17" s="247">
        <f>VLOOKUP($CA$3,Commited_Actual_1stProject!$E$9:$BU$36,$A17+2,0)</f>
        <v>4</v>
      </c>
      <c r="CD17" s="94"/>
      <c r="CE17" s="247"/>
      <c r="CF17" s="247"/>
      <c r="CG17" s="94"/>
      <c r="CH17" s="247"/>
      <c r="CI17" s="247"/>
      <c r="CJ17" s="94">
        <f>VLOOKUP($CJ$3,Commited_Actual_1stProject!$E$9:$BU$36,$A17,0)</f>
        <v>0.05</v>
      </c>
      <c r="CK17" s="247">
        <f>VLOOKUP($CJ$3,Commited_Actual_1stProject!$E$9:$BU$36,$A17+1,0)</f>
        <v>3</v>
      </c>
      <c r="CL17" s="247">
        <f>VLOOKUP($CJ$3,Commited_Actual_1stProject!$E$9:$BU$36,$A17+2,0)</f>
        <v>3</v>
      </c>
      <c r="CM17" s="94"/>
      <c r="CN17" s="247"/>
      <c r="CO17" s="247"/>
      <c r="CP17" s="94"/>
      <c r="CQ17" s="247"/>
      <c r="CR17" s="247"/>
      <c r="CS17" s="94">
        <f>VLOOKUP($CS$3,Commited_Actual_1stProject!$E$9:$BU$36,$A17,0)</f>
        <v>0</v>
      </c>
      <c r="CT17" s="247">
        <f>VLOOKUP($CS$3,Commited_Actual_1stProject!$E$9:$BU$36,$A17+1,0)</f>
        <v>0</v>
      </c>
      <c r="CU17" s="247">
        <f>VLOOKUP($CS$3,Commited_Actual_1stProject!$E$9:$BU$36,$A17+2,0)</f>
        <v>0</v>
      </c>
      <c r="CV17" s="94"/>
      <c r="CW17" s="247"/>
      <c r="CX17" s="247"/>
      <c r="CY17" s="94"/>
      <c r="CZ17" s="247"/>
      <c r="DA17" s="247"/>
      <c r="DB17" s="94"/>
      <c r="DC17" s="94"/>
      <c r="DD17" s="94"/>
      <c r="DE17" s="94"/>
      <c r="DF17" s="94"/>
      <c r="DG17" s="94"/>
      <c r="DH17" s="94"/>
      <c r="DI17" s="94"/>
      <c r="DJ17" s="94"/>
      <c r="DK17" s="94"/>
      <c r="DL17" s="94"/>
      <c r="DM17" s="94"/>
      <c r="DN17" s="94"/>
      <c r="DO17" s="94"/>
      <c r="DP17" s="94"/>
      <c r="DQ17" s="94"/>
      <c r="DR17" s="94"/>
      <c r="DS17" s="94"/>
      <c r="DT17" s="94"/>
      <c r="DU17" s="94"/>
      <c r="DV17" s="94"/>
      <c r="DW17" s="94"/>
      <c r="DX17" s="94"/>
      <c r="DY17" s="94"/>
      <c r="DZ17" s="94"/>
      <c r="EA17" s="94"/>
      <c r="EB17" s="94"/>
      <c r="EC17" s="94"/>
      <c r="ED17" s="94"/>
      <c r="EE17" s="94"/>
      <c r="EF17" s="94"/>
      <c r="EG17" s="94"/>
      <c r="EH17" s="94"/>
      <c r="EI17" s="94"/>
      <c r="EJ17" s="94"/>
      <c r="EK17" s="94"/>
      <c r="EL17" s="94"/>
      <c r="EM17" s="94"/>
      <c r="EN17" s="94"/>
      <c r="EO17" s="94"/>
      <c r="EP17" s="94"/>
      <c r="EQ17" s="94"/>
      <c r="ER17" s="94"/>
      <c r="ES17" s="94"/>
      <c r="ET17" s="94"/>
      <c r="EU17" s="94"/>
      <c r="EV17" s="94"/>
      <c r="EW17" s="94"/>
      <c r="EX17" s="94"/>
      <c r="EY17" s="94"/>
      <c r="EZ17" s="94"/>
      <c r="FA17" s="96"/>
      <c r="FB17" s="97"/>
      <c r="FC17" s="97"/>
      <c r="FD17" s="96"/>
      <c r="FE17" s="97"/>
      <c r="FF17" s="97"/>
      <c r="FG17" s="96"/>
      <c r="FH17" s="97"/>
      <c r="FI17" s="97"/>
      <c r="FJ17" s="96"/>
      <c r="FK17" s="97"/>
      <c r="FL17" s="97"/>
      <c r="FM17" s="96"/>
      <c r="FN17" s="97"/>
      <c r="FO17" s="97"/>
      <c r="FP17" s="96"/>
      <c r="FQ17" s="97"/>
      <c r="FR17" s="97"/>
      <c r="FS17" s="96"/>
      <c r="FT17" s="97"/>
      <c r="FU17" s="97"/>
      <c r="FV17" s="94"/>
      <c r="FW17" s="95"/>
      <c r="FX17" s="95"/>
      <c r="FY17" s="94"/>
      <c r="FZ17" s="95"/>
      <c r="GA17" s="95"/>
      <c r="GB17" s="96"/>
      <c r="GC17" s="95"/>
      <c r="GD17" s="95"/>
      <c r="GE17" s="96"/>
      <c r="GF17" s="95"/>
      <c r="GG17" s="95"/>
      <c r="GH17" s="96"/>
      <c r="GI17" s="95"/>
      <c r="GJ17" s="95"/>
      <c r="GK17" s="96"/>
      <c r="GL17" s="95"/>
      <c r="GM17" s="95"/>
      <c r="GN17" s="96"/>
      <c r="GO17" s="95"/>
      <c r="GP17" s="95"/>
      <c r="GQ17" s="94"/>
      <c r="GR17" s="95"/>
      <c r="GS17" s="95"/>
      <c r="GT17" s="96"/>
      <c r="GU17" s="97"/>
      <c r="GV17" s="97"/>
      <c r="GW17" s="96"/>
      <c r="GX17" s="97"/>
      <c r="GY17" s="97"/>
      <c r="GZ17" s="96"/>
      <c r="HA17" s="97"/>
      <c r="HB17" s="97"/>
      <c r="HC17" s="96"/>
      <c r="HD17" s="97"/>
      <c r="HE17" s="97"/>
      <c r="HF17" s="96"/>
      <c r="HG17" s="97"/>
      <c r="HH17" s="97"/>
      <c r="HI17" s="96"/>
      <c r="HJ17" s="97"/>
      <c r="HK17" s="97"/>
      <c r="HL17" s="96"/>
      <c r="HM17" s="97"/>
      <c r="HN17" s="97"/>
      <c r="HO17" s="96"/>
      <c r="HP17" s="97"/>
      <c r="HQ17" s="97"/>
      <c r="HR17" s="96"/>
      <c r="HS17" s="97"/>
      <c r="HT17" s="97"/>
      <c r="HU17" s="96"/>
      <c r="HV17" s="97"/>
      <c r="HW17" s="97"/>
      <c r="HX17" s="94"/>
      <c r="HY17" s="95"/>
      <c r="HZ17" s="95"/>
      <c r="IA17" s="94"/>
      <c r="IB17" s="95"/>
      <c r="IC17" s="95"/>
      <c r="ID17" s="96"/>
      <c r="IE17" s="95"/>
      <c r="IF17" s="95"/>
      <c r="IG17" s="96"/>
      <c r="IH17" s="95"/>
      <c r="II17" s="95"/>
      <c r="IJ17" s="96"/>
      <c r="IK17" s="95"/>
      <c r="IL17" s="95"/>
      <c r="IM17" s="96"/>
      <c r="IN17" s="95"/>
      <c r="IO17" s="95"/>
      <c r="IP17" s="96"/>
      <c r="IQ17" s="95"/>
      <c r="IR17" s="95"/>
      <c r="IS17" s="94"/>
      <c r="IT17" s="95"/>
      <c r="IU17" s="95"/>
      <c r="IV17" s="96"/>
      <c r="IW17" s="97"/>
      <c r="IX17" s="97"/>
      <c r="IY17" s="96"/>
      <c r="IZ17" s="97"/>
      <c r="JA17" s="97"/>
      <c r="JB17" s="96"/>
      <c r="JC17" s="97"/>
      <c r="JD17" s="97"/>
      <c r="JE17" s="96"/>
      <c r="JF17" s="97"/>
      <c r="JG17" s="97"/>
      <c r="JH17" s="96"/>
      <c r="JI17" s="97"/>
      <c r="JJ17" s="97"/>
      <c r="JK17" s="96"/>
      <c r="JL17" s="97"/>
      <c r="JM17" s="97"/>
      <c r="JN17" s="96"/>
      <c r="JO17" s="97"/>
      <c r="JP17" s="97"/>
      <c r="JQ17" s="96"/>
      <c r="JR17" s="97"/>
      <c r="JS17" s="97"/>
      <c r="JT17" s="96"/>
      <c r="JU17" s="97"/>
      <c r="JV17" s="97"/>
      <c r="JW17" s="96"/>
      <c r="JX17" s="97"/>
      <c r="JY17" s="97"/>
    </row>
    <row r="18" spans="1:285">
      <c r="A18" s="18">
        <v>62</v>
      </c>
      <c r="C18" s="6">
        <v>13</v>
      </c>
      <c r="D18" s="192" t="s">
        <v>327</v>
      </c>
      <c r="E18" s="25" t="s">
        <v>319</v>
      </c>
      <c r="F18" s="5" t="s">
        <v>33</v>
      </c>
      <c r="G18" s="94">
        <f>VLOOKUP($G$3,Commited_Actual_1stProject!$E$9:$BU$36,$A18,0)</f>
        <v>0</v>
      </c>
      <c r="H18" s="247">
        <f>VLOOKUP($G$3,Commited_Actual_1stProject!$E$9:$BU$36,$A18+1,0)</f>
        <v>0</v>
      </c>
      <c r="I18" s="247">
        <f>VLOOKUP($G$3,Commited_Actual_1stProject!$E$9:$BU$36,$A18+2,0)</f>
        <v>0</v>
      </c>
      <c r="J18" s="94">
        <f>VLOOKUP($J$3,Commited_Actual_1stProject!$E$9:$BU$36,$A18,0)</f>
        <v>0</v>
      </c>
      <c r="K18" s="247">
        <f>VLOOKUP($J$3,Commited_Actual_1stProject!$E$9:$BU$36,$A18+1,0)</f>
        <v>0</v>
      </c>
      <c r="L18" s="247">
        <f>VLOOKUP($J$3,Commited_Actual_1stProject!$E$9:$BU$36,$A18+2,0)</f>
        <v>0</v>
      </c>
      <c r="M18" s="94">
        <f>VLOOKUP($M$3,Commited_Actual_1stProject!$E$9:$BU$36,$A18,0)</f>
        <v>0.25</v>
      </c>
      <c r="N18" s="247">
        <f>VLOOKUP($M$3,Commited_Actual_1stProject!$E$9:$BU$36,$A18+1,0)</f>
        <v>8</v>
      </c>
      <c r="O18" s="247">
        <f>VLOOKUP($M$3,Commited_Actual_1stProject!$E$9:$BU$36,$A18+2,0)</f>
        <v>9.14</v>
      </c>
      <c r="P18" s="94">
        <f>VLOOKUP($P$3,Commited_Actual_1stProject!$E$9:$BU$36,$A18,0)</f>
        <v>0.25</v>
      </c>
      <c r="Q18" s="247">
        <f>VLOOKUP($P$3,Commited_Actual_1stProject!$E$9:$BU$36,$A18+1,0)</f>
        <v>5</v>
      </c>
      <c r="R18" s="247">
        <f>VLOOKUP($P$3,Commited_Actual_1stProject!$E$9:$BU$36,$A18+2,0)</f>
        <v>6.89</v>
      </c>
      <c r="S18" s="94">
        <f>VLOOKUP($S$3,Commited_Actual_1stProject!$E$9:$BU$36,$A18,0)</f>
        <v>0</v>
      </c>
      <c r="T18" s="247">
        <f>VLOOKUP($S$3,Commited_Actual_1stProject!$E$9:$BU$36,$A18+1,0)</f>
        <v>0</v>
      </c>
      <c r="U18" s="247">
        <f>VLOOKUP($S$3,Commited_Actual_1stProject!$E$9:$BU$36,$A18+2,0)</f>
        <v>0</v>
      </c>
      <c r="V18" s="94">
        <f>VLOOKUP($V$3,Commited_Actual_1stProject!$E$9:$BU$36,$A18,0)</f>
        <v>0</v>
      </c>
      <c r="W18" s="247">
        <f>VLOOKUP($V$3,Commited_Actual_1stProject!$E$9:$BU$36,$A18+1,0)</f>
        <v>0</v>
      </c>
      <c r="X18" s="247">
        <f>VLOOKUP($V$3,Commited_Actual_1stProject!$E$9:$BU$36,$A18+2,0)</f>
        <v>0</v>
      </c>
      <c r="Y18" s="94">
        <f>VLOOKUP($Y$3,Commited_Actual_1stProject!$E$9:$BU$36,$A18,0)</f>
        <v>0</v>
      </c>
      <c r="Z18" s="247">
        <f>VLOOKUP($Y$3,Commited_Actual_1stProject!$E$9:$BU$36,$A18+1,0)</f>
        <v>0</v>
      </c>
      <c r="AA18" s="247">
        <f>VLOOKUP($Y$3,Commited_Actual_1stProject!$E$9:$BU$36,$A18+2,0)</f>
        <v>0</v>
      </c>
      <c r="AB18" s="94">
        <f>VLOOKUP($AB$3,Commited_Actual_1stProject!$E$9:$BU$36,$A18,0)</f>
        <v>0</v>
      </c>
      <c r="AC18" s="247">
        <f>VLOOKUP($AB$3,Commited_Actual_1stProject!$E$9:$BU$36,$A18+1,0)</f>
        <v>0</v>
      </c>
      <c r="AD18" s="247">
        <f>VLOOKUP($AB$3,Commited_Actual_1stProject!$E$9:$BU$36,$A18+2,0)</f>
        <v>0</v>
      </c>
      <c r="AE18" s="94">
        <f>VLOOKUP($AE$3,Commited_Actual_1stProject!$E$9:$BU$36,$A18,0)</f>
        <v>0</v>
      </c>
      <c r="AF18" s="247">
        <f>VLOOKUP($AE$3,Commited_Actual_1stProject!$E$9:$BU$36,$A18+1,0)</f>
        <v>0</v>
      </c>
      <c r="AG18" s="247">
        <f>VLOOKUP($AE$3,Commited_Actual_1stProject!$E$9:$BU$36,$A18+2,0)</f>
        <v>0</v>
      </c>
      <c r="AH18" s="94">
        <f>VLOOKUP($AH$3,Commited_Actual_1stProject!$E$9:$BU$36,$A18,0)</f>
        <v>0.15</v>
      </c>
      <c r="AI18" s="124">
        <f>VLOOKUP($AH$3,Commited_Actual_1stProject!$E$9:$BU$36,$A18+1,0)</f>
        <v>0.05</v>
      </c>
      <c r="AJ18" s="94">
        <f>VLOOKUP($AH$3,Commited_Actual_1stProject!$E$9:$BU$36,$A18+2,0)</f>
        <v>0</v>
      </c>
      <c r="AK18" s="94">
        <f>VLOOKUP($AK$3,Commited_Actual_1stProject!$E$9:$BU$36,$A18,0)</f>
        <v>0</v>
      </c>
      <c r="AL18" s="124">
        <f>VLOOKUP($AK$3,Commited_Actual_1stProject!$E$9:$BU$36,$A18+1,0)</f>
        <v>0</v>
      </c>
      <c r="AM18" s="124">
        <f>VLOOKUP($AK$3,Commited_Actual_1stProject!$E$9:$BU$36,$A18+2,0)</f>
        <v>0</v>
      </c>
      <c r="AN18" s="94">
        <f>VLOOKUP($AN$3,Commited_Actual_1stProject!$E$9:$BU$36,$A18,0)</f>
        <v>0</v>
      </c>
      <c r="AO18" s="94">
        <f>VLOOKUP($AN$3,Commited_Actual_1stProject!$E$9:$BU$36,$A18+1,0)</f>
        <v>0</v>
      </c>
      <c r="AP18" s="94">
        <f>VLOOKUP($AN$3,Commited_Actual_1stProject!$E$9:$BU$36,$A18+2,0)</f>
        <v>0</v>
      </c>
      <c r="AQ18" s="94">
        <f>VLOOKUP($AQ$3,Commited_Actual_1stProject!$E$9:$BU$36,$A18,0)</f>
        <v>0</v>
      </c>
      <c r="AR18" s="247">
        <f>VLOOKUP($AQ$3,Commited_Actual_1stProject!$E$9:$BU$36,$A18+1,0)</f>
        <v>0</v>
      </c>
      <c r="AS18" s="247">
        <f>VLOOKUP($AQ$3,Commited_Actual_1stProject!$E$9:$BU$36,$A18+2,0)</f>
        <v>0</v>
      </c>
      <c r="AT18" s="94">
        <f>VLOOKUP($AT$3,Commited_Actual_1stProject!$E$9:$BU$36,$A18,0)</f>
        <v>0</v>
      </c>
      <c r="AU18" s="94">
        <f>VLOOKUP($AT$3,Commited_Actual_1stProject!$E$9:$BU$36,$A18+1,0)</f>
        <v>0</v>
      </c>
      <c r="AV18" s="94">
        <f>VLOOKUP($AT$3,Commited_Actual_1stProject!$E$9:$BU$36,$A18+2,0)</f>
        <v>0</v>
      </c>
      <c r="AW18" s="94">
        <f>VLOOKUP($AW$3,Commited_Actual_1stProject!$E$9:$BU$36,$A18,0)</f>
        <v>0</v>
      </c>
      <c r="AX18" s="247">
        <f>VLOOKUP($AW$3,Commited_Actual_1stProject!$E$9:$BU$36,$A18+1,0)</f>
        <v>0</v>
      </c>
      <c r="AY18" s="247">
        <f>VLOOKUP($AW$3,Commited_Actual_1stProject!$E$9:$BU$36,$A18+2,0)</f>
        <v>0</v>
      </c>
      <c r="AZ18" s="94">
        <f>VLOOKUP($AZ$3,Commited_Actual_1stProject!$E$9:$BU$36,$A18,0)</f>
        <v>0.15</v>
      </c>
      <c r="BA18" s="247">
        <f>VLOOKUP($AZ$3,Commited_Actual_1stProject!$E$9:$BU$36,$A18+1,0)</f>
        <v>0.1</v>
      </c>
      <c r="BB18" s="247">
        <f>VLOOKUP($AZ$3,Commited_Actual_1stProject!$E$9:$BU$36,$A18+2,0)</f>
        <v>0.15</v>
      </c>
      <c r="BC18" s="94">
        <f>VLOOKUP($BC$3,Commited_Actual_1stProject!$E$9:$BU$36,$A18,0)</f>
        <v>0</v>
      </c>
      <c r="BD18" s="124">
        <f>VLOOKUP($BC$3,Commited_Actual_1stProject!$E$9:$BU$36,$A18+1,0)</f>
        <v>0</v>
      </c>
      <c r="BE18" s="124">
        <f>VLOOKUP($BC$3,Commited_Actual_1stProject!$E$9:$BU$36,$A18+2,0)</f>
        <v>0</v>
      </c>
      <c r="BF18" s="94"/>
      <c r="BG18" s="247"/>
      <c r="BH18" s="247"/>
      <c r="BI18" s="94">
        <f>VLOOKUP($BI$3,Commited_Actual_1stProject!$E$9:$BU$36,$A18,0)</f>
        <v>0.04</v>
      </c>
      <c r="BJ18" s="247">
        <f>VLOOKUP($BI$3,Commited_Actual_1stProject!$E$9:$BU$36,$A18+1,0)</f>
        <v>550</v>
      </c>
      <c r="BK18" s="247">
        <f>VLOOKUP($BI$3,Commited_Actual_1stProject!$E$9:$BU$36,$A18+2,0)</f>
        <v>0</v>
      </c>
      <c r="BL18" s="94">
        <f>VLOOKUP($BL$3,Commited_Actual_1stProject!$E$9:$BU$36,$A18,0)</f>
        <v>0.04</v>
      </c>
      <c r="BM18" s="247">
        <f>VLOOKUP($BL$3,Commited_Actual_1stProject!$E$9:$BU$36,$A18+1,0)</f>
        <v>3</v>
      </c>
      <c r="BN18" s="247">
        <f>VLOOKUP($BL$3,Commited_Actual_1stProject!$E$9:$BU$36,$A18+2,0)</f>
        <v>3</v>
      </c>
      <c r="BO18" s="94">
        <f>VLOOKUP($BO$3,Commited_Actual_1stProject!$E$9:$BU$36,$A18,0)</f>
        <v>0.03</v>
      </c>
      <c r="BP18" s="247">
        <f>VLOOKUP($BO$3,Commited_Actual_1stProject!$E$9:$BU$36,$A18+1,0)</f>
        <v>3</v>
      </c>
      <c r="BQ18" s="247">
        <f>VLOOKUP($BO$3,Commited_Actual_1stProject!$E$9:$BU$36,$A18+2,0)</f>
        <v>3</v>
      </c>
      <c r="BR18" s="94">
        <f>VLOOKUP($BR$3,Commited_Actual_1stProject!$E$9:$BU$36,$A18,0)</f>
        <v>0.03</v>
      </c>
      <c r="BS18" s="247">
        <f>VLOOKUP($BR$3,Commited_Actual_1stProject!$E$9:$BU$36,$A18+1,0)</f>
        <v>3</v>
      </c>
      <c r="BT18" s="247" t="str">
        <f>VLOOKUP($BR$3,Commited_Actual_1stProject!$E$9:$BU$36,$A18+2,0)</f>
        <v> 4</v>
      </c>
      <c r="BU18" s="94">
        <f>VLOOKUP($BU$3,Commited_Actual_1stProject!$E$9:$BU$36,$A18,0)</f>
        <v>0</v>
      </c>
      <c r="BV18" s="247">
        <f>VLOOKUP($BU$3,Commited_Actual_1stProject!$E$9:$BU$36,$A18+1,0)</f>
        <v>0</v>
      </c>
      <c r="BW18" s="247">
        <f>VLOOKUP($BU$3,Commited_Actual_1stProject!$E$9:$BU$36,$A18+2,0)</f>
        <v>0</v>
      </c>
      <c r="BX18" s="94">
        <f>VLOOKUP($BX$3,Commited_Actual_1stProject!$E$9:$BU$36,$A18,0)</f>
        <v>0.03</v>
      </c>
      <c r="BY18" s="247">
        <f>VLOOKUP($BX$3,Commited_Actual_1stProject!$E$9:$BU$36,$A18+1,0)</f>
        <v>3</v>
      </c>
      <c r="BZ18" s="247" t="str">
        <f>VLOOKUP($BX$3,Commited_Actual_1stProject!$E$9:$BU$36,$A18+2,0)</f>
        <v> 3</v>
      </c>
      <c r="CA18" s="94">
        <f>VLOOKUP($CA$3,Commited_Actual_1stProject!$E$9:$BU$36,$A18,0)</f>
        <v>0.03</v>
      </c>
      <c r="CB18" s="247">
        <f>VLOOKUP($CA$3,Commited_Actual_1stProject!$E$9:$BU$36,$A18+1,0)</f>
        <v>3</v>
      </c>
      <c r="CC18" s="247">
        <f>VLOOKUP($CA$3,Commited_Actual_1stProject!$E$9:$BU$36,$A18+2,0)</f>
        <v>4</v>
      </c>
      <c r="CD18" s="94"/>
      <c r="CE18" s="247"/>
      <c r="CF18" s="247"/>
      <c r="CG18" s="94"/>
      <c r="CH18" s="247"/>
      <c r="CI18" s="247"/>
      <c r="CJ18" s="94">
        <f>VLOOKUP($CJ$3,Commited_Actual_1stProject!$E$9:$BU$36,$A18,0)</f>
        <v>0</v>
      </c>
      <c r="CK18" s="247">
        <f>VLOOKUP($CJ$3,Commited_Actual_1stProject!$E$9:$BU$36,$A18+1,0)</f>
        <v>0</v>
      </c>
      <c r="CL18" s="247">
        <f>VLOOKUP($CJ$3,Commited_Actual_1stProject!$E$9:$BU$36,$A18+2,0)</f>
        <v>0</v>
      </c>
      <c r="CM18" s="94"/>
      <c r="CN18" s="247"/>
      <c r="CO18" s="247"/>
      <c r="CP18" s="94"/>
      <c r="CQ18" s="247"/>
      <c r="CR18" s="247"/>
      <c r="CS18" s="94">
        <f>VLOOKUP($CS$3,Commited_Actual_1stProject!$E$9:$BU$36,$A18,0)</f>
        <v>0</v>
      </c>
      <c r="CT18" s="247">
        <f>VLOOKUP($CS$3,Commited_Actual_1stProject!$E$9:$BU$36,$A18+1,0)</f>
        <v>0</v>
      </c>
      <c r="CU18" s="247">
        <f>VLOOKUP($CS$3,Commited_Actual_1stProject!$E$9:$BU$36,$A18+2,0)</f>
        <v>0</v>
      </c>
      <c r="CV18" s="94"/>
      <c r="CW18" s="247"/>
      <c r="CX18" s="247"/>
      <c r="CY18" s="94"/>
      <c r="CZ18" s="247"/>
      <c r="DA18" s="247"/>
      <c r="DB18" s="94"/>
      <c r="DC18" s="94"/>
      <c r="DD18" s="94"/>
      <c r="DE18" s="94"/>
      <c r="DF18" s="94"/>
      <c r="DG18" s="94"/>
      <c r="DH18" s="94"/>
      <c r="DI18" s="94"/>
      <c r="DJ18" s="94"/>
      <c r="DK18" s="94"/>
      <c r="DL18" s="94"/>
      <c r="DM18" s="94"/>
      <c r="DN18" s="94"/>
      <c r="DO18" s="94"/>
      <c r="DP18" s="94"/>
      <c r="DQ18" s="94"/>
      <c r="DR18" s="94"/>
      <c r="DS18" s="94"/>
      <c r="DT18" s="94"/>
      <c r="DU18" s="94"/>
      <c r="DV18" s="94"/>
      <c r="DW18" s="94"/>
      <c r="DX18" s="94"/>
      <c r="DY18" s="94"/>
      <c r="DZ18" s="94"/>
      <c r="EA18" s="94"/>
      <c r="EB18" s="94"/>
      <c r="EC18" s="94"/>
      <c r="ED18" s="94"/>
      <c r="EE18" s="94"/>
      <c r="EF18" s="94"/>
      <c r="EG18" s="94"/>
      <c r="EH18" s="94"/>
      <c r="EI18" s="94"/>
      <c r="EJ18" s="94"/>
      <c r="EK18" s="94"/>
      <c r="EL18" s="94"/>
      <c r="EM18" s="94"/>
      <c r="EN18" s="94"/>
      <c r="EO18" s="94"/>
      <c r="EP18" s="94"/>
      <c r="EQ18" s="94"/>
      <c r="ER18" s="94"/>
      <c r="ES18" s="94"/>
      <c r="ET18" s="94"/>
      <c r="EU18" s="94"/>
      <c r="EV18" s="94"/>
      <c r="EW18" s="94"/>
      <c r="EX18" s="94"/>
      <c r="EY18" s="94"/>
      <c r="EZ18" s="94"/>
      <c r="FA18" s="5"/>
      <c r="FB18" s="5"/>
      <c r="FC18" s="5"/>
      <c r="FD18" s="5"/>
      <c r="FE18" s="5"/>
      <c r="FF18" s="5"/>
      <c r="FG18" s="5"/>
      <c r="FH18" s="5"/>
      <c r="FI18" s="5"/>
      <c r="FJ18" s="5"/>
      <c r="FK18" s="5"/>
      <c r="FL18" s="5"/>
      <c r="FM18" s="5"/>
      <c r="FN18" s="5"/>
      <c r="FO18" s="5"/>
      <c r="FP18" s="5"/>
      <c r="FQ18" s="5"/>
      <c r="FR18" s="5"/>
      <c r="FS18" s="5"/>
      <c r="FT18" s="5"/>
      <c r="FU18" s="5"/>
      <c r="FV18" s="5"/>
      <c r="FW18" s="242"/>
      <c r="FX18" s="242"/>
      <c r="FY18" s="5"/>
      <c r="FZ18" s="242"/>
      <c r="GA18" s="242"/>
      <c r="GB18" s="5"/>
      <c r="GC18" s="242"/>
      <c r="GD18" s="242"/>
      <c r="GE18" s="5"/>
      <c r="GF18" s="242"/>
      <c r="GG18" s="242"/>
      <c r="GH18" s="5"/>
      <c r="GI18" s="242"/>
      <c r="GJ18" s="242"/>
      <c r="GK18" s="5"/>
      <c r="GL18" s="242"/>
      <c r="GM18" s="242"/>
      <c r="GN18" s="5"/>
      <c r="GO18" s="242"/>
      <c r="GP18" s="242"/>
      <c r="GQ18" s="5"/>
      <c r="GR18" s="242"/>
      <c r="GS18" s="242"/>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242"/>
      <c r="HZ18" s="242"/>
      <c r="IA18" s="5"/>
      <c r="IB18" s="242"/>
      <c r="IC18" s="242"/>
      <c r="ID18" s="5"/>
      <c r="IE18" s="242"/>
      <c r="IF18" s="242"/>
      <c r="IG18" s="5"/>
      <c r="IH18" s="242"/>
      <c r="II18" s="242"/>
      <c r="IJ18" s="5"/>
      <c r="IK18" s="242"/>
      <c r="IL18" s="242"/>
      <c r="IM18" s="5"/>
      <c r="IN18" s="242"/>
      <c r="IO18" s="242"/>
      <c r="IP18" s="5"/>
      <c r="IQ18" s="242"/>
      <c r="IR18" s="242"/>
      <c r="IS18" s="5"/>
      <c r="IT18" s="242"/>
      <c r="IU18" s="242"/>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row>
    <row r="19" spans="1:285">
      <c r="F19" s="75"/>
      <c r="G19" s="119"/>
    </row>
    <row r="25" spans="1:285">
      <c r="C25" s="5"/>
      <c r="D25" s="20" t="s">
        <v>365</v>
      </c>
      <c r="E25" s="20" t="s">
        <v>368</v>
      </c>
      <c r="F25" s="20" t="s">
        <v>366</v>
      </c>
      <c r="G25" s="20" t="s">
        <v>367</v>
      </c>
      <c r="H25"/>
      <c r="J25" s="77"/>
      <c r="K25"/>
      <c r="M25" s="77"/>
      <c r="N25"/>
      <c r="P25" s="77"/>
      <c r="Q25"/>
      <c r="S25" s="77"/>
      <c r="T25"/>
      <c r="V25" s="77"/>
      <c r="W25"/>
      <c r="Y25" s="77"/>
      <c r="Z25"/>
      <c r="AB25" s="77"/>
      <c r="AC25"/>
      <c r="AD25"/>
      <c r="CU25" s="77"/>
      <c r="CV25" s="77"/>
      <c r="CW25"/>
      <c r="CY25" s="77"/>
      <c r="CZ25"/>
      <c r="DB25" s="77"/>
      <c r="DC25"/>
      <c r="DE25" s="77"/>
      <c r="DF25"/>
      <c r="DH25" s="77"/>
      <c r="DI25"/>
      <c r="DK25" s="77"/>
      <c r="DL25"/>
      <c r="DN25" s="77"/>
      <c r="DO25"/>
      <c r="DQ25" s="77"/>
      <c r="DR25"/>
      <c r="DT25" s="77"/>
      <c r="DU25"/>
      <c r="DW25" s="77"/>
      <c r="DX25"/>
      <c r="DY25"/>
    </row>
    <row r="26" spans="1:285">
      <c r="C26" s="5" t="s">
        <v>340</v>
      </c>
      <c r="D26" s="20">
        <v>22</v>
      </c>
      <c r="E26" s="20">
        <v>7</v>
      </c>
      <c r="F26" s="20"/>
      <c r="G26" s="20"/>
      <c r="H26"/>
      <c r="J26" s="77"/>
      <c r="K26"/>
      <c r="M26" s="77"/>
      <c r="N26"/>
      <c r="P26" s="77"/>
      <c r="Q26"/>
      <c r="S26" s="77"/>
      <c r="T26"/>
      <c r="V26" s="77"/>
      <c r="W26"/>
      <c r="Y26" s="77"/>
      <c r="Z26"/>
      <c r="AB26" s="77"/>
      <c r="AC26"/>
      <c r="AD26"/>
      <c r="CU26" s="77"/>
      <c r="CV26" s="77"/>
      <c r="CW26"/>
      <c r="CY26" s="77"/>
      <c r="CZ26"/>
      <c r="DB26" s="77"/>
      <c r="DC26"/>
      <c r="DE26" s="77"/>
      <c r="DF26"/>
      <c r="DH26" s="77"/>
      <c r="DI26"/>
      <c r="DK26" s="77"/>
      <c r="DL26"/>
      <c r="DN26" s="77"/>
      <c r="DO26"/>
      <c r="DQ26" s="77"/>
      <c r="DR26"/>
      <c r="DT26" s="77"/>
      <c r="DU26"/>
      <c r="DW26" s="77"/>
      <c r="DX26"/>
      <c r="DY26"/>
    </row>
    <row r="27" spans="1:285">
      <c r="C27" s="5" t="s">
        <v>361</v>
      </c>
      <c r="D27" s="20">
        <v>67</v>
      </c>
      <c r="E27" s="20">
        <v>12</v>
      </c>
      <c r="F27" s="20">
        <v>7</v>
      </c>
      <c r="G27" s="20">
        <v>7</v>
      </c>
      <c r="H27"/>
      <c r="J27" s="77"/>
      <c r="K27"/>
      <c r="M27" s="77"/>
      <c r="N27"/>
      <c r="P27" s="77"/>
      <c r="Q27"/>
      <c r="S27" s="77"/>
      <c r="T27"/>
      <c r="V27" s="77"/>
      <c r="W27"/>
      <c r="Y27" s="77"/>
      <c r="Z27"/>
      <c r="AB27" s="77"/>
      <c r="AC27"/>
      <c r="AD27"/>
      <c r="CU27" s="77"/>
      <c r="CV27" s="77"/>
      <c r="CW27"/>
      <c r="CY27" s="77"/>
      <c r="CZ27"/>
      <c r="DB27" s="77"/>
      <c r="DC27"/>
      <c r="DE27" s="77"/>
      <c r="DF27"/>
      <c r="DH27" s="77"/>
      <c r="DI27"/>
      <c r="DK27" s="77"/>
      <c r="DL27"/>
      <c r="DN27" s="77"/>
      <c r="DO27"/>
      <c r="DQ27" s="77"/>
      <c r="DR27"/>
      <c r="DT27" s="77"/>
      <c r="DU27"/>
      <c r="DW27" s="77"/>
      <c r="DX27"/>
      <c r="DY27"/>
    </row>
    <row r="28" spans="1:285">
      <c r="C28" s="5" t="s">
        <v>362</v>
      </c>
      <c r="D28" s="20">
        <v>32</v>
      </c>
      <c r="E28" s="20">
        <v>22</v>
      </c>
      <c r="F28" s="20"/>
      <c r="G28" s="20"/>
      <c r="H28"/>
      <c r="J28" s="77"/>
      <c r="K28"/>
      <c r="M28" s="77"/>
      <c r="N28"/>
      <c r="P28" s="77"/>
      <c r="Q28"/>
      <c r="S28" s="77"/>
      <c r="T28"/>
      <c r="V28" s="77"/>
      <c r="W28"/>
      <c r="Y28" s="77"/>
      <c r="Z28"/>
      <c r="AB28" s="77"/>
      <c r="AC28"/>
      <c r="AD28"/>
      <c r="CU28" s="77"/>
      <c r="CV28" s="77"/>
      <c r="CW28"/>
      <c r="CY28" s="77"/>
      <c r="CZ28"/>
      <c r="DB28" s="77"/>
      <c r="DC28"/>
      <c r="DE28" s="77"/>
      <c r="DF28"/>
      <c r="DH28" s="77"/>
      <c r="DI28"/>
      <c r="DK28" s="77"/>
      <c r="DL28"/>
      <c r="DN28" s="77"/>
      <c r="DO28"/>
      <c r="DQ28" s="77"/>
      <c r="DR28"/>
      <c r="DT28" s="77"/>
      <c r="DU28"/>
      <c r="DW28" s="77"/>
      <c r="DX28"/>
      <c r="DY28"/>
    </row>
    <row r="29" spans="1:285">
      <c r="C29" s="5" t="s">
        <v>363</v>
      </c>
      <c r="D29" s="20">
        <v>27</v>
      </c>
      <c r="E29" s="20">
        <v>17</v>
      </c>
      <c r="F29" s="20"/>
      <c r="G29" s="20"/>
      <c r="H29"/>
      <c r="J29" s="77"/>
      <c r="K29"/>
      <c r="M29" s="77"/>
      <c r="N29"/>
      <c r="P29" s="77"/>
      <c r="Q29"/>
      <c r="S29" s="77"/>
      <c r="T29"/>
      <c r="V29" s="77"/>
      <c r="W29"/>
      <c r="Y29" s="77"/>
      <c r="Z29"/>
      <c r="AB29" s="77"/>
      <c r="AC29"/>
      <c r="AD29"/>
      <c r="CU29" s="77"/>
      <c r="CV29" s="77"/>
      <c r="CW29"/>
      <c r="CY29" s="77"/>
      <c r="CZ29"/>
      <c r="DB29" s="77"/>
      <c r="DC29"/>
      <c r="DE29" s="77"/>
      <c r="DF29"/>
      <c r="DH29" s="77"/>
      <c r="DI29"/>
      <c r="DK29" s="77"/>
      <c r="DL29"/>
      <c r="DN29" s="77"/>
      <c r="DO29"/>
      <c r="DQ29" s="77"/>
      <c r="DR29"/>
      <c r="DT29" s="77"/>
      <c r="DU29"/>
      <c r="DW29" s="77"/>
      <c r="DX29"/>
      <c r="DY29"/>
    </row>
    <row r="30" spans="1:285">
      <c r="C30" s="5" t="s">
        <v>364</v>
      </c>
      <c r="D30" s="20">
        <v>37</v>
      </c>
      <c r="E30" s="20">
        <v>27</v>
      </c>
      <c r="F30" s="20"/>
      <c r="G30" s="20"/>
      <c r="H30"/>
      <c r="J30" s="77"/>
      <c r="K30"/>
      <c r="M30" s="77"/>
      <c r="N30"/>
      <c r="P30" s="77"/>
      <c r="Q30"/>
      <c r="S30" s="77"/>
      <c r="T30"/>
      <c r="V30" s="77"/>
      <c r="W30"/>
      <c r="Y30" s="77"/>
      <c r="Z30"/>
      <c r="AB30" s="77"/>
      <c r="AC30"/>
      <c r="AD30"/>
      <c r="CU30" s="77"/>
      <c r="CV30" s="77"/>
      <c r="CW30"/>
      <c r="CY30" s="77"/>
      <c r="CZ30"/>
      <c r="DB30" s="77"/>
      <c r="DC30"/>
      <c r="DE30" s="77"/>
      <c r="DF30"/>
      <c r="DH30" s="77"/>
      <c r="DI30"/>
      <c r="DK30" s="77"/>
      <c r="DL30"/>
      <c r="DN30" s="77"/>
      <c r="DO30"/>
      <c r="DQ30" s="77"/>
      <c r="DR30"/>
      <c r="DT30" s="77"/>
      <c r="DU30"/>
      <c r="DW30" s="77"/>
      <c r="DX30"/>
      <c r="DY30"/>
    </row>
  </sheetData>
  <autoFilter ref="B3:CU7">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filterColumn colId="44" showButton="0"/>
    <filterColumn colId="45" showButton="0"/>
    <filterColumn colId="47" showButton="0"/>
    <filterColumn colId="48" showButton="0"/>
    <filterColumn colId="50" showButton="0"/>
    <filterColumn colId="51" showButton="0"/>
    <filterColumn colId="53" showButton="0"/>
    <filterColumn colId="54" showButton="0"/>
    <filterColumn colId="56" showButton="0"/>
    <filterColumn colId="57" showButton="0"/>
    <filterColumn colId="59" showButton="0"/>
    <filterColumn colId="60" showButton="0"/>
    <filterColumn colId="62" showButton="0"/>
    <filterColumn colId="63" showButton="0"/>
    <filterColumn colId="65" showButton="0"/>
    <filterColumn colId="66" showButton="0"/>
    <filterColumn colId="68" showButton="0"/>
    <filterColumn colId="69" showButton="0"/>
    <filterColumn colId="71" showButton="0"/>
    <filterColumn colId="72" showButton="0"/>
    <filterColumn colId="74" showButton="0"/>
    <filterColumn colId="75" showButton="0"/>
    <filterColumn colId="77" showButton="0"/>
    <filterColumn colId="78" showButton="0"/>
    <filterColumn colId="83" showButton="0"/>
    <filterColumn colId="84" showButton="0"/>
    <filterColumn colId="86" showButton="0"/>
    <filterColumn colId="87" showButton="0"/>
    <filterColumn colId="95" showButton="0"/>
    <filterColumn colId="96" showButton="0"/>
  </autoFilter>
  <mergeCells count="116">
    <mergeCell ref="JK3:JM3"/>
    <mergeCell ref="JN3:JP3"/>
    <mergeCell ref="JQ3:JS3"/>
    <mergeCell ref="JT3:JV3"/>
    <mergeCell ref="JW3:JY3"/>
    <mergeCell ref="HX1:JY1"/>
    <mergeCell ref="HX2:IU2"/>
    <mergeCell ref="IV2:JY2"/>
    <mergeCell ref="HX3:HZ3"/>
    <mergeCell ref="IA3:IC3"/>
    <mergeCell ref="ID3:IF3"/>
    <mergeCell ref="IG3:II3"/>
    <mergeCell ref="IJ3:IL3"/>
    <mergeCell ref="IM3:IO3"/>
    <mergeCell ref="IP3:IR3"/>
    <mergeCell ref="IS3:IU3"/>
    <mergeCell ref="IV3:IX3"/>
    <mergeCell ref="IY3:JA3"/>
    <mergeCell ref="JB3:JD3"/>
    <mergeCell ref="JE3:JG3"/>
    <mergeCell ref="JH3:JJ3"/>
    <mergeCell ref="HI3:HK3"/>
    <mergeCell ref="HL3:HN3"/>
    <mergeCell ref="HO3:HQ3"/>
    <mergeCell ref="HR3:HT3"/>
    <mergeCell ref="HU3:HW3"/>
    <mergeCell ref="FV1:HW1"/>
    <mergeCell ref="FV2:GS2"/>
    <mergeCell ref="GT2:HW2"/>
    <mergeCell ref="FV3:FX3"/>
    <mergeCell ref="FY3:GA3"/>
    <mergeCell ref="GB3:GD3"/>
    <mergeCell ref="GE3:GG3"/>
    <mergeCell ref="GH3:GJ3"/>
    <mergeCell ref="GK3:GM3"/>
    <mergeCell ref="GN3:GP3"/>
    <mergeCell ref="GQ3:GS3"/>
    <mergeCell ref="GT3:GV3"/>
    <mergeCell ref="GW3:GY3"/>
    <mergeCell ref="GZ3:HB3"/>
    <mergeCell ref="HC3:HE3"/>
    <mergeCell ref="HF3:HH3"/>
    <mergeCell ref="B3:B4"/>
    <mergeCell ref="A3:A4"/>
    <mergeCell ref="BO3:BQ3"/>
    <mergeCell ref="BL3:BN3"/>
    <mergeCell ref="BI3:BK3"/>
    <mergeCell ref="AW3:AY3"/>
    <mergeCell ref="AT3:AV3"/>
    <mergeCell ref="AQ3:AS3"/>
    <mergeCell ref="AE3:AG3"/>
    <mergeCell ref="AH3:AJ3"/>
    <mergeCell ref="AK3:AM3"/>
    <mergeCell ref="AN3:AP3"/>
    <mergeCell ref="BF3:BH3"/>
    <mergeCell ref="C3:C4"/>
    <mergeCell ref="F3:F4"/>
    <mergeCell ref="E3:E4"/>
    <mergeCell ref="D3:D4"/>
    <mergeCell ref="AB3:AD3"/>
    <mergeCell ref="G1:BH1"/>
    <mergeCell ref="DB1:FC1"/>
    <mergeCell ref="DZ2:FC2"/>
    <mergeCell ref="DT3:DV3"/>
    <mergeCell ref="DW3:DY3"/>
    <mergeCell ref="DZ3:EB3"/>
    <mergeCell ref="EC3:EE3"/>
    <mergeCell ref="EF3:EH3"/>
    <mergeCell ref="EI3:EK3"/>
    <mergeCell ref="EL3:EN3"/>
    <mergeCell ref="EO3:EQ3"/>
    <mergeCell ref="ER3:ET3"/>
    <mergeCell ref="EU3:EW3"/>
    <mergeCell ref="AE2:BH2"/>
    <mergeCell ref="BC3:BE3"/>
    <mergeCell ref="AZ3:BB3"/>
    <mergeCell ref="G3:I3"/>
    <mergeCell ref="J3:L3"/>
    <mergeCell ref="M3:O3"/>
    <mergeCell ref="P3:R3"/>
    <mergeCell ref="DE3:DG3"/>
    <mergeCell ref="S3:U3"/>
    <mergeCell ref="V3:X3"/>
    <mergeCell ref="Y3:AA3"/>
    <mergeCell ref="CP3:CR3"/>
    <mergeCell ref="CD3:CF3"/>
    <mergeCell ref="CA3:CC3"/>
    <mergeCell ref="BX3:BZ3"/>
    <mergeCell ref="BU3:BW3"/>
    <mergeCell ref="BR3:BT3"/>
    <mergeCell ref="G2:AD2"/>
    <mergeCell ref="DN3:DP3"/>
    <mergeCell ref="DQ3:DS3"/>
    <mergeCell ref="CG3:CI3"/>
    <mergeCell ref="BI2:CI2"/>
    <mergeCell ref="CJ2:CR2"/>
    <mergeCell ref="CM3:CO3"/>
    <mergeCell ref="DK3:DM3"/>
    <mergeCell ref="CJ3:CL3"/>
    <mergeCell ref="CV2:DA2"/>
    <mergeCell ref="DB2:DY2"/>
    <mergeCell ref="CS3:CU3"/>
    <mergeCell ref="CV3:CX3"/>
    <mergeCell ref="CY3:DA3"/>
    <mergeCell ref="DB3:DD3"/>
    <mergeCell ref="CS2:CU2"/>
    <mergeCell ref="EX3:EZ3"/>
    <mergeCell ref="FA3:FC3"/>
    <mergeCell ref="DH3:DJ3"/>
    <mergeCell ref="FD2:FU2"/>
    <mergeCell ref="FD3:FF3"/>
    <mergeCell ref="FG3:FI3"/>
    <mergeCell ref="FJ3:FL3"/>
    <mergeCell ref="FM3:FO3"/>
    <mergeCell ref="FP3:FR3"/>
    <mergeCell ref="FS3:FU3"/>
  </mergeCells>
  <conditionalFormatting sqref="G4:I4 G3 J3 M3 P3 S3 V3 Y3">
    <cfRule type="duplicateValues" dxfId="293" priority="158"/>
  </conditionalFormatting>
  <conditionalFormatting sqref="AE3 AK3 AH3 AN3 AQ3 BF3 BC3 AZ3 AW3 AT3">
    <cfRule type="duplicateValues" dxfId="292" priority="156"/>
  </conditionalFormatting>
  <conditionalFormatting sqref="BI3 CS3 CJ3 CG3 CA3 BX3 BU3 BR3 BO3 BL3">
    <cfRule type="duplicateValues" dxfId="291" priority="155"/>
  </conditionalFormatting>
  <conditionalFormatting sqref="CS3">
    <cfRule type="duplicateValues" dxfId="290" priority="154"/>
  </conditionalFormatting>
  <conditionalFormatting sqref="J4:L4">
    <cfRule type="duplicateValues" dxfId="289" priority="152"/>
  </conditionalFormatting>
  <conditionalFormatting sqref="N4:O4">
    <cfRule type="duplicateValues" dxfId="288" priority="151"/>
  </conditionalFormatting>
  <conditionalFormatting sqref="M4">
    <cfRule type="duplicateValues" dxfId="287" priority="150"/>
  </conditionalFormatting>
  <conditionalFormatting sqref="Q4:R4">
    <cfRule type="duplicateValues" dxfId="286" priority="146"/>
  </conditionalFormatting>
  <conditionalFormatting sqref="P4">
    <cfRule type="duplicateValues" dxfId="285" priority="145"/>
  </conditionalFormatting>
  <conditionalFormatting sqref="T4:U4">
    <cfRule type="duplicateValues" dxfId="284" priority="144"/>
  </conditionalFormatting>
  <conditionalFormatting sqref="W4:X4">
    <cfRule type="duplicateValues" dxfId="283" priority="143"/>
  </conditionalFormatting>
  <conditionalFormatting sqref="Z4:AA4">
    <cfRule type="duplicateValues" dxfId="282" priority="142"/>
  </conditionalFormatting>
  <conditionalFormatting sqref="AC4:AD4">
    <cfRule type="duplicateValues" dxfId="281" priority="141"/>
  </conditionalFormatting>
  <conditionalFormatting sqref="S4">
    <cfRule type="duplicateValues" dxfId="280" priority="140"/>
  </conditionalFormatting>
  <conditionalFormatting sqref="V4">
    <cfRule type="duplicateValues" dxfId="279" priority="139"/>
  </conditionalFormatting>
  <conditionalFormatting sqref="Y4">
    <cfRule type="duplicateValues" dxfId="278" priority="138"/>
  </conditionalFormatting>
  <conditionalFormatting sqref="AB4">
    <cfRule type="duplicateValues" dxfId="277" priority="137"/>
  </conditionalFormatting>
  <conditionalFormatting sqref="B15:B17 B6:B13">
    <cfRule type="cellIs" dxfId="276" priority="135" operator="equal">
      <formula>1</formula>
    </cfRule>
  </conditionalFormatting>
  <conditionalFormatting sqref="CV4:CX4 CV3 CY3">
    <cfRule type="duplicateValues" dxfId="275" priority="134"/>
  </conditionalFormatting>
  <conditionalFormatting sqref="CY4:DA4">
    <cfRule type="duplicateValues" dxfId="274" priority="132"/>
  </conditionalFormatting>
  <conditionalFormatting sqref="CM3">
    <cfRule type="duplicateValues" dxfId="273" priority="119"/>
  </conditionalFormatting>
  <conditionalFormatting sqref="CP3">
    <cfRule type="duplicateValues" dxfId="272" priority="118"/>
  </conditionalFormatting>
  <conditionalFormatting sqref="DB4:DD4 DB3 DK3 DN3 DQ3">
    <cfRule type="duplicateValues" dxfId="271" priority="117"/>
  </conditionalFormatting>
  <conditionalFormatting sqref="DZ3 EF3 EC3 EI3 FA3 EX3 EU3 ER3 EO3">
    <cfRule type="duplicateValues" dxfId="270" priority="115"/>
  </conditionalFormatting>
  <conditionalFormatting sqref="DE4:DG4">
    <cfRule type="duplicateValues" dxfId="269" priority="114"/>
  </conditionalFormatting>
  <conditionalFormatting sqref="DI4:DJ4">
    <cfRule type="duplicateValues" dxfId="268" priority="113"/>
  </conditionalFormatting>
  <conditionalFormatting sqref="DH4">
    <cfRule type="duplicateValues" dxfId="267" priority="112"/>
  </conditionalFormatting>
  <conditionalFormatting sqref="DL4:DM4">
    <cfRule type="duplicateValues" dxfId="266" priority="111"/>
  </conditionalFormatting>
  <conditionalFormatting sqref="DK4">
    <cfRule type="duplicateValues" dxfId="265" priority="110"/>
  </conditionalFormatting>
  <conditionalFormatting sqref="DO4:DP4">
    <cfRule type="duplicateValues" dxfId="264" priority="109"/>
  </conditionalFormatting>
  <conditionalFormatting sqref="DR4:DS4">
    <cfRule type="duplicateValues" dxfId="263" priority="108"/>
  </conditionalFormatting>
  <conditionalFormatting sqref="DU4:DV4">
    <cfRule type="duplicateValues" dxfId="262" priority="107"/>
  </conditionalFormatting>
  <conditionalFormatting sqref="DX4:DY4">
    <cfRule type="duplicateValues" dxfId="261" priority="106"/>
  </conditionalFormatting>
  <conditionalFormatting sqref="DN4">
    <cfRule type="duplicateValues" dxfId="260" priority="105"/>
  </conditionalFormatting>
  <conditionalFormatting sqref="DQ4">
    <cfRule type="duplicateValues" dxfId="259" priority="104"/>
  </conditionalFormatting>
  <conditionalFormatting sqref="DT4">
    <cfRule type="duplicateValues" dxfId="258" priority="103"/>
  </conditionalFormatting>
  <conditionalFormatting sqref="DW4">
    <cfRule type="duplicateValues" dxfId="257" priority="102"/>
  </conditionalFormatting>
  <conditionalFormatting sqref="DE3 DH3">
    <cfRule type="duplicateValues" dxfId="256" priority="90"/>
  </conditionalFormatting>
  <conditionalFormatting sqref="DT3">
    <cfRule type="duplicateValues" dxfId="255" priority="89"/>
  </conditionalFormatting>
  <conditionalFormatting sqref="EL3">
    <cfRule type="duplicateValues" dxfId="254" priority="88"/>
  </conditionalFormatting>
  <conditionalFormatting sqref="AB3">
    <cfRule type="duplicateValues" dxfId="253" priority="87"/>
  </conditionalFormatting>
  <conditionalFormatting sqref="DW3">
    <cfRule type="duplicateValues" dxfId="252" priority="86"/>
  </conditionalFormatting>
  <conditionalFormatting sqref="E6">
    <cfRule type="duplicateValues" dxfId="251" priority="85"/>
  </conditionalFormatting>
  <conditionalFormatting sqref="E7">
    <cfRule type="duplicateValues" dxfId="250" priority="84"/>
  </conditionalFormatting>
  <conditionalFormatting sqref="E8">
    <cfRule type="duplicateValues" dxfId="249" priority="82"/>
  </conditionalFormatting>
  <conditionalFormatting sqref="E9">
    <cfRule type="duplicateValues" dxfId="248" priority="81"/>
  </conditionalFormatting>
  <conditionalFormatting sqref="E10">
    <cfRule type="duplicateValues" dxfId="247" priority="79"/>
  </conditionalFormatting>
  <conditionalFormatting sqref="E11">
    <cfRule type="duplicateValues" dxfId="246" priority="78"/>
  </conditionalFormatting>
  <conditionalFormatting sqref="FD3 FS3 FP3 FM3 FJ3 FG3">
    <cfRule type="duplicateValues" dxfId="245" priority="1517"/>
  </conditionalFormatting>
  <conditionalFormatting sqref="FV4:FX4 FV3 GE3 GH3 GK3">
    <cfRule type="duplicateValues" dxfId="244" priority="38"/>
  </conditionalFormatting>
  <conditionalFormatting sqref="GT3 GZ3 GW3 HC3 HU3 HR3 HO3 HL3 HI3">
    <cfRule type="duplicateValues" dxfId="243" priority="37"/>
  </conditionalFormatting>
  <conditionalFormatting sqref="FY4:GA4">
    <cfRule type="duplicateValues" dxfId="242" priority="36"/>
  </conditionalFormatting>
  <conditionalFormatting sqref="GC4:GD4">
    <cfRule type="duplicateValues" dxfId="241" priority="35"/>
  </conditionalFormatting>
  <conditionalFormatting sqref="GB4">
    <cfRule type="duplicateValues" dxfId="240" priority="34"/>
  </conditionalFormatting>
  <conditionalFormatting sqref="GF4:GG4">
    <cfRule type="duplicateValues" dxfId="239" priority="33"/>
  </conditionalFormatting>
  <conditionalFormatting sqref="GE4">
    <cfRule type="duplicateValues" dxfId="238" priority="32"/>
  </conditionalFormatting>
  <conditionalFormatting sqref="GI4:GJ4">
    <cfRule type="duplicateValues" dxfId="237" priority="31"/>
  </conditionalFormatting>
  <conditionalFormatting sqref="GL4:GM4">
    <cfRule type="duplicateValues" dxfId="236" priority="30"/>
  </conditionalFormatting>
  <conditionalFormatting sqref="GO4:GP4">
    <cfRule type="duplicateValues" dxfId="235" priority="29"/>
  </conditionalFormatting>
  <conditionalFormatting sqref="GR4:GS4">
    <cfRule type="duplicateValues" dxfId="234" priority="28"/>
  </conditionalFormatting>
  <conditionalFormatting sqref="GH4">
    <cfRule type="duplicateValues" dxfId="233" priority="27"/>
  </conditionalFormatting>
  <conditionalFormatting sqref="GK4">
    <cfRule type="duplicateValues" dxfId="232" priority="26"/>
  </conditionalFormatting>
  <conditionalFormatting sqref="GN4">
    <cfRule type="duplicateValues" dxfId="231" priority="25"/>
  </conditionalFormatting>
  <conditionalFormatting sqref="GQ4">
    <cfRule type="duplicateValues" dxfId="230" priority="24"/>
  </conditionalFormatting>
  <conditionalFormatting sqref="FY3 GB3">
    <cfRule type="duplicateValues" dxfId="229" priority="23"/>
  </conditionalFormatting>
  <conditionalFormatting sqref="GN3">
    <cfRule type="duplicateValues" dxfId="228" priority="22"/>
  </conditionalFormatting>
  <conditionalFormatting sqref="HF3">
    <cfRule type="duplicateValues" dxfId="227" priority="21"/>
  </conditionalFormatting>
  <conditionalFormatting sqref="GQ3">
    <cfRule type="duplicateValues" dxfId="226" priority="20"/>
  </conditionalFormatting>
  <conditionalFormatting sqref="HX4:HZ4 HX3 IG3 IJ3 IM3">
    <cfRule type="duplicateValues" dxfId="225" priority="19"/>
  </conditionalFormatting>
  <conditionalFormatting sqref="IV3 JB3 IY3 JE3 JW3 JT3 JQ3 JN3 JK3">
    <cfRule type="duplicateValues" dxfId="224" priority="18"/>
  </conditionalFormatting>
  <conditionalFormatting sqref="IA4:IC4">
    <cfRule type="duplicateValues" dxfId="223" priority="17"/>
  </conditionalFormatting>
  <conditionalFormatting sqref="IE4:IF4">
    <cfRule type="duplicateValues" dxfId="222" priority="16"/>
  </conditionalFormatting>
  <conditionalFormatting sqref="ID4">
    <cfRule type="duplicateValues" dxfId="221" priority="15"/>
  </conditionalFormatting>
  <conditionalFormatting sqref="IH4:II4">
    <cfRule type="duplicateValues" dxfId="220" priority="14"/>
  </conditionalFormatting>
  <conditionalFormatting sqref="IG4">
    <cfRule type="duplicateValues" dxfId="219" priority="13"/>
  </conditionalFormatting>
  <conditionalFormatting sqref="IK4:IL4">
    <cfRule type="duplicateValues" dxfId="218" priority="12"/>
  </conditionalFormatting>
  <conditionalFormatting sqref="IN4:IO4">
    <cfRule type="duplicateValues" dxfId="217" priority="11"/>
  </conditionalFormatting>
  <conditionalFormatting sqref="IQ4:IR4">
    <cfRule type="duplicateValues" dxfId="216" priority="10"/>
  </conditionalFormatting>
  <conditionalFormatting sqref="IT4:IU4">
    <cfRule type="duplicateValues" dxfId="215" priority="9"/>
  </conditionalFormatting>
  <conditionalFormatting sqref="IJ4">
    <cfRule type="duplicateValues" dxfId="214" priority="8"/>
  </conditionalFormatting>
  <conditionalFormatting sqref="IM4">
    <cfRule type="duplicateValues" dxfId="213" priority="7"/>
  </conditionalFormatting>
  <conditionalFormatting sqref="IP4">
    <cfRule type="duplicateValues" dxfId="212" priority="6"/>
  </conditionalFormatting>
  <conditionalFormatting sqref="IS4">
    <cfRule type="duplicateValues" dxfId="211" priority="5"/>
  </conditionalFormatting>
  <conditionalFormatting sqref="IA3 ID3">
    <cfRule type="duplicateValues" dxfId="210" priority="4"/>
  </conditionalFormatting>
  <conditionalFormatting sqref="IP3">
    <cfRule type="duplicateValues" dxfId="209" priority="3"/>
  </conditionalFormatting>
  <conditionalFormatting sqref="JH3">
    <cfRule type="duplicateValues" dxfId="208" priority="2"/>
  </conditionalFormatting>
  <conditionalFormatting sqref="IS3">
    <cfRule type="duplicateValues" dxfId="207" priority="1"/>
  </conditionalFormatting>
  <dataValidations count="1">
    <dataValidation type="list" allowBlank="1" showInputMessage="1" showErrorMessage="1" sqref="E6:E13 E15:E17">
      <formula1>"[VW-MIB3_AVN],[Toyota_Kai_FIT],[BMW_WAVE_SWT],[JLR-TCU4-FIT],[VW_MIB3_SWT],[VW_ICAS3_SWT]"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U38"/>
  <sheetViews>
    <sheetView showGridLines="0" zoomScale="90" zoomScaleNormal="90" workbookViewId="0">
      <pane xSplit="5" ySplit="8" topLeftCell="BE9" activePane="bottomRight" state="frozen"/>
      <selection activeCell="BC10" sqref="BC10"/>
      <selection pane="topRight" activeCell="BC10" sqref="BC10"/>
      <selection pane="bottomLeft" activeCell="BC10" sqref="BC10"/>
      <selection pane="bottomRight" activeCell="BT20" sqref="BT20"/>
    </sheetView>
  </sheetViews>
  <sheetFormatPr defaultRowHeight="14.4"/>
  <cols>
    <col min="1" max="1" width="3.88671875" customWidth="1"/>
    <col min="2" max="2" width="9.5546875" customWidth="1"/>
    <col min="3" max="3" width="16.88671875" customWidth="1"/>
    <col min="4" max="4" width="26.88671875" customWidth="1"/>
    <col min="5" max="5" width="31.5546875" customWidth="1"/>
    <col min="6" max="6" width="8.88671875" customWidth="1"/>
    <col min="7" max="8" width="11.44140625" customWidth="1"/>
    <col min="9" max="73" width="8" customWidth="1"/>
  </cols>
  <sheetData>
    <row r="1" spans="2:73">
      <c r="E1" s="138"/>
      <c r="F1" s="138">
        <v>6</v>
      </c>
      <c r="G1" s="138">
        <v>7</v>
      </c>
      <c r="I1" s="390"/>
      <c r="J1" s="390"/>
      <c r="K1" s="390"/>
      <c r="L1" s="390"/>
      <c r="M1" s="390"/>
    </row>
    <row r="2" spans="2:73" ht="15.6">
      <c r="B2" s="389" t="s">
        <v>223</v>
      </c>
      <c r="C2" s="389"/>
      <c r="E2" s="138"/>
      <c r="F2" s="138">
        <v>4</v>
      </c>
      <c r="I2" s="390">
        <v>3</v>
      </c>
      <c r="J2" s="390"/>
      <c r="K2" s="390"/>
      <c r="L2" s="390"/>
      <c r="M2" s="390"/>
      <c r="N2" s="390">
        <v>4</v>
      </c>
      <c r="O2" s="390"/>
      <c r="P2" s="390"/>
      <c r="Q2" s="390"/>
      <c r="R2" s="390"/>
      <c r="S2" s="390">
        <v>4</v>
      </c>
      <c r="T2" s="390"/>
      <c r="U2" s="390"/>
      <c r="V2" s="390"/>
      <c r="W2" s="390"/>
      <c r="X2" s="390">
        <f>VLOOKUP(X$3,[3]KPI_ST_Indexes!$B$35:$C$37,2,0)</f>
        <v>5</v>
      </c>
      <c r="Y2" s="390"/>
      <c r="Z2" s="390"/>
      <c r="AA2" s="390"/>
      <c r="AB2" s="390"/>
      <c r="AC2" s="390">
        <v>4</v>
      </c>
      <c r="AD2" s="390"/>
      <c r="AE2" s="390"/>
      <c r="AF2" s="390"/>
      <c r="AG2" s="390"/>
      <c r="AH2" s="390">
        <v>5</v>
      </c>
      <c r="AI2" s="390"/>
      <c r="AJ2" s="390"/>
      <c r="AK2" s="390"/>
      <c r="AL2" s="390"/>
      <c r="AM2" s="390"/>
      <c r="AN2" s="390"/>
      <c r="AO2" s="390"/>
      <c r="AP2" s="390"/>
      <c r="AQ2" s="390"/>
      <c r="AR2" s="390"/>
      <c r="AS2" s="390"/>
      <c r="AT2" s="390"/>
      <c r="AU2" s="390"/>
      <c r="AV2" s="390"/>
      <c r="AW2" s="390"/>
      <c r="AX2" s="390"/>
      <c r="AY2" s="390"/>
      <c r="AZ2" s="390"/>
      <c r="BA2" s="390"/>
      <c r="BB2" s="390"/>
      <c r="BC2" s="390"/>
      <c r="BD2" s="390"/>
      <c r="BE2" s="390"/>
      <c r="BF2" s="390"/>
      <c r="BG2" s="390"/>
      <c r="BH2" s="390"/>
      <c r="BI2" s="390"/>
      <c r="BJ2" s="390"/>
      <c r="BK2" s="390"/>
      <c r="BL2" s="390"/>
      <c r="BM2" s="390"/>
      <c r="BN2" s="390"/>
      <c r="BO2" s="390"/>
      <c r="BP2" s="390"/>
      <c r="BQ2" s="390"/>
      <c r="BR2" s="390"/>
      <c r="BS2" s="390"/>
      <c r="BT2" s="390"/>
      <c r="BU2" s="390"/>
    </row>
    <row r="3" spans="2:73">
      <c r="I3" s="390" t="s">
        <v>225</v>
      </c>
      <c r="J3" s="390"/>
      <c r="K3" s="390"/>
      <c r="L3" s="390"/>
      <c r="M3" s="390"/>
      <c r="N3" s="390" t="s">
        <v>226</v>
      </c>
      <c r="O3" s="390"/>
      <c r="P3" s="390"/>
      <c r="Q3" s="390"/>
      <c r="R3" s="390"/>
      <c r="S3" s="390" t="s">
        <v>226</v>
      </c>
      <c r="T3" s="390"/>
      <c r="U3" s="390"/>
      <c r="V3" s="390"/>
      <c r="W3" s="390"/>
      <c r="X3" s="390" t="s">
        <v>141</v>
      </c>
      <c r="Y3" s="390"/>
      <c r="Z3" s="390"/>
      <c r="AA3" s="390"/>
      <c r="AB3" s="390"/>
      <c r="AC3" s="390" t="s">
        <v>226</v>
      </c>
      <c r="AD3" s="390"/>
      <c r="AE3" s="390"/>
      <c r="AF3" s="390"/>
      <c r="AG3" s="390"/>
      <c r="AH3" s="390" t="s">
        <v>226</v>
      </c>
      <c r="AI3" s="390"/>
      <c r="AJ3" s="390"/>
      <c r="AK3" s="390"/>
      <c r="AL3" s="390"/>
      <c r="AM3" s="390" t="s">
        <v>226</v>
      </c>
      <c r="AN3" s="390"/>
      <c r="AO3" s="390"/>
      <c r="AP3" s="390"/>
      <c r="AQ3" s="390"/>
      <c r="AR3" s="390" t="s">
        <v>226</v>
      </c>
      <c r="AS3" s="390"/>
      <c r="AT3" s="390"/>
      <c r="AU3" s="390"/>
      <c r="AV3" s="390"/>
      <c r="AW3" s="390" t="s">
        <v>226</v>
      </c>
      <c r="AX3" s="390"/>
      <c r="AY3" s="390"/>
      <c r="AZ3" s="390"/>
      <c r="BA3" s="390"/>
      <c r="BB3" s="390" t="s">
        <v>226</v>
      </c>
      <c r="BC3" s="390"/>
      <c r="BD3" s="390"/>
      <c r="BE3" s="390"/>
      <c r="BF3" s="390"/>
      <c r="BG3" s="390" t="s">
        <v>226</v>
      </c>
      <c r="BH3" s="390"/>
      <c r="BI3" s="390"/>
      <c r="BJ3" s="390"/>
      <c r="BK3" s="390"/>
      <c r="BL3" s="390" t="s">
        <v>225</v>
      </c>
      <c r="BM3" s="390"/>
      <c r="BN3" s="390"/>
      <c r="BO3" s="390"/>
      <c r="BP3" s="390"/>
      <c r="BQ3" s="390" t="s">
        <v>141</v>
      </c>
      <c r="BR3" s="390"/>
      <c r="BS3" s="390"/>
      <c r="BT3" s="390"/>
      <c r="BU3" s="390"/>
    </row>
    <row r="4" spans="2:73">
      <c r="E4">
        <v>1</v>
      </c>
      <c r="F4">
        <v>2</v>
      </c>
      <c r="G4">
        <v>3</v>
      </c>
      <c r="H4">
        <v>4</v>
      </c>
      <c r="I4">
        <v>5</v>
      </c>
      <c r="J4">
        <v>6</v>
      </c>
      <c r="K4">
        <v>7</v>
      </c>
      <c r="L4">
        <v>8</v>
      </c>
      <c r="M4">
        <v>9</v>
      </c>
      <c r="N4">
        <v>10</v>
      </c>
      <c r="O4">
        <v>11</v>
      </c>
      <c r="P4">
        <v>12</v>
      </c>
      <c r="Q4">
        <v>13</v>
      </c>
      <c r="R4">
        <v>14</v>
      </c>
      <c r="S4">
        <v>15</v>
      </c>
      <c r="T4">
        <v>16</v>
      </c>
      <c r="U4">
        <v>17</v>
      </c>
      <c r="V4">
        <v>18</v>
      </c>
      <c r="W4">
        <v>19</v>
      </c>
      <c r="X4">
        <v>20</v>
      </c>
      <c r="Y4">
        <v>21</v>
      </c>
      <c r="Z4">
        <v>22</v>
      </c>
      <c r="AA4">
        <v>23</v>
      </c>
      <c r="AB4">
        <v>24</v>
      </c>
      <c r="AC4">
        <v>25</v>
      </c>
      <c r="AD4">
        <v>26</v>
      </c>
      <c r="AE4">
        <v>27</v>
      </c>
      <c r="AF4">
        <v>28</v>
      </c>
      <c r="AG4">
        <v>29</v>
      </c>
      <c r="AH4">
        <v>30</v>
      </c>
      <c r="AI4">
        <v>31</v>
      </c>
      <c r="AJ4">
        <v>32</v>
      </c>
      <c r="AK4">
        <v>33</v>
      </c>
      <c r="AL4">
        <v>34</v>
      </c>
      <c r="AM4">
        <v>35</v>
      </c>
      <c r="AN4">
        <v>36</v>
      </c>
      <c r="AO4">
        <v>37</v>
      </c>
      <c r="AP4">
        <v>38</v>
      </c>
      <c r="AQ4">
        <v>39</v>
      </c>
      <c r="AR4">
        <v>40</v>
      </c>
      <c r="AS4">
        <v>41</v>
      </c>
      <c r="AT4">
        <v>42</v>
      </c>
      <c r="AU4">
        <v>43</v>
      </c>
      <c r="AV4">
        <v>44</v>
      </c>
      <c r="AW4">
        <v>45</v>
      </c>
      <c r="AX4">
        <v>46</v>
      </c>
      <c r="AY4">
        <v>47</v>
      </c>
      <c r="AZ4">
        <v>48</v>
      </c>
      <c r="BA4">
        <v>49</v>
      </c>
      <c r="BB4">
        <v>50</v>
      </c>
      <c r="BC4">
        <v>51</v>
      </c>
      <c r="BD4">
        <v>52</v>
      </c>
      <c r="BE4">
        <v>53</v>
      </c>
      <c r="BF4">
        <v>54</v>
      </c>
      <c r="BG4">
        <v>55</v>
      </c>
      <c r="BH4">
        <v>56</v>
      </c>
      <c r="BI4">
        <v>57</v>
      </c>
      <c r="BJ4">
        <v>58</v>
      </c>
      <c r="BK4">
        <v>59</v>
      </c>
      <c r="BL4">
        <v>60</v>
      </c>
      <c r="BM4">
        <v>61</v>
      </c>
      <c r="BN4">
        <v>62</v>
      </c>
      <c r="BO4">
        <v>63</v>
      </c>
      <c r="BP4">
        <v>64</v>
      </c>
      <c r="BQ4">
        <v>65</v>
      </c>
      <c r="BR4">
        <v>66</v>
      </c>
      <c r="BS4">
        <v>67</v>
      </c>
      <c r="BT4">
        <v>68</v>
      </c>
      <c r="BU4">
        <v>69</v>
      </c>
    </row>
    <row r="5" spans="2:73" ht="25.5" customHeight="1">
      <c r="B5" s="385" t="s">
        <v>227</v>
      </c>
      <c r="C5" s="385" t="s">
        <v>228</v>
      </c>
      <c r="D5" s="385" t="s">
        <v>229</v>
      </c>
      <c r="E5" s="385" t="s">
        <v>230</v>
      </c>
      <c r="F5" s="405" t="s">
        <v>231</v>
      </c>
      <c r="G5" s="405" t="s">
        <v>335</v>
      </c>
      <c r="H5" s="405" t="s">
        <v>334</v>
      </c>
      <c r="I5" s="391" t="s">
        <v>337</v>
      </c>
      <c r="J5" s="392"/>
      <c r="K5" s="392"/>
      <c r="L5" s="392"/>
      <c r="M5" s="393"/>
      <c r="N5" s="391" t="s">
        <v>338</v>
      </c>
      <c r="O5" s="392"/>
      <c r="P5" s="392"/>
      <c r="Q5" s="392"/>
      <c r="R5" s="393"/>
      <c r="S5" s="391" t="s">
        <v>339</v>
      </c>
      <c r="T5" s="392"/>
      <c r="U5" s="392"/>
      <c r="V5" s="392"/>
      <c r="W5" s="393"/>
      <c r="X5" s="391" t="s">
        <v>340</v>
      </c>
      <c r="Y5" s="392"/>
      <c r="Z5" s="392"/>
      <c r="AA5" s="392"/>
      <c r="AB5" s="393"/>
      <c r="AC5" s="391" t="s">
        <v>344</v>
      </c>
      <c r="AD5" s="392"/>
      <c r="AE5" s="392"/>
      <c r="AF5" s="392"/>
      <c r="AG5" s="393"/>
      <c r="AH5" s="391" t="s">
        <v>345</v>
      </c>
      <c r="AI5" s="392"/>
      <c r="AJ5" s="392"/>
      <c r="AK5" s="392"/>
      <c r="AL5" s="393"/>
      <c r="AM5" s="391" t="s">
        <v>346</v>
      </c>
      <c r="AN5" s="392"/>
      <c r="AO5" s="392"/>
      <c r="AP5" s="392"/>
      <c r="AQ5" s="393"/>
      <c r="AR5" s="391" t="s">
        <v>347</v>
      </c>
      <c r="AS5" s="392"/>
      <c r="AT5" s="392"/>
      <c r="AU5" s="392"/>
      <c r="AV5" s="393"/>
      <c r="AW5" s="391" t="s">
        <v>348</v>
      </c>
      <c r="AX5" s="392"/>
      <c r="AY5" s="392"/>
      <c r="AZ5" s="392"/>
      <c r="BA5" s="393"/>
      <c r="BB5" s="391" t="s">
        <v>341</v>
      </c>
      <c r="BC5" s="392"/>
      <c r="BD5" s="392"/>
      <c r="BE5" s="392"/>
      <c r="BF5" s="393"/>
      <c r="BG5" s="391" t="s">
        <v>342</v>
      </c>
      <c r="BH5" s="392"/>
      <c r="BI5" s="392"/>
      <c r="BJ5" s="392"/>
      <c r="BK5" s="393"/>
      <c r="BL5" s="391" t="s">
        <v>349</v>
      </c>
      <c r="BM5" s="392"/>
      <c r="BN5" s="392"/>
      <c r="BO5" s="392"/>
      <c r="BP5" s="393"/>
      <c r="BQ5" s="391" t="s">
        <v>343</v>
      </c>
      <c r="BR5" s="392"/>
      <c r="BS5" s="392"/>
      <c r="BT5" s="392"/>
      <c r="BU5" s="393"/>
    </row>
    <row r="6" spans="2:73">
      <c r="B6" s="385"/>
      <c r="C6" s="385"/>
      <c r="D6" s="385"/>
      <c r="E6" s="385"/>
      <c r="F6" s="406"/>
      <c r="G6" s="406"/>
      <c r="H6" s="406"/>
      <c r="I6" s="402">
        <v>1</v>
      </c>
      <c r="J6" s="403"/>
      <c r="K6" s="403"/>
      <c r="L6" s="403"/>
      <c r="M6" s="404"/>
      <c r="N6" s="402">
        <v>2</v>
      </c>
      <c r="O6" s="403"/>
      <c r="P6" s="403"/>
      <c r="Q6" s="403"/>
      <c r="R6" s="404"/>
      <c r="S6" s="402">
        <v>3</v>
      </c>
      <c r="T6" s="403"/>
      <c r="U6" s="403"/>
      <c r="V6" s="403"/>
      <c r="W6" s="404"/>
      <c r="X6" s="402">
        <v>4</v>
      </c>
      <c r="Y6" s="403"/>
      <c r="Z6" s="403"/>
      <c r="AA6" s="403"/>
      <c r="AB6" s="404"/>
      <c r="AC6" s="402">
        <v>5</v>
      </c>
      <c r="AD6" s="403"/>
      <c r="AE6" s="403"/>
      <c r="AF6" s="403"/>
      <c r="AG6" s="404"/>
      <c r="AH6" s="402">
        <f>AC6+1</f>
        <v>6</v>
      </c>
      <c r="AI6" s="403"/>
      <c r="AJ6" s="403"/>
      <c r="AK6" s="403"/>
      <c r="AL6" s="404"/>
      <c r="AM6" s="402">
        <f>AH6+1</f>
        <v>7</v>
      </c>
      <c r="AN6" s="403"/>
      <c r="AO6" s="403"/>
      <c r="AP6" s="403"/>
      <c r="AQ6" s="404"/>
      <c r="AR6" s="402">
        <f>AM6+1</f>
        <v>8</v>
      </c>
      <c r="AS6" s="403"/>
      <c r="AT6" s="403"/>
      <c r="AU6" s="403"/>
      <c r="AV6" s="404"/>
      <c r="AW6" s="402">
        <f>AR6+1</f>
        <v>9</v>
      </c>
      <c r="AX6" s="403"/>
      <c r="AY6" s="403"/>
      <c r="AZ6" s="403"/>
      <c r="BA6" s="404"/>
      <c r="BB6" s="402">
        <f>AW6+1</f>
        <v>10</v>
      </c>
      <c r="BC6" s="403"/>
      <c r="BD6" s="403"/>
      <c r="BE6" s="403"/>
      <c r="BF6" s="404"/>
      <c r="BG6" s="402">
        <f>BB6+1</f>
        <v>11</v>
      </c>
      <c r="BH6" s="403"/>
      <c r="BI6" s="403"/>
      <c r="BJ6" s="403"/>
      <c r="BK6" s="404"/>
      <c r="BL6" s="402">
        <f>BG6+1</f>
        <v>12</v>
      </c>
      <c r="BM6" s="403"/>
      <c r="BN6" s="403"/>
      <c r="BO6" s="403"/>
      <c r="BP6" s="404"/>
      <c r="BQ6" s="402">
        <f>BL6+1</f>
        <v>13</v>
      </c>
      <c r="BR6" s="403"/>
      <c r="BS6" s="403"/>
      <c r="BT6" s="403"/>
      <c r="BU6" s="404"/>
    </row>
    <row r="7" spans="2:73" ht="20.399999999999999">
      <c r="B7" s="139"/>
      <c r="C7" s="139"/>
      <c r="D7" s="139"/>
      <c r="E7" s="139"/>
      <c r="F7" s="407"/>
      <c r="G7" s="407"/>
      <c r="H7" s="407"/>
      <c r="I7" s="140">
        <v>2020</v>
      </c>
      <c r="J7" s="140" t="s">
        <v>234</v>
      </c>
      <c r="K7" s="141" t="s">
        <v>235</v>
      </c>
      <c r="L7" s="141" t="s">
        <v>236</v>
      </c>
      <c r="M7" s="141" t="s">
        <v>237</v>
      </c>
      <c r="N7" s="140">
        <v>2020</v>
      </c>
      <c r="O7" s="140" t="s">
        <v>234</v>
      </c>
      <c r="P7" s="141" t="s">
        <v>235</v>
      </c>
      <c r="Q7" s="141" t="s">
        <v>236</v>
      </c>
      <c r="R7" s="141" t="s">
        <v>237</v>
      </c>
      <c r="S7" s="140">
        <v>2020</v>
      </c>
      <c r="T7" s="140" t="s">
        <v>234</v>
      </c>
      <c r="U7" s="141" t="s">
        <v>235</v>
      </c>
      <c r="V7" s="141" t="s">
        <v>236</v>
      </c>
      <c r="W7" s="141" t="s">
        <v>237</v>
      </c>
      <c r="X7" s="140">
        <v>2020</v>
      </c>
      <c r="Y7" s="140" t="s">
        <v>234</v>
      </c>
      <c r="Z7" s="141" t="s">
        <v>235</v>
      </c>
      <c r="AA7" s="141" t="s">
        <v>236</v>
      </c>
      <c r="AB7" s="141" t="s">
        <v>237</v>
      </c>
      <c r="AC7" s="140">
        <v>2020</v>
      </c>
      <c r="AD7" s="140" t="s">
        <v>234</v>
      </c>
      <c r="AE7" s="141" t="s">
        <v>235</v>
      </c>
      <c r="AF7" s="141" t="s">
        <v>236</v>
      </c>
      <c r="AG7" s="141" t="s">
        <v>237</v>
      </c>
      <c r="AH7" s="140">
        <v>2020</v>
      </c>
      <c r="AI7" s="140" t="s">
        <v>234</v>
      </c>
      <c r="AJ7" s="141" t="s">
        <v>235</v>
      </c>
      <c r="AK7" s="141" t="s">
        <v>236</v>
      </c>
      <c r="AL7" s="141" t="s">
        <v>237</v>
      </c>
      <c r="AM7" s="140">
        <v>2020</v>
      </c>
      <c r="AN7" s="140" t="s">
        <v>234</v>
      </c>
      <c r="AO7" s="141" t="s">
        <v>235</v>
      </c>
      <c r="AP7" s="141" t="s">
        <v>236</v>
      </c>
      <c r="AQ7" s="141" t="s">
        <v>237</v>
      </c>
      <c r="AR7" s="140">
        <v>2020</v>
      </c>
      <c r="AS7" s="140" t="s">
        <v>234</v>
      </c>
      <c r="AT7" s="141" t="s">
        <v>235</v>
      </c>
      <c r="AU7" s="141" t="s">
        <v>236</v>
      </c>
      <c r="AV7" s="141" t="s">
        <v>237</v>
      </c>
      <c r="AW7" s="140">
        <v>2020</v>
      </c>
      <c r="AX7" s="140" t="s">
        <v>234</v>
      </c>
      <c r="AY7" s="141" t="s">
        <v>235</v>
      </c>
      <c r="AZ7" s="141" t="s">
        <v>236</v>
      </c>
      <c r="BA7" s="141" t="s">
        <v>237</v>
      </c>
      <c r="BB7" s="140">
        <v>2020</v>
      </c>
      <c r="BC7" s="140" t="s">
        <v>234</v>
      </c>
      <c r="BD7" s="141" t="s">
        <v>235</v>
      </c>
      <c r="BE7" s="141" t="s">
        <v>236</v>
      </c>
      <c r="BF7" s="141" t="s">
        <v>237</v>
      </c>
      <c r="BG7" s="140">
        <v>2020</v>
      </c>
      <c r="BH7" s="140" t="s">
        <v>234</v>
      </c>
      <c r="BI7" s="141" t="s">
        <v>235</v>
      </c>
      <c r="BJ7" s="141" t="s">
        <v>236</v>
      </c>
      <c r="BK7" s="141" t="s">
        <v>237</v>
      </c>
      <c r="BL7" s="140">
        <v>2020</v>
      </c>
      <c r="BM7" s="140" t="s">
        <v>234</v>
      </c>
      <c r="BN7" s="141" t="s">
        <v>235</v>
      </c>
      <c r="BO7" s="141" t="s">
        <v>236</v>
      </c>
      <c r="BP7" s="141" t="s">
        <v>237</v>
      </c>
      <c r="BQ7" s="140">
        <v>2020</v>
      </c>
      <c r="BR7" s="140" t="s">
        <v>234</v>
      </c>
      <c r="BS7" s="141" t="s">
        <v>235</v>
      </c>
      <c r="BT7" s="141" t="s">
        <v>236</v>
      </c>
      <c r="BU7" s="141" t="s">
        <v>237</v>
      </c>
    </row>
    <row r="8" spans="2:73">
      <c r="B8" s="142"/>
      <c r="C8" s="142"/>
      <c r="D8" s="142"/>
      <c r="E8" s="142"/>
      <c r="F8" s="143"/>
      <c r="G8" s="143"/>
      <c r="H8" s="143"/>
      <c r="I8" s="58"/>
      <c r="J8" s="144">
        <f>SUM(J9:J36)</f>
        <v>1.0000000000000002</v>
      </c>
      <c r="K8" s="145">
        <f>SUM(K9:K36)</f>
        <v>1.0000000000000002</v>
      </c>
      <c r="L8" s="144"/>
      <c r="M8" s="58"/>
      <c r="N8" s="58"/>
      <c r="O8" s="144">
        <f>SUM(O9:O36)</f>
        <v>1.0000000000000004</v>
      </c>
      <c r="P8" s="144">
        <f>SUM(P9:P36)</f>
        <v>1.0000000000000002</v>
      </c>
      <c r="Q8" s="144"/>
      <c r="R8" s="58"/>
      <c r="S8" s="58"/>
      <c r="T8" s="144">
        <f>SUM(T9:T36)</f>
        <v>1.0000000000000002</v>
      </c>
      <c r="U8" s="144">
        <f>SUM(U9:U36)</f>
        <v>1.0000000000000002</v>
      </c>
      <c r="V8" s="144"/>
      <c r="W8" s="58"/>
      <c r="X8" s="58" t="s">
        <v>351</v>
      </c>
      <c r="Y8" s="144">
        <f>SUM(Y9:Y36)</f>
        <v>0.70000000000000018</v>
      </c>
      <c r="Z8" s="144">
        <f>SUM(Z9:Z36)</f>
        <v>0.70000000000000018</v>
      </c>
      <c r="AA8" s="144"/>
      <c r="AB8" s="58"/>
      <c r="AC8" s="58"/>
      <c r="AD8" s="144">
        <f>SUM(AD9:AD36)</f>
        <v>0.70000000000000018</v>
      </c>
      <c r="AE8" s="144">
        <f>SUM(AE9:AE36)</f>
        <v>0.70000000000000018</v>
      </c>
      <c r="AF8" s="144"/>
      <c r="AG8" s="58"/>
      <c r="AH8" s="58"/>
      <c r="AI8" s="144">
        <f>SUM(AI9:AI36)</f>
        <v>0.70000000000000018</v>
      </c>
      <c r="AJ8" s="144">
        <f>SUM(AJ9:AJ36)</f>
        <v>0.70000000000000018</v>
      </c>
      <c r="AK8" s="144"/>
      <c r="AL8" s="58"/>
      <c r="AM8" s="58"/>
      <c r="AN8" s="144">
        <f>SUM(AN9:AN36)</f>
        <v>0.90000000000000013</v>
      </c>
      <c r="AO8" s="144">
        <f>SUM(AO9:AO36)</f>
        <v>0.9</v>
      </c>
      <c r="AP8" s="144"/>
      <c r="AQ8" s="58"/>
      <c r="AR8" s="58"/>
      <c r="AS8" s="144">
        <f>SUM(AS9:AS36)</f>
        <v>1</v>
      </c>
      <c r="AT8" s="144">
        <f>SUM(AT9:AT36)</f>
        <v>1</v>
      </c>
      <c r="AU8" s="144"/>
      <c r="AV8" s="58"/>
      <c r="AW8" s="58"/>
      <c r="AX8" s="144">
        <f>SUM(AX9:AX36)</f>
        <v>1.0000000000000002</v>
      </c>
      <c r="AY8" s="144">
        <f>SUM(AY9:AY36)</f>
        <v>1.0000000000000002</v>
      </c>
      <c r="AZ8" s="144"/>
      <c r="BA8" s="58"/>
      <c r="BB8" s="58"/>
      <c r="BC8" s="144">
        <f>SUM(BC9:BC36)</f>
        <v>1.0000000000000002</v>
      </c>
      <c r="BD8" s="144">
        <f>SUM(BD9:BD36)</f>
        <v>1.0000000000000002</v>
      </c>
      <c r="BE8" s="144"/>
      <c r="BF8" s="58"/>
      <c r="BG8" s="58"/>
      <c r="BH8" s="144">
        <f>SUM(BH9:BH36)</f>
        <v>1.0000000000000002</v>
      </c>
      <c r="BI8" s="144">
        <f>SUM(BI9:BI36)</f>
        <v>1.0000000000000002</v>
      </c>
      <c r="BJ8" s="144"/>
      <c r="BK8" s="58"/>
      <c r="BL8" s="58"/>
      <c r="BM8" s="144">
        <f>SUM(BM9:BM36)</f>
        <v>1</v>
      </c>
      <c r="BN8" s="144">
        <f>SUM(BN9:BN36)</f>
        <v>1.0000000000000002</v>
      </c>
      <c r="BO8" s="144"/>
      <c r="BP8" s="58"/>
      <c r="BQ8" s="58" t="s">
        <v>352</v>
      </c>
      <c r="BR8" s="144">
        <f>SUM(BR9:BR36)</f>
        <v>0.46</v>
      </c>
      <c r="BS8" s="144">
        <f>SUM(BS9:BS36)</f>
        <v>0.46</v>
      </c>
      <c r="BT8" s="144"/>
      <c r="BU8" s="58"/>
    </row>
    <row r="9" spans="2:73">
      <c r="B9" s="386" t="s">
        <v>238</v>
      </c>
      <c r="C9" s="410" t="s">
        <v>35</v>
      </c>
      <c r="D9" s="386" t="s">
        <v>239</v>
      </c>
      <c r="E9" s="130" t="s">
        <v>23</v>
      </c>
      <c r="F9" s="4"/>
      <c r="G9" s="146">
        <v>28</v>
      </c>
      <c r="H9" s="146"/>
      <c r="I9" s="147"/>
      <c r="J9" s="148">
        <v>0.1</v>
      </c>
      <c r="K9" s="148">
        <v>0.1</v>
      </c>
      <c r="L9" s="149">
        <v>37</v>
      </c>
      <c r="M9" s="149">
        <v>37.82</v>
      </c>
      <c r="N9" s="147"/>
      <c r="O9" s="148">
        <v>0.1</v>
      </c>
      <c r="P9" s="148">
        <v>0.1</v>
      </c>
      <c r="Q9" s="149">
        <v>38</v>
      </c>
      <c r="R9" s="149">
        <v>38.700000000000003</v>
      </c>
      <c r="S9" s="147"/>
      <c r="T9" s="148">
        <v>0.2</v>
      </c>
      <c r="U9" s="148">
        <v>0.1</v>
      </c>
      <c r="V9" s="149">
        <v>37</v>
      </c>
      <c r="W9" s="149">
        <v>28.54</v>
      </c>
      <c r="X9" s="147"/>
      <c r="Y9" s="148"/>
      <c r="Z9" s="148"/>
      <c r="AA9" s="150"/>
      <c r="AB9" s="149"/>
      <c r="AC9" s="147"/>
      <c r="AD9" s="148">
        <v>7.0000000000000007E-2</v>
      </c>
      <c r="AE9" s="148">
        <v>7.0000000000000007E-2</v>
      </c>
      <c r="AF9" s="150">
        <v>40</v>
      </c>
      <c r="AG9" s="149">
        <v>65.430000000000007</v>
      </c>
      <c r="AH9" s="147"/>
      <c r="AI9" s="148">
        <v>7.0000000000000007E-2</v>
      </c>
      <c r="AJ9" s="148">
        <v>7.0000000000000007E-2</v>
      </c>
      <c r="AK9" s="150">
        <v>40</v>
      </c>
      <c r="AL9" s="149">
        <v>54.19</v>
      </c>
      <c r="AM9" s="147"/>
      <c r="AN9" s="148">
        <v>0.1</v>
      </c>
      <c r="AO9" s="148">
        <v>0.15</v>
      </c>
      <c r="AP9" s="150">
        <v>37</v>
      </c>
      <c r="AQ9" s="149">
        <v>31.37</v>
      </c>
      <c r="AR9" s="147"/>
      <c r="AS9" s="148">
        <v>0.1</v>
      </c>
      <c r="AT9" s="148">
        <v>0.3</v>
      </c>
      <c r="AU9" s="150">
        <v>37</v>
      </c>
      <c r="AV9" s="149">
        <v>38.299999999999997</v>
      </c>
      <c r="AW9" s="147"/>
      <c r="AX9" s="148">
        <v>0.1</v>
      </c>
      <c r="AY9" s="148">
        <v>0.2</v>
      </c>
      <c r="AZ9" s="150">
        <v>37</v>
      </c>
      <c r="BA9" s="149">
        <v>37.43</v>
      </c>
      <c r="BB9" s="147"/>
      <c r="BC9" s="148">
        <v>0.1</v>
      </c>
      <c r="BD9" s="148">
        <v>0.25</v>
      </c>
      <c r="BE9" s="254">
        <v>41</v>
      </c>
      <c r="BF9" s="149">
        <v>45.78</v>
      </c>
      <c r="BG9" s="147">
        <v>69.5</v>
      </c>
      <c r="BH9" s="148">
        <v>0.1</v>
      </c>
      <c r="BI9" s="148">
        <v>0.25</v>
      </c>
      <c r="BJ9" s="150">
        <v>37</v>
      </c>
      <c r="BK9" s="149">
        <v>36.31</v>
      </c>
      <c r="BL9" s="147"/>
      <c r="BM9" s="148">
        <v>0.1</v>
      </c>
      <c r="BN9" s="148">
        <v>0</v>
      </c>
      <c r="BO9" s="150"/>
      <c r="BP9" s="149"/>
      <c r="BQ9" s="147"/>
      <c r="BR9" s="148"/>
      <c r="BS9" s="148"/>
      <c r="BT9" s="150"/>
      <c r="BU9" s="149"/>
    </row>
    <row r="10" spans="2:73">
      <c r="B10" s="387"/>
      <c r="C10" s="410"/>
      <c r="D10" s="388"/>
      <c r="E10" s="228" t="s">
        <v>303</v>
      </c>
      <c r="F10" s="4"/>
      <c r="G10" s="146">
        <v>0</v>
      </c>
      <c r="H10" s="146"/>
      <c r="I10" s="147"/>
      <c r="J10" s="148">
        <v>0.1</v>
      </c>
      <c r="K10" s="148">
        <v>0.1</v>
      </c>
      <c r="L10" s="254">
        <v>13</v>
      </c>
      <c r="M10" s="149">
        <v>13.95</v>
      </c>
      <c r="N10" s="147"/>
      <c r="O10" s="148">
        <v>0.1</v>
      </c>
      <c r="P10" s="148">
        <v>0.1</v>
      </c>
      <c r="Q10" s="149">
        <v>9</v>
      </c>
      <c r="R10" s="149">
        <v>13.23</v>
      </c>
      <c r="S10" s="147"/>
      <c r="T10" s="148">
        <v>0.05</v>
      </c>
      <c r="U10" s="148">
        <v>0.1</v>
      </c>
      <c r="V10" s="149">
        <v>8</v>
      </c>
      <c r="W10" s="149">
        <v>16.23</v>
      </c>
      <c r="X10" s="147"/>
      <c r="Y10" s="148"/>
      <c r="Z10" s="148"/>
      <c r="AA10" s="149"/>
      <c r="AB10" s="149"/>
      <c r="AC10" s="147"/>
      <c r="AD10" s="148">
        <v>0.05</v>
      </c>
      <c r="AE10" s="148">
        <v>0.05</v>
      </c>
      <c r="AF10" s="149">
        <v>8</v>
      </c>
      <c r="AG10" s="149">
        <v>21.51</v>
      </c>
      <c r="AH10" s="147"/>
      <c r="AI10" s="148">
        <v>0.05</v>
      </c>
      <c r="AJ10" s="148">
        <v>0.05</v>
      </c>
      <c r="AK10" s="149">
        <v>8</v>
      </c>
      <c r="AL10" s="149">
        <v>14.04</v>
      </c>
      <c r="AM10" s="147"/>
      <c r="AN10" s="148">
        <v>0.1</v>
      </c>
      <c r="AO10" s="148">
        <v>0.15</v>
      </c>
      <c r="AP10" s="149">
        <v>8</v>
      </c>
      <c r="AQ10" s="149">
        <v>8.6</v>
      </c>
      <c r="AR10" s="147"/>
      <c r="AS10" s="148">
        <v>0.1</v>
      </c>
      <c r="AT10" s="148">
        <v>0.2</v>
      </c>
      <c r="AU10" s="149">
        <v>8</v>
      </c>
      <c r="AV10" s="149">
        <v>4.03</v>
      </c>
      <c r="AW10" s="147"/>
      <c r="AX10" s="148">
        <v>0.1</v>
      </c>
      <c r="AY10" s="148">
        <v>0.15</v>
      </c>
      <c r="AZ10" s="149">
        <v>8</v>
      </c>
      <c r="BA10" s="149">
        <v>2.74</v>
      </c>
      <c r="BB10" s="147"/>
      <c r="BC10" s="148">
        <v>0.1</v>
      </c>
      <c r="BD10" s="148">
        <v>0.25</v>
      </c>
      <c r="BE10" s="254">
        <v>13</v>
      </c>
      <c r="BF10" s="149">
        <v>14.52</v>
      </c>
      <c r="BG10" s="147">
        <v>61.875</v>
      </c>
      <c r="BH10" s="148">
        <v>0.1</v>
      </c>
      <c r="BI10" s="148">
        <v>0.15</v>
      </c>
      <c r="BJ10" s="149">
        <v>8</v>
      </c>
      <c r="BK10" s="149">
        <v>11.37</v>
      </c>
      <c r="BL10" s="147"/>
      <c r="BM10" s="148">
        <v>0.1</v>
      </c>
      <c r="BN10" s="148">
        <v>0</v>
      </c>
      <c r="BO10" s="149"/>
      <c r="BP10" s="149"/>
      <c r="BQ10" s="147"/>
      <c r="BR10" s="148"/>
      <c r="BS10" s="148"/>
      <c r="BT10" s="149"/>
      <c r="BU10" s="149"/>
    </row>
    <row r="11" spans="2:73">
      <c r="B11" s="387"/>
      <c r="C11" s="410"/>
      <c r="D11" s="386" t="s">
        <v>240</v>
      </c>
      <c r="E11" s="228" t="s">
        <v>302</v>
      </c>
      <c r="F11" s="4"/>
      <c r="G11" s="146" t="s">
        <v>271</v>
      </c>
      <c r="H11" s="146"/>
      <c r="I11" s="147"/>
      <c r="J11" s="148">
        <v>0.1</v>
      </c>
      <c r="K11" s="148">
        <v>0.1</v>
      </c>
      <c r="L11" s="254">
        <v>15</v>
      </c>
      <c r="M11" s="149">
        <v>16.059999999999999</v>
      </c>
      <c r="N11" s="147"/>
      <c r="O11" s="148">
        <v>0.1</v>
      </c>
      <c r="P11" s="148">
        <v>0.1</v>
      </c>
      <c r="Q11" s="149">
        <v>11</v>
      </c>
      <c r="R11" s="149">
        <v>10.91</v>
      </c>
      <c r="S11" s="147"/>
      <c r="T11" s="148">
        <v>0</v>
      </c>
      <c r="U11" s="148">
        <v>0.1</v>
      </c>
      <c r="V11" s="254">
        <v>15</v>
      </c>
      <c r="W11" s="149">
        <v>31.24</v>
      </c>
      <c r="X11" s="147"/>
      <c r="Y11" s="148"/>
      <c r="Z11" s="148"/>
      <c r="AA11" s="149"/>
      <c r="AB11" s="149"/>
      <c r="AC11" s="147"/>
      <c r="AD11" s="148">
        <v>0.05</v>
      </c>
      <c r="AE11" s="148">
        <v>0.05</v>
      </c>
      <c r="AF11" s="149">
        <v>45</v>
      </c>
      <c r="AG11" s="149">
        <v>49.91</v>
      </c>
      <c r="AH11" s="147"/>
      <c r="AI11" s="148">
        <v>0.05</v>
      </c>
      <c r="AJ11" s="148">
        <v>0.05</v>
      </c>
      <c r="AK11" s="149">
        <v>45</v>
      </c>
      <c r="AL11" s="149">
        <v>40.770000000000003</v>
      </c>
      <c r="AM11" s="147"/>
      <c r="AN11" s="148">
        <v>0.05</v>
      </c>
      <c r="AO11" s="148">
        <v>0</v>
      </c>
      <c r="AP11" s="149"/>
      <c r="AQ11" s="149"/>
      <c r="AR11" s="147"/>
      <c r="AS11" s="148">
        <v>0.1</v>
      </c>
      <c r="AT11" s="148">
        <v>0</v>
      </c>
      <c r="AU11" s="149"/>
      <c r="AV11" s="149"/>
      <c r="AW11" s="147"/>
      <c r="AX11" s="148">
        <v>0.1</v>
      </c>
      <c r="AY11" s="148">
        <v>0</v>
      </c>
      <c r="AZ11" s="149"/>
      <c r="BA11" s="149"/>
      <c r="BB11" s="147"/>
      <c r="BC11" s="148">
        <v>0.1</v>
      </c>
      <c r="BD11" s="148">
        <v>0</v>
      </c>
      <c r="BE11" s="149"/>
      <c r="BF11" s="149"/>
      <c r="BG11" s="147">
        <v>83.5</v>
      </c>
      <c r="BH11" s="148">
        <v>0.1</v>
      </c>
      <c r="BI11" s="148">
        <v>0</v>
      </c>
      <c r="BJ11" s="149"/>
      <c r="BK11" s="149"/>
      <c r="BL11" s="147"/>
      <c r="BM11" s="148">
        <v>0.1</v>
      </c>
      <c r="BN11" s="148">
        <v>0.25</v>
      </c>
      <c r="BO11" s="149">
        <v>8</v>
      </c>
      <c r="BP11" s="149">
        <v>9.14</v>
      </c>
      <c r="BQ11" s="147"/>
      <c r="BR11" s="148"/>
      <c r="BS11" s="148"/>
      <c r="BT11" s="149"/>
      <c r="BU11" s="149"/>
    </row>
    <row r="12" spans="2:73">
      <c r="B12" s="387"/>
      <c r="C12" s="410"/>
      <c r="D12" s="388"/>
      <c r="E12" s="130" t="s">
        <v>20</v>
      </c>
      <c r="F12" s="4"/>
      <c r="G12" s="146">
        <v>55</v>
      </c>
      <c r="H12" s="146"/>
      <c r="I12" s="147"/>
      <c r="J12" s="148">
        <v>0.1</v>
      </c>
      <c r="K12" s="148">
        <v>0.1</v>
      </c>
      <c r="L12" s="254">
        <v>37</v>
      </c>
      <c r="M12" s="149">
        <v>36.96</v>
      </c>
      <c r="N12" s="147"/>
      <c r="O12" s="148">
        <v>0.1</v>
      </c>
      <c r="P12" s="148">
        <v>0.1</v>
      </c>
      <c r="Q12" s="149">
        <v>30</v>
      </c>
      <c r="R12" s="149">
        <v>29.3</v>
      </c>
      <c r="S12" s="147"/>
      <c r="T12" s="148">
        <v>0.2</v>
      </c>
      <c r="U12" s="148">
        <v>0.15</v>
      </c>
      <c r="V12" s="254">
        <v>35</v>
      </c>
      <c r="W12" s="149">
        <v>40.36</v>
      </c>
      <c r="X12" s="147"/>
      <c r="Y12" s="148"/>
      <c r="Z12" s="148"/>
      <c r="AA12" s="149"/>
      <c r="AB12" s="249"/>
      <c r="AC12" s="147"/>
      <c r="AD12" s="148">
        <v>7.0000000000000007E-2</v>
      </c>
      <c r="AE12" s="148">
        <v>7.0000000000000007E-2</v>
      </c>
      <c r="AF12" s="149">
        <v>60</v>
      </c>
      <c r="AG12" s="149">
        <v>66.069999999999993</v>
      </c>
      <c r="AH12" s="147"/>
      <c r="AI12" s="148">
        <v>7.0000000000000007E-2</v>
      </c>
      <c r="AJ12" s="148">
        <v>7.0000000000000007E-2</v>
      </c>
      <c r="AK12" s="149">
        <v>60</v>
      </c>
      <c r="AL12" s="149">
        <v>58.34</v>
      </c>
      <c r="AM12" s="147"/>
      <c r="AN12" s="148">
        <v>0.05</v>
      </c>
      <c r="AO12" s="148">
        <v>0</v>
      </c>
      <c r="AP12" s="149"/>
      <c r="AQ12" s="149"/>
      <c r="AR12" s="147"/>
      <c r="AS12" s="148">
        <v>0.1</v>
      </c>
      <c r="AT12" s="148">
        <v>0</v>
      </c>
      <c r="AU12" s="149"/>
      <c r="AV12" s="149"/>
      <c r="AW12" s="147"/>
      <c r="AX12" s="148">
        <v>0.1</v>
      </c>
      <c r="AY12" s="148">
        <v>0</v>
      </c>
      <c r="AZ12" s="149"/>
      <c r="BA12" s="149"/>
      <c r="BB12" s="147"/>
      <c r="BC12" s="148">
        <v>0.1</v>
      </c>
      <c r="BD12" s="148">
        <v>0</v>
      </c>
      <c r="BE12" s="149"/>
      <c r="BF12" s="149"/>
      <c r="BG12" s="147"/>
      <c r="BH12" s="148">
        <v>0.1</v>
      </c>
      <c r="BI12" s="148">
        <v>0</v>
      </c>
      <c r="BJ12" s="149"/>
      <c r="BK12" s="149"/>
      <c r="BL12" s="147"/>
      <c r="BM12" s="148">
        <v>0.1</v>
      </c>
      <c r="BN12" s="148">
        <v>0.25</v>
      </c>
      <c r="BO12" s="149">
        <v>5</v>
      </c>
      <c r="BP12" s="149">
        <v>6.89</v>
      </c>
      <c r="BQ12" s="147"/>
      <c r="BR12" s="148"/>
      <c r="BS12" s="148"/>
      <c r="BT12" s="149"/>
      <c r="BU12" s="149"/>
    </row>
    <row r="13" spans="2:73">
      <c r="B13" s="387"/>
      <c r="C13" s="415" t="s">
        <v>146</v>
      </c>
      <c r="D13" s="411" t="s">
        <v>241</v>
      </c>
      <c r="E13" s="152" t="s">
        <v>38</v>
      </c>
      <c r="F13" s="4"/>
      <c r="G13" s="146">
        <v>0</v>
      </c>
      <c r="H13" s="146"/>
      <c r="I13" s="148"/>
      <c r="J13" s="148">
        <v>0.1</v>
      </c>
      <c r="K13" s="148">
        <v>0.1</v>
      </c>
      <c r="L13" s="153">
        <v>0.1</v>
      </c>
      <c r="M13" s="153">
        <v>0.02</v>
      </c>
      <c r="N13" s="148"/>
      <c r="O13" s="148">
        <v>0.05</v>
      </c>
      <c r="P13" s="148">
        <v>0.1</v>
      </c>
      <c r="Q13" s="153">
        <v>0.1</v>
      </c>
      <c r="R13" s="153">
        <v>0.01</v>
      </c>
      <c r="S13" s="148"/>
      <c r="T13" s="148">
        <v>0.05</v>
      </c>
      <c r="U13" s="148">
        <v>0.1</v>
      </c>
      <c r="V13" s="153">
        <v>0.1</v>
      </c>
      <c r="W13" s="153">
        <v>0.02</v>
      </c>
      <c r="X13" s="148"/>
      <c r="Y13" s="148"/>
      <c r="Z13" s="148"/>
      <c r="AA13" s="153"/>
      <c r="AB13" s="246"/>
      <c r="AC13" s="148"/>
      <c r="AD13" s="148">
        <v>0.05</v>
      </c>
      <c r="AE13" s="148">
        <v>0.05</v>
      </c>
      <c r="AF13" s="153">
        <v>0.1</v>
      </c>
      <c r="AG13" s="153">
        <v>0.01</v>
      </c>
      <c r="AH13" s="148"/>
      <c r="AI13" s="148">
        <v>0.05</v>
      </c>
      <c r="AJ13" s="148">
        <v>0.05</v>
      </c>
      <c r="AK13" s="153">
        <v>0.1</v>
      </c>
      <c r="AL13" s="153">
        <v>0</v>
      </c>
      <c r="AM13" s="148"/>
      <c r="AN13" s="148">
        <v>0.1</v>
      </c>
      <c r="AO13" s="148">
        <v>0.15</v>
      </c>
      <c r="AP13" s="153">
        <v>0.15</v>
      </c>
      <c r="AQ13" s="153">
        <v>7.0000000000000007E-2</v>
      </c>
      <c r="AR13" s="148"/>
      <c r="AS13" s="148">
        <v>0.15</v>
      </c>
      <c r="AT13" s="148">
        <v>0.15</v>
      </c>
      <c r="AU13" s="153">
        <v>0.15</v>
      </c>
      <c r="AV13" s="153">
        <v>0.03</v>
      </c>
      <c r="AW13" s="148"/>
      <c r="AX13" s="148">
        <v>0.15</v>
      </c>
      <c r="AY13" s="148">
        <v>0.2</v>
      </c>
      <c r="AZ13" s="153">
        <v>0.15</v>
      </c>
      <c r="BA13" s="153">
        <v>0.09</v>
      </c>
      <c r="BB13" s="148"/>
      <c r="BC13" s="148">
        <v>0.15</v>
      </c>
      <c r="BD13" s="148">
        <v>0.15</v>
      </c>
      <c r="BE13" s="153">
        <v>0.15</v>
      </c>
      <c r="BF13" s="153">
        <v>0.03</v>
      </c>
      <c r="BG13" s="148"/>
      <c r="BH13" s="148">
        <v>0.1</v>
      </c>
      <c r="BI13" s="148">
        <v>0.15</v>
      </c>
      <c r="BJ13" s="153">
        <v>0.15</v>
      </c>
      <c r="BK13" s="153">
        <v>0.08</v>
      </c>
      <c r="BL13" s="148"/>
      <c r="BM13" s="148">
        <v>0.1</v>
      </c>
      <c r="BN13" s="148">
        <v>0</v>
      </c>
      <c r="BO13" s="153"/>
      <c r="BP13" s="153"/>
      <c r="BQ13" s="148"/>
      <c r="BR13" s="148"/>
      <c r="BS13" s="148"/>
      <c r="BT13" s="153"/>
      <c r="BU13" s="153"/>
    </row>
    <row r="14" spans="2:73">
      <c r="B14" s="387"/>
      <c r="C14" s="416"/>
      <c r="D14" s="411"/>
      <c r="E14" s="151" t="s">
        <v>40</v>
      </c>
      <c r="F14" s="4"/>
      <c r="G14" s="146">
        <v>0</v>
      </c>
      <c r="H14" s="146"/>
      <c r="I14" s="148"/>
      <c r="J14" s="148">
        <v>0.1</v>
      </c>
      <c r="K14" s="148">
        <v>0.1</v>
      </c>
      <c r="L14" s="153">
        <v>0.05</v>
      </c>
      <c r="M14" s="153">
        <v>0.01</v>
      </c>
      <c r="N14" s="148"/>
      <c r="O14" s="148">
        <v>0.05</v>
      </c>
      <c r="P14" s="148">
        <v>0.1</v>
      </c>
      <c r="Q14" s="153">
        <v>0.05</v>
      </c>
      <c r="R14" s="153">
        <v>0.01</v>
      </c>
      <c r="S14" s="148"/>
      <c r="T14" s="148">
        <v>0.05</v>
      </c>
      <c r="U14" s="148">
        <v>0.1</v>
      </c>
      <c r="V14" s="153">
        <v>0.05</v>
      </c>
      <c r="W14" s="153">
        <v>0</v>
      </c>
      <c r="X14" s="148"/>
      <c r="Y14" s="148"/>
      <c r="Z14" s="148"/>
      <c r="AA14" s="153"/>
      <c r="AB14" s="246"/>
      <c r="AC14" s="148"/>
      <c r="AD14" s="148">
        <v>0.05</v>
      </c>
      <c r="AE14" s="148">
        <v>0.05</v>
      </c>
      <c r="AF14" s="153">
        <v>0.05</v>
      </c>
      <c r="AG14" s="153">
        <v>0</v>
      </c>
      <c r="AH14" s="148"/>
      <c r="AI14" s="148">
        <v>0.05</v>
      </c>
      <c r="AJ14" s="148">
        <v>0.05</v>
      </c>
      <c r="AK14" s="153">
        <v>0.05</v>
      </c>
      <c r="AL14" s="153">
        <v>0</v>
      </c>
      <c r="AM14" s="148"/>
      <c r="AN14" s="148">
        <v>0.1</v>
      </c>
      <c r="AO14" s="148">
        <v>0.15</v>
      </c>
      <c r="AP14" s="153">
        <v>0.1</v>
      </c>
      <c r="AQ14" s="153">
        <v>0</v>
      </c>
      <c r="AR14" s="148"/>
      <c r="AS14" s="148">
        <v>0.1</v>
      </c>
      <c r="AT14" s="148">
        <v>0.1</v>
      </c>
      <c r="AU14" s="153">
        <v>0.1</v>
      </c>
      <c r="AV14" s="153">
        <v>0.02</v>
      </c>
      <c r="AW14" s="148"/>
      <c r="AX14" s="148">
        <v>0.1</v>
      </c>
      <c r="AY14" s="148">
        <v>0.15</v>
      </c>
      <c r="AZ14" s="153">
        <v>0.1</v>
      </c>
      <c r="BA14" s="153">
        <v>0.01</v>
      </c>
      <c r="BB14" s="148"/>
      <c r="BC14" s="148">
        <v>0.15</v>
      </c>
      <c r="BD14" s="148">
        <v>0.15</v>
      </c>
      <c r="BE14" s="153">
        <v>0.1</v>
      </c>
      <c r="BF14" s="423">
        <v>0.1</v>
      </c>
      <c r="BG14" s="148"/>
      <c r="BH14" s="148">
        <v>0.15</v>
      </c>
      <c r="BI14" s="148">
        <v>0.15</v>
      </c>
      <c r="BJ14" s="153">
        <v>0.1</v>
      </c>
      <c r="BK14" s="153">
        <v>0.01</v>
      </c>
      <c r="BL14" s="148"/>
      <c r="BM14" s="148">
        <v>0.1</v>
      </c>
      <c r="BN14" s="148">
        <v>0</v>
      </c>
      <c r="BO14" s="153"/>
      <c r="BP14" s="153"/>
      <c r="BQ14" s="148"/>
      <c r="BR14" s="148"/>
      <c r="BS14" s="148"/>
      <c r="BT14" s="153"/>
      <c r="BU14" s="153"/>
    </row>
    <row r="15" spans="2:73">
      <c r="B15" s="387"/>
      <c r="C15" s="416"/>
      <c r="D15" s="411"/>
      <c r="E15" s="151" t="s">
        <v>242</v>
      </c>
      <c r="F15" s="4"/>
      <c r="G15" s="146">
        <v>0</v>
      </c>
      <c r="H15" s="146"/>
      <c r="I15" s="148"/>
      <c r="J15" s="148">
        <v>0.1</v>
      </c>
      <c r="K15" s="148">
        <v>0.1</v>
      </c>
      <c r="L15" s="153">
        <v>0.25</v>
      </c>
      <c r="M15" s="153">
        <v>0.32</v>
      </c>
      <c r="N15" s="148"/>
      <c r="O15" s="148">
        <v>0.05</v>
      </c>
      <c r="P15" s="148">
        <v>0.05</v>
      </c>
      <c r="Q15" s="153">
        <v>0.25</v>
      </c>
      <c r="R15" s="153">
        <v>0.35</v>
      </c>
      <c r="S15" s="148"/>
      <c r="T15" s="148">
        <v>0</v>
      </c>
      <c r="U15" s="148">
        <v>0.1</v>
      </c>
      <c r="V15" s="153">
        <v>0.25</v>
      </c>
      <c r="W15" s="153">
        <v>0.54</v>
      </c>
      <c r="X15" s="148"/>
      <c r="Y15" s="148">
        <v>0.05</v>
      </c>
      <c r="Z15" s="148">
        <v>0.05</v>
      </c>
      <c r="AA15" s="153">
        <v>0.25</v>
      </c>
      <c r="AB15" s="153">
        <v>0.47</v>
      </c>
      <c r="AC15" s="148"/>
      <c r="AD15" s="148"/>
      <c r="AE15" s="148"/>
      <c r="AF15" s="153"/>
      <c r="AG15" s="153"/>
      <c r="AH15" s="148"/>
      <c r="AI15" s="148"/>
      <c r="AJ15" s="148"/>
      <c r="AK15" s="153"/>
      <c r="AL15" s="153"/>
      <c r="AM15" s="148"/>
      <c r="AN15" s="148">
        <v>0.05</v>
      </c>
      <c r="AO15" s="148">
        <v>0</v>
      </c>
      <c r="AP15" s="153"/>
      <c r="AQ15" s="153"/>
      <c r="AR15" s="148"/>
      <c r="AS15" s="148"/>
      <c r="AT15" s="148"/>
      <c r="AU15" s="153"/>
      <c r="AV15" s="153"/>
      <c r="AW15" s="148"/>
      <c r="AX15" s="148">
        <v>0</v>
      </c>
      <c r="AY15" s="148">
        <v>0</v>
      </c>
      <c r="AZ15" s="153"/>
      <c r="BA15" s="153"/>
      <c r="BB15" s="148"/>
      <c r="BC15" s="148">
        <v>0</v>
      </c>
      <c r="BD15" s="148">
        <v>0</v>
      </c>
      <c r="BE15" s="153"/>
      <c r="BF15" s="153"/>
      <c r="BG15" s="148"/>
      <c r="BH15" s="148">
        <v>0</v>
      </c>
      <c r="BI15" s="148">
        <v>0</v>
      </c>
      <c r="BJ15" s="153"/>
      <c r="BK15" s="153"/>
      <c r="BL15" s="148"/>
      <c r="BM15" s="148"/>
      <c r="BN15" s="148"/>
      <c r="BO15" s="153"/>
      <c r="BP15" s="153"/>
      <c r="BQ15" s="148"/>
      <c r="BR15" s="148">
        <v>0.02</v>
      </c>
      <c r="BS15" s="148">
        <v>0.05</v>
      </c>
      <c r="BT15" s="153">
        <v>0.25</v>
      </c>
      <c r="BU15" s="153">
        <v>0.31</v>
      </c>
    </row>
    <row r="16" spans="2:73">
      <c r="B16" s="387"/>
      <c r="C16" s="416"/>
      <c r="D16" s="154" t="s">
        <v>243</v>
      </c>
      <c r="E16" s="155" t="s">
        <v>244</v>
      </c>
      <c r="F16" s="4"/>
      <c r="G16" s="146">
        <v>0.95</v>
      </c>
      <c r="H16" s="146"/>
      <c r="I16" s="148"/>
      <c r="J16" s="148">
        <v>0</v>
      </c>
      <c r="K16" s="148">
        <v>0</v>
      </c>
      <c r="L16" s="153"/>
      <c r="M16" s="153"/>
      <c r="N16" s="148"/>
      <c r="O16" s="148">
        <v>0</v>
      </c>
      <c r="P16" s="148">
        <v>0</v>
      </c>
      <c r="Q16" s="153"/>
      <c r="R16" s="153"/>
      <c r="S16" s="148"/>
      <c r="T16" s="148">
        <v>0.1</v>
      </c>
      <c r="U16" s="148">
        <v>0</v>
      </c>
      <c r="V16" s="153"/>
      <c r="W16" s="153"/>
      <c r="X16" s="148"/>
      <c r="Y16" s="148"/>
      <c r="Z16" s="148"/>
      <c r="AA16" s="153"/>
      <c r="AB16" s="246"/>
      <c r="AC16" s="148"/>
      <c r="AD16" s="148">
        <v>0</v>
      </c>
      <c r="AE16" s="148">
        <v>0</v>
      </c>
      <c r="AF16" s="153"/>
      <c r="AG16" s="153"/>
      <c r="AH16" s="148"/>
      <c r="AI16" s="148">
        <v>0</v>
      </c>
      <c r="AJ16" s="148">
        <v>0</v>
      </c>
      <c r="AK16" s="153"/>
      <c r="AL16" s="153"/>
      <c r="AM16" s="148"/>
      <c r="AN16" s="148"/>
      <c r="AO16" s="148"/>
      <c r="AP16" s="153"/>
      <c r="AQ16" s="153"/>
      <c r="AR16" s="148"/>
      <c r="AS16" s="148"/>
      <c r="AT16" s="148"/>
      <c r="AU16" s="153"/>
      <c r="AV16" s="153"/>
      <c r="AW16" s="148"/>
      <c r="AX16" s="148"/>
      <c r="AY16" s="148"/>
      <c r="AZ16" s="153"/>
      <c r="BA16" s="153"/>
      <c r="BB16" s="148"/>
      <c r="BC16" s="148"/>
      <c r="BD16" s="148"/>
      <c r="BE16" s="153"/>
      <c r="BF16" s="153"/>
      <c r="BG16" s="148"/>
      <c r="BH16" s="148"/>
      <c r="BI16" s="148"/>
      <c r="BJ16" s="153"/>
      <c r="BK16" s="153"/>
      <c r="BL16" s="148"/>
      <c r="BM16" s="148"/>
      <c r="BN16" s="148"/>
      <c r="BO16" s="153"/>
      <c r="BP16" s="153"/>
      <c r="BQ16" s="148"/>
      <c r="BR16" s="148"/>
      <c r="BS16" s="148"/>
      <c r="BT16" s="153"/>
      <c r="BU16" s="153"/>
    </row>
    <row r="17" spans="2:73">
      <c r="B17" s="387"/>
      <c r="C17" s="416"/>
      <c r="D17" s="154"/>
      <c r="E17" s="186" t="s">
        <v>279</v>
      </c>
      <c r="F17" s="4"/>
      <c r="G17" s="146"/>
      <c r="H17" s="146"/>
      <c r="I17" s="148"/>
      <c r="J17" s="148"/>
      <c r="K17" s="148"/>
      <c r="L17" s="153"/>
      <c r="M17" s="153"/>
      <c r="N17" s="148"/>
      <c r="O17" s="148"/>
      <c r="P17" s="148"/>
      <c r="Q17" s="153"/>
      <c r="R17" s="153"/>
      <c r="S17" s="148"/>
      <c r="T17" s="148"/>
      <c r="U17" s="148"/>
      <c r="V17" s="153"/>
      <c r="W17" s="153"/>
      <c r="X17" s="148"/>
      <c r="Y17" s="148"/>
      <c r="Z17" s="148"/>
      <c r="AA17" s="153"/>
      <c r="AB17" s="246"/>
      <c r="AC17" s="148"/>
      <c r="AD17" s="148">
        <v>0</v>
      </c>
      <c r="AE17" s="148">
        <v>0</v>
      </c>
      <c r="AF17" s="153"/>
      <c r="AG17" s="153"/>
      <c r="AH17" s="148"/>
      <c r="AI17" s="148">
        <v>0</v>
      </c>
      <c r="AJ17" s="148">
        <v>0</v>
      </c>
      <c r="AK17" s="153"/>
      <c r="AL17" s="153"/>
      <c r="AM17" s="148"/>
      <c r="AN17" s="148">
        <v>0</v>
      </c>
      <c r="AO17" s="148">
        <v>0</v>
      </c>
      <c r="AP17" s="153"/>
      <c r="AQ17" s="153"/>
      <c r="AR17" s="148"/>
      <c r="AS17" s="148"/>
      <c r="AT17" s="148"/>
      <c r="AU17" s="153"/>
      <c r="AV17" s="153"/>
      <c r="AW17" s="148"/>
      <c r="AX17" s="148">
        <v>0</v>
      </c>
      <c r="AY17" s="148">
        <v>0</v>
      </c>
      <c r="AZ17" s="153"/>
      <c r="BA17" s="153"/>
      <c r="BB17" s="148"/>
      <c r="BC17" s="148">
        <v>0</v>
      </c>
      <c r="BD17" s="148">
        <v>0</v>
      </c>
      <c r="BE17" s="153"/>
      <c r="BF17" s="153"/>
      <c r="BG17" s="148"/>
      <c r="BH17" s="148"/>
      <c r="BI17" s="148"/>
      <c r="BJ17" s="153"/>
      <c r="BK17" s="153"/>
      <c r="BL17" s="148"/>
      <c r="BM17" s="148">
        <v>0.1</v>
      </c>
      <c r="BN17" s="148">
        <v>0.15</v>
      </c>
      <c r="BO17" s="153">
        <v>0.1</v>
      </c>
      <c r="BP17" s="153">
        <v>0.15</v>
      </c>
      <c r="BQ17" s="148"/>
      <c r="BR17" s="148"/>
      <c r="BS17" s="148"/>
      <c r="BT17" s="153"/>
      <c r="BU17" s="153"/>
    </row>
    <row r="18" spans="2:73">
      <c r="B18" s="388"/>
      <c r="C18" s="417"/>
      <c r="D18" s="154"/>
      <c r="E18" s="186" t="s">
        <v>42</v>
      </c>
      <c r="F18" s="4"/>
      <c r="G18" s="146"/>
      <c r="H18" s="146"/>
      <c r="I18" s="148"/>
      <c r="J18" s="148">
        <v>0.05</v>
      </c>
      <c r="K18" s="148">
        <v>0.05</v>
      </c>
      <c r="L18" s="153">
        <v>0.05</v>
      </c>
      <c r="M18" s="423">
        <v>0.05</v>
      </c>
      <c r="N18" s="148"/>
      <c r="O18" s="148">
        <v>0.05</v>
      </c>
      <c r="P18" s="148">
        <v>0.05</v>
      </c>
      <c r="Q18" s="153">
        <v>0.05</v>
      </c>
      <c r="R18" s="153">
        <v>0</v>
      </c>
      <c r="S18" s="148"/>
      <c r="T18" s="148"/>
      <c r="U18" s="148">
        <v>0.05</v>
      </c>
      <c r="V18" s="153">
        <v>0.05</v>
      </c>
      <c r="W18" s="423">
        <v>0.05</v>
      </c>
      <c r="X18" s="148"/>
      <c r="Y18" s="148"/>
      <c r="Z18" s="148"/>
      <c r="AA18" s="153"/>
      <c r="AB18" s="246"/>
      <c r="AC18" s="148"/>
      <c r="AD18" s="148">
        <v>0.06</v>
      </c>
      <c r="AE18" s="148">
        <v>0.06</v>
      </c>
      <c r="AF18" s="153">
        <v>0.05</v>
      </c>
      <c r="AG18" s="153">
        <v>0.04</v>
      </c>
      <c r="AH18" s="148"/>
      <c r="AI18" s="148">
        <v>0.06</v>
      </c>
      <c r="AJ18" s="148">
        <v>0.06</v>
      </c>
      <c r="AK18" s="153">
        <v>0.05</v>
      </c>
      <c r="AL18" s="153">
        <v>0.03</v>
      </c>
      <c r="AM18" s="148"/>
      <c r="AN18" s="148">
        <v>0.05</v>
      </c>
      <c r="AO18" s="148">
        <v>0</v>
      </c>
      <c r="AP18" s="153"/>
      <c r="AQ18" s="153"/>
      <c r="AR18" s="148"/>
      <c r="AS18" s="148">
        <v>0.1</v>
      </c>
      <c r="AT18" s="148">
        <v>0</v>
      </c>
      <c r="AU18" s="153"/>
      <c r="AV18" s="153"/>
      <c r="AW18" s="148"/>
      <c r="AX18" s="148">
        <v>0.05</v>
      </c>
      <c r="AY18" s="148">
        <v>0</v>
      </c>
      <c r="AZ18" s="153"/>
      <c r="BA18" s="153"/>
      <c r="BB18" s="148"/>
      <c r="BC18" s="148">
        <v>0.1</v>
      </c>
      <c r="BD18" s="148">
        <v>0</v>
      </c>
      <c r="BE18" s="153"/>
      <c r="BF18" s="153"/>
      <c r="BG18" s="148"/>
      <c r="BH18" s="148">
        <v>0.05</v>
      </c>
      <c r="BI18" s="148">
        <v>0</v>
      </c>
      <c r="BJ18" s="153"/>
      <c r="BK18" s="153"/>
      <c r="BL18" s="148"/>
      <c r="BM18" s="148">
        <v>0.1</v>
      </c>
      <c r="BN18" s="148">
        <v>0.15</v>
      </c>
      <c r="BO18" s="153">
        <v>0.05</v>
      </c>
      <c r="BP18" s="153">
        <v>0</v>
      </c>
      <c r="BQ18" s="148"/>
      <c r="BR18" s="148"/>
      <c r="BS18" s="148"/>
      <c r="BT18" s="153"/>
      <c r="BU18" s="153"/>
    </row>
    <row r="19" spans="2:73">
      <c r="B19" s="397" t="s">
        <v>245</v>
      </c>
      <c r="C19" s="156" t="s">
        <v>246</v>
      </c>
      <c r="D19" s="157" t="s">
        <v>247</v>
      </c>
      <c r="E19" s="14" t="s">
        <v>48</v>
      </c>
      <c r="F19" s="4"/>
      <c r="G19" s="146">
        <v>0.95</v>
      </c>
      <c r="H19" s="146"/>
      <c r="I19" s="148"/>
      <c r="J19" s="148">
        <v>0</v>
      </c>
      <c r="K19" s="148">
        <v>0</v>
      </c>
      <c r="L19" s="153"/>
      <c r="M19" s="153"/>
      <c r="N19" s="148"/>
      <c r="O19" s="148">
        <v>0</v>
      </c>
      <c r="P19" s="148">
        <v>0</v>
      </c>
      <c r="Q19" s="153"/>
      <c r="R19" s="153"/>
      <c r="S19" s="148"/>
      <c r="T19" s="148">
        <v>0</v>
      </c>
      <c r="U19" s="158"/>
      <c r="V19" s="159"/>
      <c r="W19" s="153"/>
      <c r="X19" s="148"/>
      <c r="Y19" s="148">
        <v>0.05</v>
      </c>
      <c r="Z19" s="148">
        <v>0.06</v>
      </c>
      <c r="AA19" s="153">
        <v>0.9</v>
      </c>
      <c r="AB19" s="153">
        <v>1</v>
      </c>
      <c r="AC19" s="148"/>
      <c r="AD19" s="158"/>
      <c r="AE19" s="158"/>
      <c r="AF19" s="153"/>
      <c r="AG19" s="153"/>
      <c r="AH19" s="148"/>
      <c r="AI19" s="158"/>
      <c r="AJ19" s="158"/>
      <c r="AK19" s="153"/>
      <c r="AL19" s="153"/>
      <c r="AM19" s="148"/>
      <c r="AN19" s="158"/>
      <c r="AO19" s="158"/>
      <c r="AP19" s="153"/>
      <c r="AQ19" s="153"/>
      <c r="AR19" s="148"/>
      <c r="AS19" s="158">
        <v>0</v>
      </c>
      <c r="AT19" s="158">
        <v>0</v>
      </c>
      <c r="AU19" s="153"/>
      <c r="AV19" s="153"/>
      <c r="AW19" s="148"/>
      <c r="AX19" s="158">
        <v>0</v>
      </c>
      <c r="AY19" s="158">
        <v>0</v>
      </c>
      <c r="AZ19" s="153"/>
      <c r="BA19" s="153"/>
      <c r="BB19" s="148"/>
      <c r="BC19" s="158">
        <v>0</v>
      </c>
      <c r="BD19" s="158">
        <v>0</v>
      </c>
      <c r="BE19" s="153"/>
      <c r="BF19" s="153"/>
      <c r="BG19" s="148"/>
      <c r="BH19" s="158"/>
      <c r="BI19" s="158"/>
      <c r="BJ19" s="153"/>
      <c r="BK19" s="153"/>
      <c r="BL19" s="148"/>
      <c r="BM19" s="158"/>
      <c r="BN19" s="158"/>
      <c r="BO19" s="153"/>
      <c r="BP19" s="153"/>
      <c r="BQ19" s="148"/>
      <c r="BR19" s="158">
        <v>0.02</v>
      </c>
      <c r="BS19" s="158">
        <v>0.03</v>
      </c>
      <c r="BT19" s="253">
        <v>0.9</v>
      </c>
      <c r="BU19" s="153">
        <v>1</v>
      </c>
    </row>
    <row r="20" spans="2:73">
      <c r="B20" s="398"/>
      <c r="C20" s="412" t="s">
        <v>35</v>
      </c>
      <c r="D20" s="400" t="s">
        <v>248</v>
      </c>
      <c r="E20" s="14" t="s">
        <v>249</v>
      </c>
      <c r="F20" s="4"/>
      <c r="G20" s="146">
        <v>28</v>
      </c>
      <c r="H20" s="146"/>
      <c r="I20" s="147"/>
      <c r="J20" s="148">
        <v>0</v>
      </c>
      <c r="K20" s="148">
        <v>0</v>
      </c>
      <c r="L20" s="149"/>
      <c r="M20" s="149"/>
      <c r="N20" s="147"/>
      <c r="O20" s="148">
        <v>0.05</v>
      </c>
      <c r="P20" s="148">
        <v>0</v>
      </c>
      <c r="Q20" s="149"/>
      <c r="R20" s="149"/>
      <c r="S20" s="147"/>
      <c r="T20" s="148">
        <v>0</v>
      </c>
      <c r="U20" s="158"/>
      <c r="V20" s="193"/>
      <c r="W20" s="149"/>
      <c r="X20" s="147"/>
      <c r="Y20" s="148">
        <v>0.05</v>
      </c>
      <c r="Z20" s="148">
        <v>0.06</v>
      </c>
      <c r="AA20" s="254">
        <v>35</v>
      </c>
      <c r="AB20" s="249">
        <v>37.01</v>
      </c>
      <c r="AC20" s="147"/>
      <c r="AD20" s="158"/>
      <c r="AE20" s="158"/>
      <c r="AF20" s="149"/>
      <c r="AG20" s="149"/>
      <c r="AH20" s="147"/>
      <c r="AI20" s="158"/>
      <c r="AJ20" s="158"/>
      <c r="AK20" s="149"/>
      <c r="AL20" s="149"/>
      <c r="AM20" s="147"/>
      <c r="AN20" s="158"/>
      <c r="AO20" s="158"/>
      <c r="AP20" s="149"/>
      <c r="AQ20" s="149"/>
      <c r="AR20" s="147"/>
      <c r="AS20" s="158">
        <v>0</v>
      </c>
      <c r="AT20" s="158">
        <v>0</v>
      </c>
      <c r="AU20" s="149"/>
      <c r="AV20" s="149"/>
      <c r="AW20" s="147"/>
      <c r="AX20" s="158">
        <v>0</v>
      </c>
      <c r="AY20" s="158">
        <v>0</v>
      </c>
      <c r="AZ20" s="149"/>
      <c r="BA20" s="149"/>
      <c r="BB20" s="147"/>
      <c r="BC20" s="158">
        <v>0</v>
      </c>
      <c r="BD20" s="158">
        <v>0</v>
      </c>
      <c r="BE20" s="149"/>
      <c r="BF20" s="149"/>
      <c r="BG20" s="147"/>
      <c r="BH20" s="158"/>
      <c r="BI20" s="158"/>
      <c r="BJ20" s="149"/>
      <c r="BK20" s="149"/>
      <c r="BL20" s="147"/>
      <c r="BM20" s="158"/>
      <c r="BN20" s="158"/>
      <c r="BO20" s="149"/>
      <c r="BP20" s="149"/>
      <c r="BQ20" s="147"/>
      <c r="BR20" s="158">
        <v>0.02</v>
      </c>
      <c r="BS20" s="158">
        <v>0.04</v>
      </c>
      <c r="BT20" s="254">
        <v>30</v>
      </c>
      <c r="BU20" s="149">
        <v>29.88</v>
      </c>
    </row>
    <row r="21" spans="2:73">
      <c r="B21" s="398"/>
      <c r="C21" s="413"/>
      <c r="D21" s="401"/>
      <c r="E21" s="230" t="s">
        <v>312</v>
      </c>
      <c r="F21" s="162"/>
      <c r="G21" s="163"/>
      <c r="H21" s="146"/>
      <c r="I21" s="148"/>
      <c r="J21" s="148"/>
      <c r="K21" s="148"/>
      <c r="L21" s="153"/>
      <c r="M21" s="153"/>
      <c r="N21" s="148"/>
      <c r="O21" s="148"/>
      <c r="P21" s="148"/>
      <c r="Q21" s="153"/>
      <c r="R21" s="153"/>
      <c r="S21" s="148"/>
      <c r="T21" s="148"/>
      <c r="U21" s="158"/>
      <c r="V21" s="194"/>
      <c r="W21" s="153"/>
      <c r="X21" s="148"/>
      <c r="Y21" s="148">
        <v>0.05</v>
      </c>
      <c r="Z21" s="148">
        <v>0.06</v>
      </c>
      <c r="AA21" s="254">
        <v>7</v>
      </c>
      <c r="AB21" s="246">
        <v>7.49</v>
      </c>
      <c r="AC21" s="148"/>
      <c r="AD21" s="158"/>
      <c r="AE21" s="158"/>
      <c r="AF21" s="153"/>
      <c r="AG21" s="153"/>
      <c r="AH21" s="148"/>
      <c r="AI21" s="158"/>
      <c r="AJ21" s="158"/>
      <c r="AK21" s="153"/>
      <c r="AL21" s="153"/>
      <c r="AM21" s="148"/>
      <c r="AN21" s="158"/>
      <c r="AO21" s="158"/>
      <c r="AP21" s="153"/>
      <c r="AQ21" s="153"/>
      <c r="AR21" s="148"/>
      <c r="AS21" s="158"/>
      <c r="AT21" s="158"/>
      <c r="AU21" s="153"/>
      <c r="AV21" s="153"/>
      <c r="AW21" s="148"/>
      <c r="AX21" s="158"/>
      <c r="AY21" s="158"/>
      <c r="AZ21" s="153"/>
      <c r="BA21" s="153"/>
      <c r="BB21" s="148"/>
      <c r="BC21" s="158"/>
      <c r="BD21" s="158"/>
      <c r="BE21" s="153"/>
      <c r="BF21" s="153"/>
      <c r="BG21" s="148"/>
      <c r="BH21" s="158"/>
      <c r="BI21" s="158"/>
      <c r="BJ21" s="153"/>
      <c r="BK21" s="153"/>
      <c r="BL21" s="148"/>
      <c r="BM21" s="158"/>
      <c r="BN21" s="158"/>
      <c r="BO21" s="149"/>
      <c r="BP21" s="149"/>
      <c r="BQ21" s="148"/>
      <c r="BR21" s="158">
        <v>0.02</v>
      </c>
      <c r="BS21" s="158">
        <v>0.04</v>
      </c>
      <c r="BT21" s="254">
        <v>5</v>
      </c>
      <c r="BU21" s="246">
        <v>5</v>
      </c>
    </row>
    <row r="22" spans="2:73">
      <c r="B22" s="398"/>
      <c r="C22" s="413"/>
      <c r="D22" s="400" t="s">
        <v>250</v>
      </c>
      <c r="E22" s="14" t="s">
        <v>251</v>
      </c>
      <c r="F22" s="4"/>
      <c r="G22" s="146">
        <v>55</v>
      </c>
      <c r="H22" s="146"/>
      <c r="I22" s="147"/>
      <c r="J22" s="148">
        <v>0</v>
      </c>
      <c r="K22" s="148">
        <v>0</v>
      </c>
      <c r="L22" s="149"/>
      <c r="M22" s="149"/>
      <c r="N22" s="147"/>
      <c r="O22" s="148">
        <v>0</v>
      </c>
      <c r="P22" s="148">
        <v>0</v>
      </c>
      <c r="Q22" s="149"/>
      <c r="R22" s="149"/>
      <c r="S22" s="147"/>
      <c r="T22" s="148">
        <v>0</v>
      </c>
      <c r="U22" s="158"/>
      <c r="V22" s="193"/>
      <c r="W22" s="149"/>
      <c r="X22" s="147"/>
      <c r="Y22" s="148">
        <v>0.05</v>
      </c>
      <c r="Z22" s="148">
        <v>0.06</v>
      </c>
      <c r="AA22" s="149">
        <v>28</v>
      </c>
      <c r="AB22" s="249">
        <v>36.72</v>
      </c>
      <c r="AC22" s="147"/>
      <c r="AD22" s="158"/>
      <c r="AE22" s="158"/>
      <c r="AF22" s="149"/>
      <c r="AG22" s="149"/>
      <c r="AH22" s="147"/>
      <c r="AI22" s="158"/>
      <c r="AJ22" s="158"/>
      <c r="AK22" s="149"/>
      <c r="AL22" s="149"/>
      <c r="AM22" s="147"/>
      <c r="AN22" s="158"/>
      <c r="AO22" s="158"/>
      <c r="AP22" s="149"/>
      <c r="AQ22" s="149"/>
      <c r="AR22" s="147"/>
      <c r="AS22" s="158">
        <v>0</v>
      </c>
      <c r="AT22" s="158">
        <v>0</v>
      </c>
      <c r="AU22" s="149"/>
      <c r="AV22" s="149"/>
      <c r="AW22" s="147"/>
      <c r="AX22" s="158">
        <v>0</v>
      </c>
      <c r="AY22" s="158">
        <v>0</v>
      </c>
      <c r="AZ22" s="149"/>
      <c r="BA22" s="149"/>
      <c r="BB22" s="147"/>
      <c r="BC22" s="158">
        <v>0</v>
      </c>
      <c r="BD22" s="158">
        <v>0</v>
      </c>
      <c r="BE22" s="149"/>
      <c r="BF22" s="149"/>
      <c r="BG22" s="147" t="s">
        <v>278</v>
      </c>
      <c r="BH22" s="158"/>
      <c r="BI22" s="158"/>
      <c r="BJ22" s="149"/>
      <c r="BK22" s="149"/>
      <c r="BL22" s="147"/>
      <c r="BM22" s="158"/>
      <c r="BN22" s="158"/>
      <c r="BO22" s="149"/>
      <c r="BP22" s="149"/>
      <c r="BQ22" s="147"/>
      <c r="BR22" s="158">
        <v>0.02</v>
      </c>
      <c r="BS22" s="158">
        <v>0</v>
      </c>
      <c r="BT22" s="149"/>
      <c r="BU22" s="149"/>
    </row>
    <row r="23" spans="2:73">
      <c r="B23" s="398"/>
      <c r="C23" s="414"/>
      <c r="D23" s="401"/>
      <c r="E23" s="230" t="s">
        <v>304</v>
      </c>
      <c r="F23" s="162"/>
      <c r="G23" s="163">
        <v>0.95</v>
      </c>
      <c r="H23" s="146"/>
      <c r="I23" s="148"/>
      <c r="J23" s="148">
        <v>0</v>
      </c>
      <c r="K23" s="148">
        <v>0</v>
      </c>
      <c r="L23" s="153"/>
      <c r="M23" s="153"/>
      <c r="N23" s="148"/>
      <c r="O23" s="148">
        <v>0</v>
      </c>
      <c r="P23" s="148">
        <v>0</v>
      </c>
      <c r="Q23" s="153"/>
      <c r="R23" s="153"/>
      <c r="S23" s="148"/>
      <c r="T23" s="148">
        <v>0</v>
      </c>
      <c r="U23" s="158"/>
      <c r="V23" s="194"/>
      <c r="W23" s="153"/>
      <c r="X23" s="148"/>
      <c r="Y23" s="148">
        <v>0.05</v>
      </c>
      <c r="Z23" s="148">
        <v>0.06</v>
      </c>
      <c r="AA23" s="149">
        <v>10</v>
      </c>
      <c r="AB23" s="246">
        <v>13.53</v>
      </c>
      <c r="AC23" s="148"/>
      <c r="AD23" s="158"/>
      <c r="AE23" s="158"/>
      <c r="AF23" s="153"/>
      <c r="AG23" s="153"/>
      <c r="AH23" s="148"/>
      <c r="AI23" s="158"/>
      <c r="AJ23" s="158"/>
      <c r="AK23" s="153"/>
      <c r="AL23" s="153"/>
      <c r="AM23" s="148"/>
      <c r="AN23" s="158"/>
      <c r="AO23" s="158"/>
      <c r="AP23" s="153"/>
      <c r="AQ23" s="153"/>
      <c r="AR23" s="148"/>
      <c r="AS23" s="158">
        <v>0</v>
      </c>
      <c r="AT23" s="158">
        <v>0</v>
      </c>
      <c r="AU23" s="153"/>
      <c r="AV23" s="153"/>
      <c r="AW23" s="148"/>
      <c r="AX23" s="158">
        <v>0</v>
      </c>
      <c r="AY23" s="158">
        <v>0</v>
      </c>
      <c r="AZ23" s="153"/>
      <c r="BA23" s="153"/>
      <c r="BB23" s="148"/>
      <c r="BC23" s="158">
        <v>0</v>
      </c>
      <c r="BD23" s="158">
        <v>0</v>
      </c>
      <c r="BE23" s="153"/>
      <c r="BF23" s="153"/>
      <c r="BG23" s="148"/>
      <c r="BH23" s="158"/>
      <c r="BI23" s="158"/>
      <c r="BJ23" s="153"/>
      <c r="BK23" s="153"/>
      <c r="BL23" s="148"/>
      <c r="BM23" s="158"/>
      <c r="BN23" s="158"/>
      <c r="BO23" s="153"/>
      <c r="BP23" s="191"/>
      <c r="BQ23" s="148"/>
      <c r="BR23" s="158">
        <v>0.02</v>
      </c>
      <c r="BS23" s="158">
        <v>0</v>
      </c>
      <c r="BT23" s="149"/>
      <c r="BU23" s="153"/>
    </row>
    <row r="24" spans="2:73">
      <c r="B24" s="398"/>
      <c r="C24" s="412" t="s">
        <v>146</v>
      </c>
      <c r="D24" s="400" t="s">
        <v>252</v>
      </c>
      <c r="E24" s="252" t="s">
        <v>253</v>
      </c>
      <c r="F24" s="162"/>
      <c r="G24" s="163">
        <v>0.95</v>
      </c>
      <c r="H24" s="146"/>
      <c r="I24" s="148"/>
      <c r="J24" s="148">
        <v>0</v>
      </c>
      <c r="K24" s="148">
        <v>0</v>
      </c>
      <c r="L24" s="153"/>
      <c r="M24" s="153"/>
      <c r="N24" s="148"/>
      <c r="O24" s="148">
        <v>0</v>
      </c>
      <c r="P24" s="148">
        <v>0</v>
      </c>
      <c r="Q24" s="153"/>
      <c r="R24" s="153"/>
      <c r="S24" s="148"/>
      <c r="T24" s="148">
        <v>0</v>
      </c>
      <c r="U24" s="158"/>
      <c r="V24" s="194"/>
      <c r="W24" s="153"/>
      <c r="X24" s="148"/>
      <c r="Y24" s="148">
        <v>0</v>
      </c>
      <c r="Z24" s="148">
        <v>0</v>
      </c>
      <c r="AA24" s="153"/>
      <c r="AB24" s="246"/>
      <c r="AC24" s="148"/>
      <c r="AD24" s="158"/>
      <c r="AE24" s="158"/>
      <c r="AF24" s="153"/>
      <c r="AG24" s="153"/>
      <c r="AH24" s="148"/>
      <c r="AI24" s="148"/>
      <c r="AJ24" s="148"/>
      <c r="AK24" s="153"/>
      <c r="AL24" s="153"/>
      <c r="AM24" s="148"/>
      <c r="AN24" s="148"/>
      <c r="AO24" s="148"/>
      <c r="AP24" s="153"/>
      <c r="AQ24" s="153"/>
      <c r="AR24" s="148"/>
      <c r="AS24" s="148">
        <v>0</v>
      </c>
      <c r="AT24" s="148">
        <v>0</v>
      </c>
      <c r="AU24" s="153"/>
      <c r="AV24" s="153"/>
      <c r="AW24" s="148"/>
      <c r="AX24" s="148">
        <v>0</v>
      </c>
      <c r="AY24" s="148">
        <v>0</v>
      </c>
      <c r="AZ24" s="153"/>
      <c r="BA24" s="153"/>
      <c r="BB24" s="148"/>
      <c r="BC24" s="148">
        <v>0</v>
      </c>
      <c r="BD24" s="148">
        <v>0</v>
      </c>
      <c r="BE24" s="153"/>
      <c r="BF24" s="153"/>
      <c r="BG24" s="148"/>
      <c r="BH24" s="148"/>
      <c r="BI24" s="148"/>
      <c r="BJ24" s="153"/>
      <c r="BK24" s="153"/>
      <c r="BL24" s="148"/>
      <c r="BM24" s="148"/>
      <c r="BN24" s="148"/>
      <c r="BO24" s="153"/>
      <c r="BP24" s="153"/>
      <c r="BQ24" s="148"/>
      <c r="BR24" s="148"/>
      <c r="BS24" s="148"/>
      <c r="BT24" s="153"/>
      <c r="BU24" s="153"/>
    </row>
    <row r="25" spans="2:73">
      <c r="B25" s="398"/>
      <c r="C25" s="414"/>
      <c r="D25" s="401"/>
      <c r="E25" s="252" t="s">
        <v>254</v>
      </c>
      <c r="F25" s="162"/>
      <c r="G25" s="163">
        <v>0</v>
      </c>
      <c r="H25" s="146"/>
      <c r="I25" s="148"/>
      <c r="J25" s="148">
        <v>0</v>
      </c>
      <c r="K25" s="148">
        <v>0</v>
      </c>
      <c r="L25" s="153"/>
      <c r="M25" s="153"/>
      <c r="N25" s="148"/>
      <c r="O25" s="148">
        <v>0</v>
      </c>
      <c r="P25" s="148">
        <v>0</v>
      </c>
      <c r="Q25" s="153"/>
      <c r="R25" s="153"/>
      <c r="S25" s="148"/>
      <c r="T25" s="148">
        <v>0</v>
      </c>
      <c r="U25" s="148"/>
      <c r="V25" s="191"/>
      <c r="W25" s="153"/>
      <c r="X25" s="148"/>
      <c r="Y25" s="148">
        <v>0.05</v>
      </c>
      <c r="Z25" s="148">
        <v>0.05</v>
      </c>
      <c r="AA25" s="153">
        <v>0.05</v>
      </c>
      <c r="AB25" s="153">
        <v>0</v>
      </c>
      <c r="AC25" s="148"/>
      <c r="AD25" s="148"/>
      <c r="AE25" s="148"/>
      <c r="AF25" s="153"/>
      <c r="AG25" s="153"/>
      <c r="AH25" s="148"/>
      <c r="AI25" s="148"/>
      <c r="AJ25" s="148"/>
      <c r="AK25" s="153"/>
      <c r="AL25" s="153"/>
      <c r="AM25" s="148"/>
      <c r="AN25" s="148"/>
      <c r="AO25" s="148"/>
      <c r="AP25" s="153"/>
      <c r="AQ25" s="153"/>
      <c r="AR25" s="148"/>
      <c r="AS25" s="148">
        <v>0</v>
      </c>
      <c r="AT25" s="148">
        <v>0</v>
      </c>
      <c r="AU25" s="153"/>
      <c r="AV25" s="153"/>
      <c r="AW25" s="148"/>
      <c r="AX25" s="148">
        <v>0</v>
      </c>
      <c r="AY25" s="148">
        <v>0</v>
      </c>
      <c r="AZ25" s="153"/>
      <c r="BA25" s="153"/>
      <c r="BB25" s="148"/>
      <c r="BC25" s="148">
        <v>0</v>
      </c>
      <c r="BD25" s="148">
        <v>0</v>
      </c>
      <c r="BE25" s="153"/>
      <c r="BF25" s="153"/>
      <c r="BG25" s="148"/>
      <c r="BH25" s="148"/>
      <c r="BI25" s="148"/>
      <c r="BJ25" s="153"/>
      <c r="BK25" s="153"/>
      <c r="BL25" s="148"/>
      <c r="BM25" s="148"/>
      <c r="BN25" s="148"/>
      <c r="BO25" s="153"/>
      <c r="BP25" s="153"/>
      <c r="BQ25" s="148"/>
      <c r="BR25" s="148">
        <v>0.02</v>
      </c>
      <c r="BS25" s="148">
        <v>0</v>
      </c>
      <c r="BT25" s="153"/>
      <c r="BU25" s="153"/>
    </row>
    <row r="26" spans="2:73">
      <c r="B26" s="398"/>
      <c r="C26" s="156" t="s">
        <v>255</v>
      </c>
      <c r="D26" s="157" t="s">
        <v>256</v>
      </c>
      <c r="E26" s="157" t="s">
        <v>257</v>
      </c>
      <c r="F26" s="162"/>
      <c r="G26" s="163">
        <v>0.7</v>
      </c>
      <c r="H26" s="146"/>
      <c r="I26" s="148"/>
      <c r="J26" s="148">
        <v>0</v>
      </c>
      <c r="K26" s="148">
        <v>0</v>
      </c>
      <c r="L26" s="153"/>
      <c r="M26" s="153"/>
      <c r="N26" s="148"/>
      <c r="O26" s="148">
        <v>0</v>
      </c>
      <c r="P26" s="148">
        <v>0</v>
      </c>
      <c r="Q26" s="153"/>
      <c r="R26" s="153"/>
      <c r="S26" s="148"/>
      <c r="T26" s="148">
        <v>0</v>
      </c>
      <c r="U26" s="148"/>
      <c r="V26" s="153"/>
      <c r="W26" s="153"/>
      <c r="X26" s="148"/>
      <c r="Y26" s="148">
        <v>0</v>
      </c>
      <c r="Z26" s="148">
        <v>0</v>
      </c>
      <c r="AA26" s="153"/>
      <c r="AB26" s="246"/>
      <c r="AC26" s="148"/>
      <c r="AD26" s="148"/>
      <c r="AE26" s="148"/>
      <c r="AF26" s="153"/>
      <c r="AG26" s="153"/>
      <c r="AH26" s="148"/>
      <c r="AI26" s="148"/>
      <c r="AJ26" s="148"/>
      <c r="AK26" s="153"/>
      <c r="AL26" s="153"/>
      <c r="AM26" s="148"/>
      <c r="AN26" s="148"/>
      <c r="AO26" s="148"/>
      <c r="AP26" s="153"/>
      <c r="AQ26" s="153"/>
      <c r="AR26" s="148"/>
      <c r="AS26" s="148">
        <v>0</v>
      </c>
      <c r="AT26" s="148">
        <v>0</v>
      </c>
      <c r="AU26" s="153"/>
      <c r="AV26" s="153"/>
      <c r="AW26" s="148"/>
      <c r="AX26" s="148">
        <v>0</v>
      </c>
      <c r="AY26" s="148">
        <v>0</v>
      </c>
      <c r="AZ26" s="153"/>
      <c r="BA26" s="153"/>
      <c r="BB26" s="148"/>
      <c r="BC26" s="148">
        <v>0</v>
      </c>
      <c r="BD26" s="148">
        <v>0</v>
      </c>
      <c r="BE26" s="153"/>
      <c r="BF26" s="153"/>
      <c r="BG26" s="148"/>
      <c r="BH26" s="148"/>
      <c r="BI26" s="148"/>
      <c r="BJ26" s="153"/>
      <c r="BK26" s="153"/>
      <c r="BL26" s="148"/>
      <c r="BM26" s="148"/>
      <c r="BN26" s="148"/>
      <c r="BO26" s="153"/>
      <c r="BP26" s="153"/>
      <c r="BQ26" s="148"/>
      <c r="BR26" s="148"/>
      <c r="BS26" s="148"/>
      <c r="BT26" s="153"/>
      <c r="BU26" s="153"/>
    </row>
    <row r="27" spans="2:73">
      <c r="B27" s="398"/>
      <c r="C27" s="156"/>
      <c r="D27" s="157" t="s">
        <v>310</v>
      </c>
      <c r="E27" s="235" t="s">
        <v>308</v>
      </c>
      <c r="F27" s="162"/>
      <c r="G27" s="163"/>
      <c r="H27" s="146"/>
      <c r="I27" s="148"/>
      <c r="J27" s="148"/>
      <c r="K27" s="148"/>
      <c r="L27" s="153"/>
      <c r="M27" s="153"/>
      <c r="N27" s="148"/>
      <c r="O27" s="148"/>
      <c r="P27" s="148"/>
      <c r="Q27" s="232"/>
      <c r="R27" s="232"/>
      <c r="S27" s="148"/>
      <c r="T27" s="148"/>
      <c r="U27" s="148"/>
      <c r="V27" s="153"/>
      <c r="W27" s="153"/>
      <c r="X27" s="148"/>
      <c r="Y27" s="148"/>
      <c r="Z27" s="148"/>
      <c r="AA27" s="153"/>
      <c r="AB27" s="250"/>
      <c r="AC27" s="148"/>
      <c r="AD27" s="148"/>
      <c r="AE27" s="148"/>
      <c r="AF27" s="153"/>
      <c r="AG27" s="232"/>
      <c r="AH27" s="148"/>
      <c r="AI27" s="148"/>
      <c r="AJ27" s="148"/>
      <c r="AK27" s="153"/>
      <c r="AL27" s="232"/>
      <c r="AM27" s="148"/>
      <c r="AN27" s="148"/>
      <c r="AO27" s="148"/>
      <c r="AP27" s="153"/>
      <c r="AQ27" s="232"/>
      <c r="AR27" s="148"/>
      <c r="AS27" s="148"/>
      <c r="AT27" s="148"/>
      <c r="AU27" s="153"/>
      <c r="AV27" s="232"/>
      <c r="AW27" s="148"/>
      <c r="AX27" s="148"/>
      <c r="AY27" s="148"/>
      <c r="AZ27" s="153"/>
      <c r="BA27" s="232"/>
      <c r="BB27" s="148"/>
      <c r="BC27" s="148"/>
      <c r="BD27" s="148"/>
      <c r="BE27" s="153"/>
      <c r="BF27" s="232"/>
      <c r="BG27" s="148"/>
      <c r="BH27" s="148"/>
      <c r="BI27" s="148"/>
      <c r="BJ27" s="153"/>
      <c r="BK27" s="232"/>
      <c r="BL27" s="148"/>
      <c r="BM27" s="148"/>
      <c r="BN27" s="148"/>
      <c r="BO27" s="153"/>
      <c r="BP27" s="153"/>
      <c r="BQ27" s="148"/>
      <c r="BR27" s="148"/>
      <c r="BS27" s="148"/>
      <c r="BT27" s="153"/>
      <c r="BU27" s="232"/>
    </row>
    <row r="28" spans="2:73" ht="26.4">
      <c r="B28" s="399"/>
      <c r="C28" s="156"/>
      <c r="D28" s="157" t="s">
        <v>311</v>
      </c>
      <c r="E28" s="233" t="s">
        <v>306</v>
      </c>
      <c r="F28" s="162"/>
      <c r="G28" s="163"/>
      <c r="H28" s="146"/>
      <c r="I28" s="148"/>
      <c r="J28" s="148"/>
      <c r="K28" s="148"/>
      <c r="L28" s="153"/>
      <c r="M28" s="153"/>
      <c r="N28" s="148"/>
      <c r="O28" s="148"/>
      <c r="P28" s="148"/>
      <c r="Q28" s="232"/>
      <c r="R28" s="232"/>
      <c r="S28" s="148"/>
      <c r="T28" s="148"/>
      <c r="U28" s="148"/>
      <c r="V28" s="153"/>
      <c r="W28" s="153"/>
      <c r="X28" s="148"/>
      <c r="Y28" s="148">
        <v>0.05</v>
      </c>
      <c r="Z28" s="148">
        <v>0</v>
      </c>
      <c r="AA28" s="153"/>
      <c r="AB28" s="250"/>
      <c r="AC28" s="148"/>
      <c r="AD28" s="148"/>
      <c r="AE28" s="148"/>
      <c r="AF28" s="153"/>
      <c r="AG28" s="232"/>
      <c r="AH28" s="148"/>
      <c r="AI28" s="148"/>
      <c r="AJ28" s="148"/>
      <c r="AK28" s="153"/>
      <c r="AL28" s="232"/>
      <c r="AM28" s="148"/>
      <c r="AN28" s="148"/>
      <c r="AO28" s="148"/>
      <c r="AP28" s="153"/>
      <c r="AQ28" s="232"/>
      <c r="AR28" s="148"/>
      <c r="AS28" s="148"/>
      <c r="AT28" s="148"/>
      <c r="AU28" s="153"/>
      <c r="AV28" s="232"/>
      <c r="AW28" s="148"/>
      <c r="AX28" s="148"/>
      <c r="AY28" s="148"/>
      <c r="AZ28" s="153"/>
      <c r="BA28" s="232"/>
      <c r="BB28" s="148"/>
      <c r="BC28" s="148"/>
      <c r="BD28" s="148"/>
      <c r="BE28" s="153"/>
      <c r="BF28" s="232"/>
      <c r="BG28" s="148"/>
      <c r="BH28" s="148"/>
      <c r="BI28" s="148"/>
      <c r="BJ28" s="153"/>
      <c r="BK28" s="232"/>
      <c r="BL28" s="148"/>
      <c r="BM28" s="148"/>
      <c r="BN28" s="148"/>
      <c r="BO28" s="153"/>
      <c r="BP28" s="232"/>
      <c r="BQ28" s="148"/>
      <c r="BR28" s="148">
        <v>0.02</v>
      </c>
      <c r="BS28" s="148">
        <v>0</v>
      </c>
      <c r="BT28" s="153"/>
      <c r="BU28" s="232"/>
    </row>
    <row r="29" spans="2:73" ht="66.599999999999994" thickBot="1">
      <c r="B29" s="408" t="s">
        <v>258</v>
      </c>
      <c r="C29" s="164" t="s">
        <v>259</v>
      </c>
      <c r="D29" s="165" t="s">
        <v>260</v>
      </c>
      <c r="E29" s="166" t="s">
        <v>261</v>
      </c>
      <c r="F29" s="4"/>
      <c r="G29" s="146" t="s">
        <v>272</v>
      </c>
      <c r="H29" s="146"/>
      <c r="I29" s="147"/>
      <c r="J29" s="148">
        <v>0.05</v>
      </c>
      <c r="K29" s="148">
        <v>0.05</v>
      </c>
      <c r="L29" s="150">
        <v>3</v>
      </c>
      <c r="M29" s="254">
        <v>3</v>
      </c>
      <c r="N29" s="147"/>
      <c r="O29" s="148">
        <v>0.05</v>
      </c>
      <c r="P29" s="148">
        <v>0.1</v>
      </c>
      <c r="Q29" s="150">
        <v>3</v>
      </c>
      <c r="R29" s="254">
        <v>3</v>
      </c>
      <c r="S29" s="147"/>
      <c r="T29" s="148">
        <v>0.05</v>
      </c>
      <c r="U29" s="148">
        <v>0</v>
      </c>
      <c r="V29" s="150"/>
      <c r="W29" s="149"/>
      <c r="X29" s="147"/>
      <c r="Y29" s="148">
        <v>0.1</v>
      </c>
      <c r="Z29" s="148">
        <v>0.1</v>
      </c>
      <c r="AA29" s="150">
        <v>3</v>
      </c>
      <c r="AB29" s="254">
        <v>5</v>
      </c>
      <c r="AC29" s="147"/>
      <c r="AD29" s="148">
        <v>0.1</v>
      </c>
      <c r="AE29" s="148">
        <v>0.1</v>
      </c>
      <c r="AF29" s="150">
        <v>3</v>
      </c>
      <c r="AG29" s="254">
        <v>3</v>
      </c>
      <c r="AH29" s="147"/>
      <c r="AI29" s="148">
        <v>0.1</v>
      </c>
      <c r="AJ29" s="148">
        <v>0.1</v>
      </c>
      <c r="AK29" s="150">
        <v>3</v>
      </c>
      <c r="AL29" s="254">
        <v>4</v>
      </c>
      <c r="AM29" s="147"/>
      <c r="AN29" s="148">
        <v>0.1</v>
      </c>
      <c r="AO29" s="148">
        <v>0.1</v>
      </c>
      <c r="AP29" s="150">
        <v>3</v>
      </c>
      <c r="AQ29" s="254">
        <v>3</v>
      </c>
      <c r="AR29" s="147"/>
      <c r="AS29" s="148"/>
      <c r="AT29" s="148"/>
      <c r="AU29" s="150"/>
      <c r="AV29" s="149"/>
      <c r="AW29" s="147"/>
      <c r="AX29" s="148">
        <v>0.05</v>
      </c>
      <c r="AY29" s="148">
        <v>0.05</v>
      </c>
      <c r="AZ29" s="150">
        <v>3</v>
      </c>
      <c r="BA29" s="260">
        <v>3</v>
      </c>
      <c r="BB29" s="147"/>
      <c r="BC29" s="148"/>
      <c r="BD29" s="148"/>
      <c r="BE29" s="150"/>
      <c r="BF29" s="167"/>
      <c r="BG29" s="147"/>
      <c r="BH29" s="148">
        <v>0.1</v>
      </c>
      <c r="BI29" s="148">
        <v>0.1</v>
      </c>
      <c r="BJ29" s="150">
        <v>3</v>
      </c>
      <c r="BK29" s="257">
        <v>3</v>
      </c>
      <c r="BL29" s="147"/>
      <c r="BM29" s="148"/>
      <c r="BN29" s="148"/>
      <c r="BO29" s="150"/>
      <c r="BP29" s="167"/>
      <c r="BQ29" s="147"/>
      <c r="BR29" s="148">
        <v>0.1</v>
      </c>
      <c r="BS29" s="148">
        <v>0.1</v>
      </c>
      <c r="BT29" s="150">
        <v>3</v>
      </c>
      <c r="BU29" s="257">
        <v>5</v>
      </c>
    </row>
    <row r="30" spans="2:73" ht="27" thickBot="1">
      <c r="B30" s="408"/>
      <c r="C30" s="394" t="s">
        <v>34</v>
      </c>
      <c r="D30" s="165" t="s">
        <v>262</v>
      </c>
      <c r="E30" s="71" t="s">
        <v>53</v>
      </c>
      <c r="F30" s="4"/>
      <c r="G30" s="146" t="s">
        <v>273</v>
      </c>
      <c r="H30" s="146"/>
      <c r="I30" s="169"/>
      <c r="J30" s="170"/>
      <c r="K30" s="170"/>
      <c r="L30" s="171"/>
      <c r="M30" s="172"/>
      <c r="N30" s="169"/>
      <c r="O30" s="170">
        <v>0</v>
      </c>
      <c r="P30" s="170">
        <v>0</v>
      </c>
      <c r="Q30" s="173"/>
      <c r="R30" s="174"/>
      <c r="S30" s="169"/>
      <c r="T30" s="170">
        <v>0.05</v>
      </c>
      <c r="U30" s="170">
        <v>0</v>
      </c>
      <c r="V30" s="172"/>
      <c r="W30" s="172"/>
      <c r="X30" s="169"/>
      <c r="Y30" s="170"/>
      <c r="Z30" s="170"/>
      <c r="AA30" s="173"/>
      <c r="AB30" s="174"/>
      <c r="AC30" s="169"/>
      <c r="AD30" s="170"/>
      <c r="AE30" s="170"/>
      <c r="AF30" s="173"/>
      <c r="AG30" s="174"/>
      <c r="AH30" s="169"/>
      <c r="AI30" s="170"/>
      <c r="AJ30" s="170"/>
      <c r="AK30" s="173"/>
      <c r="AL30" s="174"/>
      <c r="AM30" s="169"/>
      <c r="AN30" s="170"/>
      <c r="AO30" s="170"/>
      <c r="AP30" s="173"/>
      <c r="AQ30" s="173"/>
      <c r="AR30" s="169"/>
      <c r="AS30" s="170"/>
      <c r="AT30" s="170"/>
      <c r="AU30" s="173"/>
      <c r="AV30" s="174"/>
      <c r="AW30" s="169"/>
      <c r="AX30" s="170">
        <v>0.05</v>
      </c>
      <c r="AY30" s="170">
        <v>0.05</v>
      </c>
      <c r="AZ30" s="173">
        <v>3</v>
      </c>
      <c r="BA30" s="260">
        <v>4</v>
      </c>
      <c r="BB30" s="169"/>
      <c r="BC30" s="170"/>
      <c r="BD30" s="170"/>
      <c r="BE30" s="173"/>
      <c r="BF30" s="174"/>
      <c r="BG30" s="169"/>
      <c r="BH30" s="170"/>
      <c r="BI30" s="170"/>
      <c r="BJ30" s="173"/>
      <c r="BK30" s="174"/>
      <c r="BL30" s="169"/>
      <c r="BM30" s="170"/>
      <c r="BN30" s="170"/>
      <c r="BO30" s="173"/>
      <c r="BP30" s="174"/>
      <c r="BQ30" s="169"/>
      <c r="BR30" s="170"/>
      <c r="BS30" s="170"/>
      <c r="BT30" s="173"/>
      <c r="BU30" s="174"/>
    </row>
    <row r="31" spans="2:73" ht="40.200000000000003" thickBot="1">
      <c r="B31" s="408"/>
      <c r="C31" s="395"/>
      <c r="D31" s="175" t="s">
        <v>263</v>
      </c>
      <c r="E31" s="71" t="s">
        <v>54</v>
      </c>
      <c r="F31" s="4"/>
      <c r="G31" s="146" t="s">
        <v>274</v>
      </c>
      <c r="H31" s="146"/>
      <c r="I31" s="169"/>
      <c r="J31" s="170"/>
      <c r="K31" s="170"/>
      <c r="L31" s="171"/>
      <c r="M31" s="172"/>
      <c r="N31" s="169"/>
      <c r="O31" s="170">
        <v>0.05</v>
      </c>
      <c r="P31" s="170">
        <v>0</v>
      </c>
      <c r="Q31" s="173"/>
      <c r="R31" s="174"/>
      <c r="S31" s="169"/>
      <c r="T31" s="170">
        <v>0.05</v>
      </c>
      <c r="U31" s="170">
        <v>0.05</v>
      </c>
      <c r="V31" s="172">
        <v>1</v>
      </c>
      <c r="W31" s="258">
        <v>1</v>
      </c>
      <c r="X31" s="169"/>
      <c r="Y31" s="170"/>
      <c r="Z31" s="170"/>
      <c r="AA31" s="173"/>
      <c r="AB31" s="174"/>
      <c r="AC31" s="169"/>
      <c r="AD31" s="170"/>
      <c r="AE31" s="170"/>
      <c r="AF31" s="173"/>
      <c r="AG31" s="174"/>
      <c r="AH31" s="169"/>
      <c r="AI31" s="148"/>
      <c r="AJ31" s="148"/>
      <c r="AK31" s="173"/>
      <c r="AL31" s="174"/>
      <c r="AM31" s="169"/>
      <c r="AN31" s="148"/>
      <c r="AO31" s="148"/>
      <c r="AP31" s="173"/>
      <c r="AQ31" s="174"/>
      <c r="AR31" s="169"/>
      <c r="AS31" s="148"/>
      <c r="AT31" s="148"/>
      <c r="AU31" s="173"/>
      <c r="AV31" s="174"/>
      <c r="AW31" s="169"/>
      <c r="AX31" s="148">
        <v>0.05</v>
      </c>
      <c r="AY31" s="148">
        <v>0.05</v>
      </c>
      <c r="AZ31" s="173">
        <v>3</v>
      </c>
      <c r="BA31" s="260">
        <v>4</v>
      </c>
      <c r="BB31" s="169"/>
      <c r="BC31" s="148">
        <v>0.05</v>
      </c>
      <c r="BD31" s="148">
        <v>0.05</v>
      </c>
      <c r="BE31" s="173">
        <v>3</v>
      </c>
      <c r="BF31" s="262">
        <v>3</v>
      </c>
      <c r="BG31" s="169"/>
      <c r="BH31" s="148">
        <v>0.05</v>
      </c>
      <c r="BI31" s="148">
        <v>0.05</v>
      </c>
      <c r="BJ31" s="173">
        <v>3</v>
      </c>
      <c r="BK31" s="256">
        <v>0</v>
      </c>
      <c r="BL31" s="169"/>
      <c r="BM31" s="148">
        <v>0.03</v>
      </c>
      <c r="BN31" s="148">
        <v>0.03</v>
      </c>
      <c r="BO31" s="173">
        <v>3</v>
      </c>
      <c r="BP31" s="262">
        <v>4</v>
      </c>
      <c r="BQ31" s="169"/>
      <c r="BR31" s="148"/>
      <c r="BS31" s="148"/>
      <c r="BT31" s="173"/>
      <c r="BU31" s="256"/>
    </row>
    <row r="32" spans="2:73" ht="15" thickBot="1">
      <c r="B32" s="408"/>
      <c r="C32" s="395"/>
      <c r="D32" s="175" t="s">
        <v>350</v>
      </c>
      <c r="E32" s="71" t="s">
        <v>369</v>
      </c>
      <c r="F32" s="4"/>
      <c r="G32" s="146"/>
      <c r="H32" s="146"/>
      <c r="I32" s="169"/>
      <c r="J32" s="170">
        <v>0.05</v>
      </c>
      <c r="K32" s="170">
        <v>0.05</v>
      </c>
      <c r="L32" s="171">
        <v>600</v>
      </c>
      <c r="M32" s="172">
        <v>870</v>
      </c>
      <c r="N32" s="169"/>
      <c r="O32" s="170"/>
      <c r="P32" s="170"/>
      <c r="Q32" s="173"/>
      <c r="R32" s="174"/>
      <c r="S32" s="169"/>
      <c r="T32" s="170"/>
      <c r="U32" s="170">
        <v>0.05</v>
      </c>
      <c r="V32" s="258">
        <v>650</v>
      </c>
      <c r="W32" s="258">
        <v>705</v>
      </c>
      <c r="X32" s="169"/>
      <c r="Y32" s="170"/>
      <c r="Z32" s="170"/>
      <c r="AA32" s="173"/>
      <c r="AB32" s="174"/>
      <c r="AC32" s="169"/>
      <c r="AD32" s="170"/>
      <c r="AE32" s="170"/>
      <c r="AF32" s="173"/>
      <c r="AG32" s="174"/>
      <c r="AH32" s="169"/>
      <c r="AI32" s="148"/>
      <c r="AJ32" s="148"/>
      <c r="AK32" s="173"/>
      <c r="AL32" s="174"/>
      <c r="AM32" s="169"/>
      <c r="AN32" s="148"/>
      <c r="AO32" s="148"/>
      <c r="AP32" s="173"/>
      <c r="AQ32" s="174"/>
      <c r="AR32" s="169"/>
      <c r="AS32" s="148"/>
      <c r="AT32" s="148"/>
      <c r="AU32" s="173"/>
      <c r="AV32" s="174"/>
      <c r="AW32" s="169"/>
      <c r="AX32" s="148"/>
      <c r="AY32" s="148"/>
      <c r="AZ32" s="173"/>
      <c r="BA32" s="261"/>
      <c r="BB32" s="169"/>
      <c r="BC32" s="148"/>
      <c r="BD32" s="148"/>
      <c r="BE32" s="173"/>
      <c r="BF32" s="261"/>
      <c r="BG32" s="169"/>
      <c r="BH32" s="148"/>
      <c r="BI32" s="148"/>
      <c r="BJ32" s="173"/>
      <c r="BK32" s="174"/>
      <c r="BL32" s="169"/>
      <c r="BM32" s="148">
        <v>0.04</v>
      </c>
      <c r="BN32" s="148">
        <v>0.04</v>
      </c>
      <c r="BO32" s="173">
        <v>550</v>
      </c>
      <c r="BP32" s="262">
        <v>0</v>
      </c>
      <c r="BQ32" s="169"/>
      <c r="BR32" s="148">
        <v>0.05</v>
      </c>
      <c r="BS32" s="148">
        <v>0.05</v>
      </c>
      <c r="BT32" s="173">
        <v>650</v>
      </c>
      <c r="BU32" s="256">
        <v>675</v>
      </c>
    </row>
    <row r="33" spans="2:73" ht="15" thickBot="1">
      <c r="B33" s="408"/>
      <c r="C33" s="396"/>
      <c r="D33" s="236" t="s">
        <v>309</v>
      </c>
      <c r="E33" s="236" t="s">
        <v>309</v>
      </c>
      <c r="F33" s="4"/>
      <c r="G33" s="146"/>
      <c r="H33" s="146"/>
      <c r="I33" s="169"/>
      <c r="J33" s="170">
        <v>0.05</v>
      </c>
      <c r="K33" s="170">
        <v>0.05</v>
      </c>
      <c r="L33" s="171">
        <v>10</v>
      </c>
      <c r="M33" s="172">
        <v>56.5</v>
      </c>
      <c r="N33" s="169"/>
      <c r="O33" s="170">
        <v>0.05</v>
      </c>
      <c r="P33" s="170">
        <v>0.05</v>
      </c>
      <c r="Q33" s="173">
        <v>10</v>
      </c>
      <c r="R33" s="254">
        <v>96</v>
      </c>
      <c r="S33" s="169"/>
      <c r="T33" s="170"/>
      <c r="U33" s="170"/>
      <c r="V33" s="172"/>
      <c r="W33" s="255"/>
      <c r="X33" s="169"/>
      <c r="Y33" s="170">
        <v>0.06</v>
      </c>
      <c r="Z33" s="170">
        <v>0.06</v>
      </c>
      <c r="AA33" s="173">
        <v>10</v>
      </c>
      <c r="AB33" s="256">
        <v>29.76</v>
      </c>
      <c r="AC33" s="169"/>
      <c r="AD33" s="170">
        <v>0.05</v>
      </c>
      <c r="AE33" s="170">
        <v>0.05</v>
      </c>
      <c r="AF33" s="173">
        <v>10</v>
      </c>
      <c r="AG33" s="256">
        <v>1.3</v>
      </c>
      <c r="AH33" s="169"/>
      <c r="AI33" s="148">
        <v>0.05</v>
      </c>
      <c r="AJ33" s="148">
        <v>0.05</v>
      </c>
      <c r="AK33" s="173">
        <v>10</v>
      </c>
      <c r="AL33" s="256">
        <v>29</v>
      </c>
      <c r="AM33" s="169"/>
      <c r="AN33" s="148">
        <v>0.1</v>
      </c>
      <c r="AO33" s="148">
        <v>0.1</v>
      </c>
      <c r="AP33" s="173">
        <v>10</v>
      </c>
      <c r="AQ33" s="256">
        <v>12</v>
      </c>
      <c r="AR33" s="169"/>
      <c r="AS33" s="148">
        <v>0.1</v>
      </c>
      <c r="AT33" s="148">
        <v>0.1</v>
      </c>
      <c r="AU33" s="173">
        <v>10</v>
      </c>
      <c r="AV33" s="256">
        <v>3.66</v>
      </c>
      <c r="AW33" s="169"/>
      <c r="AX33" s="148">
        <v>0.05</v>
      </c>
      <c r="AY33" s="148">
        <v>0.05</v>
      </c>
      <c r="AZ33" s="150">
        <v>3</v>
      </c>
      <c r="BA33" s="262">
        <v>4</v>
      </c>
      <c r="BB33" s="169"/>
      <c r="BC33" s="148">
        <v>0.05</v>
      </c>
      <c r="BD33" s="148">
        <v>0.05</v>
      </c>
      <c r="BE33" s="173">
        <v>3</v>
      </c>
      <c r="BF33" s="262">
        <v>3</v>
      </c>
      <c r="BG33" s="169"/>
      <c r="BH33" s="148">
        <v>0.05</v>
      </c>
      <c r="BI33" s="148">
        <v>0.05</v>
      </c>
      <c r="BJ33" s="173">
        <v>3</v>
      </c>
      <c r="BK33" s="256">
        <v>3</v>
      </c>
      <c r="BL33" s="169"/>
      <c r="BM33" s="148">
        <v>0.03</v>
      </c>
      <c r="BN33" s="148">
        <v>0.03</v>
      </c>
      <c r="BO33" s="173">
        <v>3</v>
      </c>
      <c r="BP33" s="262" t="s">
        <v>376</v>
      </c>
      <c r="BQ33" s="169"/>
      <c r="BR33" s="148">
        <v>0.05</v>
      </c>
      <c r="BS33" s="148">
        <v>0.05</v>
      </c>
      <c r="BT33" s="173">
        <v>10</v>
      </c>
      <c r="BU33" s="256">
        <v>18</v>
      </c>
    </row>
    <row r="34" spans="2:73" ht="15" thickBot="1">
      <c r="B34" s="408"/>
      <c r="C34" s="409" t="s">
        <v>264</v>
      </c>
      <c r="D34" s="165" t="s">
        <v>265</v>
      </c>
      <c r="E34" s="71" t="s">
        <v>266</v>
      </c>
      <c r="F34" s="4"/>
      <c r="G34" s="146">
        <v>3</v>
      </c>
      <c r="H34" s="146"/>
      <c r="I34" s="169"/>
      <c r="J34" s="170">
        <v>0.03</v>
      </c>
      <c r="K34" s="170">
        <v>0.03</v>
      </c>
      <c r="L34" s="173">
        <v>3</v>
      </c>
      <c r="M34" s="173">
        <v>3</v>
      </c>
      <c r="N34" s="169"/>
      <c r="O34" s="170">
        <v>0.05</v>
      </c>
      <c r="P34" s="170">
        <v>0.05</v>
      </c>
      <c r="Q34" s="173">
        <v>3</v>
      </c>
      <c r="R34" s="173">
        <v>4</v>
      </c>
      <c r="S34" s="169"/>
      <c r="T34" s="170">
        <v>0.05</v>
      </c>
      <c r="U34" s="170">
        <v>0.03</v>
      </c>
      <c r="V34" s="173">
        <v>3</v>
      </c>
      <c r="W34" s="173">
        <v>5</v>
      </c>
      <c r="X34" s="169"/>
      <c r="Y34" s="170">
        <v>0.06</v>
      </c>
      <c r="Z34" s="170">
        <v>0.06</v>
      </c>
      <c r="AA34" s="173">
        <v>3</v>
      </c>
      <c r="AB34" s="256">
        <v>5</v>
      </c>
      <c r="AC34" s="169"/>
      <c r="AD34" s="170">
        <v>0.05</v>
      </c>
      <c r="AE34" s="170">
        <v>0.05</v>
      </c>
      <c r="AF34" s="173">
        <v>3</v>
      </c>
      <c r="AG34" s="173">
        <v>5</v>
      </c>
      <c r="AH34" s="169"/>
      <c r="AI34" s="148">
        <v>0.05</v>
      </c>
      <c r="AJ34" s="148">
        <v>0.05</v>
      </c>
      <c r="AK34" s="173">
        <v>3</v>
      </c>
      <c r="AL34" s="173">
        <v>5</v>
      </c>
      <c r="AM34" s="169"/>
      <c r="AN34" s="148">
        <v>0.03</v>
      </c>
      <c r="AO34" s="148">
        <v>0.03</v>
      </c>
      <c r="AP34" s="173">
        <v>3</v>
      </c>
      <c r="AQ34" s="256">
        <v>3</v>
      </c>
      <c r="AR34" s="169"/>
      <c r="AS34" s="148">
        <v>0.05</v>
      </c>
      <c r="AT34" s="148">
        <v>0.05</v>
      </c>
      <c r="AU34" s="173">
        <v>3</v>
      </c>
      <c r="AV34" s="173">
        <v>5</v>
      </c>
      <c r="AW34" s="169"/>
      <c r="AX34" s="148">
        <v>0.03</v>
      </c>
      <c r="AY34" s="148">
        <v>0.03</v>
      </c>
      <c r="AZ34" s="173">
        <v>3</v>
      </c>
      <c r="BA34" s="260">
        <v>4</v>
      </c>
      <c r="BB34" s="169"/>
      <c r="BC34" s="148">
        <v>0.04</v>
      </c>
      <c r="BD34" s="148">
        <v>0.04</v>
      </c>
      <c r="BE34" s="173">
        <v>3</v>
      </c>
      <c r="BF34" s="262">
        <v>3</v>
      </c>
      <c r="BG34" s="169"/>
      <c r="BH34" s="148">
        <v>0.03</v>
      </c>
      <c r="BI34" s="148">
        <v>0.03</v>
      </c>
      <c r="BJ34" s="173">
        <v>3</v>
      </c>
      <c r="BK34" s="173">
        <v>4</v>
      </c>
      <c r="BL34" s="169"/>
      <c r="BM34" s="148">
        <v>0.03</v>
      </c>
      <c r="BN34" s="148">
        <v>0.03</v>
      </c>
      <c r="BO34" s="173">
        <v>3</v>
      </c>
      <c r="BP34" s="262" t="s">
        <v>375</v>
      </c>
      <c r="BQ34" s="169"/>
      <c r="BR34" s="148">
        <v>0.03</v>
      </c>
      <c r="BS34" s="148">
        <v>0.03</v>
      </c>
      <c r="BT34" s="173">
        <v>3</v>
      </c>
      <c r="BU34" s="173">
        <v>5</v>
      </c>
    </row>
    <row r="35" spans="2:73" ht="15" thickBot="1">
      <c r="B35" s="408"/>
      <c r="C35" s="409"/>
      <c r="D35" s="165" t="s">
        <v>267</v>
      </c>
      <c r="E35" s="71" t="s">
        <v>268</v>
      </c>
      <c r="F35" s="4"/>
      <c r="G35" s="146">
        <v>3</v>
      </c>
      <c r="H35" s="146"/>
      <c r="I35" s="169"/>
      <c r="J35" s="170">
        <v>0.03</v>
      </c>
      <c r="K35" s="170">
        <v>0.03</v>
      </c>
      <c r="L35" s="173">
        <v>3</v>
      </c>
      <c r="M35" s="173">
        <v>3</v>
      </c>
      <c r="N35" s="169"/>
      <c r="O35" s="170">
        <v>0.05</v>
      </c>
      <c r="P35" s="170">
        <v>0.05</v>
      </c>
      <c r="Q35" s="173">
        <v>3</v>
      </c>
      <c r="R35" s="173">
        <v>3</v>
      </c>
      <c r="S35" s="169"/>
      <c r="T35" s="170">
        <v>0.05</v>
      </c>
      <c r="U35" s="170">
        <v>0.03</v>
      </c>
      <c r="V35" s="173">
        <v>3</v>
      </c>
      <c r="W35" s="173">
        <v>4</v>
      </c>
      <c r="X35" s="169"/>
      <c r="Y35" s="170">
        <v>0.04</v>
      </c>
      <c r="Z35" s="170">
        <v>0.04</v>
      </c>
      <c r="AA35" s="173">
        <v>3</v>
      </c>
      <c r="AB35" s="256">
        <v>5</v>
      </c>
      <c r="AC35" s="169"/>
      <c r="AD35" s="170">
        <v>0.05</v>
      </c>
      <c r="AE35" s="170">
        <v>0.05</v>
      </c>
      <c r="AF35" s="173">
        <v>3</v>
      </c>
      <c r="AG35" s="173">
        <v>4</v>
      </c>
      <c r="AH35" s="169"/>
      <c r="AI35" s="148">
        <v>0.05</v>
      </c>
      <c r="AJ35" s="148">
        <v>0.05</v>
      </c>
      <c r="AK35" s="173">
        <v>3</v>
      </c>
      <c r="AL35" s="173">
        <v>4</v>
      </c>
      <c r="AM35" s="169"/>
      <c r="AN35" s="148">
        <v>0.03</v>
      </c>
      <c r="AO35" s="148">
        <v>0.03</v>
      </c>
      <c r="AP35" s="173">
        <v>3</v>
      </c>
      <c r="AQ35" s="256">
        <v>4</v>
      </c>
      <c r="AR35" s="169"/>
      <c r="AS35" s="148">
        <v>0.05</v>
      </c>
      <c r="AT35" s="148">
        <v>0.05</v>
      </c>
      <c r="AU35" s="173">
        <v>3</v>
      </c>
      <c r="AV35" s="173">
        <v>4</v>
      </c>
      <c r="AW35" s="169"/>
      <c r="AX35" s="148">
        <v>0.03</v>
      </c>
      <c r="AY35" s="148">
        <v>0.03</v>
      </c>
      <c r="AZ35" s="173">
        <v>3</v>
      </c>
      <c r="BA35" s="262" t="s">
        <v>374</v>
      </c>
      <c r="BB35" s="169"/>
      <c r="BC35" s="148">
        <v>0.03</v>
      </c>
      <c r="BD35" s="148">
        <v>0.03</v>
      </c>
      <c r="BE35" s="173">
        <v>3</v>
      </c>
      <c r="BF35" s="262">
        <v>3</v>
      </c>
      <c r="BG35" s="169"/>
      <c r="BH35" s="148">
        <v>0.03</v>
      </c>
      <c r="BI35" s="148">
        <v>0.03</v>
      </c>
      <c r="BJ35" s="173">
        <v>3</v>
      </c>
      <c r="BK35" s="173">
        <v>4</v>
      </c>
      <c r="BL35" s="169"/>
      <c r="BM35" s="148">
        <v>0.03</v>
      </c>
      <c r="BN35" s="148">
        <v>0.03</v>
      </c>
      <c r="BO35" s="173">
        <v>3</v>
      </c>
      <c r="BP35" s="262">
        <v>3</v>
      </c>
      <c r="BQ35" s="169"/>
      <c r="BR35" s="148">
        <v>0.03</v>
      </c>
      <c r="BS35" s="148">
        <v>0.03</v>
      </c>
      <c r="BT35" s="173">
        <v>3</v>
      </c>
      <c r="BU35" s="173">
        <v>4</v>
      </c>
    </row>
    <row r="36" spans="2:73" ht="27" thickBot="1">
      <c r="B36" s="408"/>
      <c r="C36" s="409"/>
      <c r="D36" s="165" t="s">
        <v>269</v>
      </c>
      <c r="E36" s="71" t="s">
        <v>270</v>
      </c>
      <c r="F36" s="4"/>
      <c r="G36" s="146">
        <v>3</v>
      </c>
      <c r="H36" s="146"/>
      <c r="I36" s="169"/>
      <c r="J36" s="170">
        <v>0.04</v>
      </c>
      <c r="K36" s="170">
        <v>0.04</v>
      </c>
      <c r="L36" s="173">
        <v>3</v>
      </c>
      <c r="M36" s="173">
        <v>3</v>
      </c>
      <c r="N36" s="169"/>
      <c r="O36" s="170">
        <v>0.1</v>
      </c>
      <c r="P36" s="170">
        <v>0.05</v>
      </c>
      <c r="Q36" s="173">
        <v>3</v>
      </c>
      <c r="R36" s="173">
        <v>3</v>
      </c>
      <c r="S36" s="169"/>
      <c r="T36" s="170">
        <v>0.1</v>
      </c>
      <c r="U36" s="170">
        <v>0.04</v>
      </c>
      <c r="V36" s="173">
        <v>3</v>
      </c>
      <c r="W36" s="173">
        <v>4</v>
      </c>
      <c r="X36" s="169"/>
      <c r="Y36" s="170">
        <v>0.04</v>
      </c>
      <c r="Z36" s="170">
        <v>0.04</v>
      </c>
      <c r="AA36" s="173">
        <v>3</v>
      </c>
      <c r="AB36" s="256">
        <v>5</v>
      </c>
      <c r="AC36" s="169"/>
      <c r="AD36" s="170">
        <v>0.05</v>
      </c>
      <c r="AE36" s="170">
        <v>0.05</v>
      </c>
      <c r="AF36" s="173">
        <v>3</v>
      </c>
      <c r="AG36" s="173">
        <v>4</v>
      </c>
      <c r="AH36" s="169"/>
      <c r="AI36" s="148">
        <v>0.05</v>
      </c>
      <c r="AJ36" s="148">
        <v>0.05</v>
      </c>
      <c r="AK36" s="173">
        <v>3</v>
      </c>
      <c r="AL36" s="173">
        <v>5</v>
      </c>
      <c r="AM36" s="169"/>
      <c r="AN36" s="148">
        <v>0.04</v>
      </c>
      <c r="AO36" s="148">
        <v>0.04</v>
      </c>
      <c r="AP36" s="173">
        <v>3</v>
      </c>
      <c r="AQ36" s="256">
        <v>3</v>
      </c>
      <c r="AR36" s="169"/>
      <c r="AS36" s="148">
        <v>0.05</v>
      </c>
      <c r="AT36" s="148">
        <v>0.05</v>
      </c>
      <c r="AU36" s="173">
        <v>3</v>
      </c>
      <c r="AV36" s="173">
        <v>4</v>
      </c>
      <c r="AW36" s="169"/>
      <c r="AX36" s="148">
        <v>0.04</v>
      </c>
      <c r="AY36" s="148">
        <v>0.04</v>
      </c>
      <c r="AZ36" s="173">
        <v>3</v>
      </c>
      <c r="BA36" s="262" t="s">
        <v>374</v>
      </c>
      <c r="BB36" s="169"/>
      <c r="BC36" s="148">
        <v>0.03</v>
      </c>
      <c r="BD36" s="148">
        <v>0.03</v>
      </c>
      <c r="BE36" s="173">
        <v>3</v>
      </c>
      <c r="BF36" s="262">
        <v>3</v>
      </c>
      <c r="BG36" s="169"/>
      <c r="BH36" s="148">
        <v>0.04</v>
      </c>
      <c r="BI36" s="148">
        <v>0.04</v>
      </c>
      <c r="BJ36" s="173">
        <v>3</v>
      </c>
      <c r="BK36" s="173">
        <v>4</v>
      </c>
      <c r="BL36" s="169"/>
      <c r="BM36" s="148">
        <v>0.04</v>
      </c>
      <c r="BN36" s="148">
        <v>0.04</v>
      </c>
      <c r="BO36" s="173">
        <v>3</v>
      </c>
      <c r="BP36" s="262">
        <v>3</v>
      </c>
      <c r="BQ36" s="169"/>
      <c r="BR36" s="148">
        <v>0.04</v>
      </c>
      <c r="BS36" s="148">
        <v>0.04</v>
      </c>
      <c r="BT36" s="173">
        <v>3</v>
      </c>
      <c r="BU36" s="173">
        <v>5</v>
      </c>
    </row>
    <row r="37" spans="2:73">
      <c r="L37" s="259"/>
      <c r="M37" s="259"/>
      <c r="Q37" s="259"/>
      <c r="R37" s="259"/>
      <c r="V37" s="259"/>
      <c r="W37" s="259"/>
      <c r="X37" s="245">
        <v>0.1</v>
      </c>
      <c r="Y37" s="5" t="s">
        <v>356</v>
      </c>
      <c r="Z37" s="5"/>
      <c r="AF37" s="259"/>
      <c r="AG37" s="259"/>
      <c r="AK37" s="259"/>
      <c r="AL37" s="259"/>
      <c r="AU37" s="259"/>
      <c r="AV37" s="259"/>
      <c r="AZ37" s="259"/>
      <c r="BA37" s="259"/>
      <c r="BE37" s="259"/>
      <c r="BF37" s="259"/>
      <c r="BJ37" s="259"/>
      <c r="BK37" s="259"/>
      <c r="BO37" s="259"/>
      <c r="BP37" s="259"/>
      <c r="BS37" t="s">
        <v>359</v>
      </c>
    </row>
    <row r="38" spans="2:73">
      <c r="X38" s="5"/>
      <c r="Y38" s="5" t="s">
        <v>357</v>
      </c>
      <c r="Z38" s="5"/>
    </row>
  </sheetData>
  <autoFilter ref="B7:AB36"/>
  <mergeCells count="76">
    <mergeCell ref="BQ2:BU2"/>
    <mergeCell ref="BQ3:BU3"/>
    <mergeCell ref="BQ5:BU5"/>
    <mergeCell ref="BQ6:BU6"/>
    <mergeCell ref="BG2:BK2"/>
    <mergeCell ref="BG3:BK3"/>
    <mergeCell ref="BG5:BK5"/>
    <mergeCell ref="BG6:BK6"/>
    <mergeCell ref="BL2:BP2"/>
    <mergeCell ref="BL3:BP3"/>
    <mergeCell ref="BL5:BP5"/>
    <mergeCell ref="BL6:BP6"/>
    <mergeCell ref="I1:M1"/>
    <mergeCell ref="I6:M6"/>
    <mergeCell ref="N6:R6"/>
    <mergeCell ref="S6:W6"/>
    <mergeCell ref="AR2:AV2"/>
    <mergeCell ref="AR3:AV3"/>
    <mergeCell ref="AR5:AV5"/>
    <mergeCell ref="AR6:AV6"/>
    <mergeCell ref="AM2:AQ2"/>
    <mergeCell ref="AM3:AQ3"/>
    <mergeCell ref="AM5:AQ5"/>
    <mergeCell ref="AM6:AQ6"/>
    <mergeCell ref="S2:W2"/>
    <mergeCell ref="X2:AB2"/>
    <mergeCell ref="I3:M3"/>
    <mergeCell ref="N3:R3"/>
    <mergeCell ref="AH6:AL6"/>
    <mergeCell ref="AH5:AL5"/>
    <mergeCell ref="X5:AB5"/>
    <mergeCell ref="AC5:AG5"/>
    <mergeCell ref="BB2:BF2"/>
    <mergeCell ref="BB3:BF3"/>
    <mergeCell ref="BB5:BF5"/>
    <mergeCell ref="BB6:BF6"/>
    <mergeCell ref="AW2:BA2"/>
    <mergeCell ref="AW3:BA3"/>
    <mergeCell ref="AW5:BA5"/>
    <mergeCell ref="AW6:BA6"/>
    <mergeCell ref="C20:C23"/>
    <mergeCell ref="D22:D23"/>
    <mergeCell ref="C24:C25"/>
    <mergeCell ref="D24:D25"/>
    <mergeCell ref="C13:C18"/>
    <mergeCell ref="S5:W5"/>
    <mergeCell ref="S3:W3"/>
    <mergeCell ref="X3:AB3"/>
    <mergeCell ref="AH2:AL2"/>
    <mergeCell ref="AC3:AG3"/>
    <mergeCell ref="AH3:AL3"/>
    <mergeCell ref="AC2:AG2"/>
    <mergeCell ref="C30:C33"/>
    <mergeCell ref="B19:B28"/>
    <mergeCell ref="D20:D21"/>
    <mergeCell ref="AC6:AG6"/>
    <mergeCell ref="D11:D12"/>
    <mergeCell ref="C5:C6"/>
    <mergeCell ref="D5:D6"/>
    <mergeCell ref="E5:E6"/>
    <mergeCell ref="F5:F7"/>
    <mergeCell ref="G5:G7"/>
    <mergeCell ref="X6:AB6"/>
    <mergeCell ref="B29:B36"/>
    <mergeCell ref="C34:C36"/>
    <mergeCell ref="C9:C12"/>
    <mergeCell ref="D13:D15"/>
    <mergeCell ref="H5:H7"/>
    <mergeCell ref="B5:B6"/>
    <mergeCell ref="B9:B18"/>
    <mergeCell ref="B2:C2"/>
    <mergeCell ref="I2:M2"/>
    <mergeCell ref="N2:R2"/>
    <mergeCell ref="D9:D10"/>
    <mergeCell ref="I5:M5"/>
    <mergeCell ref="N5:R5"/>
  </mergeCells>
  <conditionalFormatting sqref="I5 N5 S5 X5">
    <cfRule type="duplicateValues" dxfId="206" priority="233"/>
  </conditionalFormatting>
  <conditionalFormatting sqref="F1:G1">
    <cfRule type="duplicateValues" dxfId="205" priority="232"/>
  </conditionalFormatting>
  <conditionalFormatting sqref="F9:H20 F22:H36">
    <cfRule type="expression" dxfId="204" priority="231">
      <formula>F9=0</formula>
    </cfRule>
  </conditionalFormatting>
  <conditionalFormatting sqref="J9:J20 O9:O20 T19:U20 Y9:Y14 AJ26:AJ30 AJ22:AJ23 AE22:AE36 T22:U36 J22:J36 O22:O26 O27:P36 T9:T18 AE9:AE20 AJ19:AJ20">
    <cfRule type="expression" dxfId="203" priority="230">
      <formula>J9&gt;0</formula>
    </cfRule>
  </conditionalFormatting>
  <conditionalFormatting sqref="AC5">
    <cfRule type="duplicateValues" dxfId="202" priority="229"/>
  </conditionalFormatting>
  <conditionalFormatting sqref="AH5">
    <cfRule type="duplicateValues" dxfId="201" priority="228"/>
  </conditionalFormatting>
  <conditionalFormatting sqref="U19:U20 AE9:AE20 AJ26:AJ30 AJ22:AJ23 AE22:AE36 P27:P36 U22:U36 AO22:AO23 AT22:AT23 AY22:AY23 BD22:BD23 BI22:BI23 BN22:BN23 BS22:BS23 AJ19:AJ20">
    <cfRule type="expression" dxfId="200" priority="227">
      <formula>P9&lt;&gt;O9</formula>
    </cfRule>
  </conditionalFormatting>
  <conditionalFormatting sqref="AE9:AE20 AJ26:AJ30 AJ22:AJ23 AE22:AE36 P27:P36 AO22:AO23 AT22:AT23 AY22:AY23 BD22:BD23 BI22:BI23 BN22:BN23 BS22:BS23 AJ19:AJ20">
    <cfRule type="expression" dxfId="199" priority="226">
      <formula>P9&lt;&gt;O9</formula>
    </cfRule>
  </conditionalFormatting>
  <conditionalFormatting sqref="AO9:AO20 AO26:AO30 AO22:AO23">
    <cfRule type="expression" dxfId="198" priority="219">
      <formula>AO9&gt;0</formula>
    </cfRule>
  </conditionalFormatting>
  <conditionalFormatting sqref="AO9:AO20 AO26:AO30">
    <cfRule type="expression" dxfId="197" priority="217">
      <formula>AO9&lt;&gt;AN9</formula>
    </cfRule>
  </conditionalFormatting>
  <conditionalFormatting sqref="AO9:AO20 AO26:AO30">
    <cfRule type="expression" dxfId="196" priority="216">
      <formula>AO9&lt;&gt;AN9</formula>
    </cfRule>
  </conditionalFormatting>
  <conditionalFormatting sqref="AT9:AT14 AT26:AT30 AT22:AT23 AT18:AT20">
    <cfRule type="expression" dxfId="195" priority="214">
      <formula>AT9&gt;0</formula>
    </cfRule>
  </conditionalFormatting>
  <conditionalFormatting sqref="AT9:AT14 AT26:AT30 AT18:AT20">
    <cfRule type="expression" dxfId="194" priority="212">
      <formula>AT9&lt;&gt;AS9</formula>
    </cfRule>
  </conditionalFormatting>
  <conditionalFormatting sqref="AT9:AT14 AT26:AT30 AT18:AT20">
    <cfRule type="expression" dxfId="193" priority="211">
      <formula>AT9&lt;&gt;AS9</formula>
    </cfRule>
  </conditionalFormatting>
  <conditionalFormatting sqref="AY9:AY20 AY26:AY30 AY22:AY23">
    <cfRule type="expression" dxfId="192" priority="209">
      <formula>AY9&gt;0</formula>
    </cfRule>
  </conditionalFormatting>
  <conditionalFormatting sqref="AY9:AY20 AY26:AY30">
    <cfRule type="expression" dxfId="191" priority="207">
      <formula>AY9&lt;&gt;AX9</formula>
    </cfRule>
  </conditionalFormatting>
  <conditionalFormatting sqref="AY9:AY20 AY26:AY30">
    <cfRule type="expression" dxfId="190" priority="206">
      <formula>AY9&lt;&gt;AX9</formula>
    </cfRule>
  </conditionalFormatting>
  <conditionalFormatting sqref="BD9:BD20 BD26:BD30 BD22:BD23">
    <cfRule type="expression" dxfId="189" priority="204">
      <formula>BD9&gt;0</formula>
    </cfRule>
  </conditionalFormatting>
  <conditionalFormatting sqref="BD9:BD20 BD26:BD30">
    <cfRule type="expression" dxfId="188" priority="202">
      <formula>BD9&lt;&gt;BC9</formula>
    </cfRule>
  </conditionalFormatting>
  <conditionalFormatting sqref="BD9:BD20 BD26:BD30">
    <cfRule type="expression" dxfId="187" priority="201">
      <formula>BD9&lt;&gt;BC9</formula>
    </cfRule>
  </conditionalFormatting>
  <conditionalFormatting sqref="BI9:BI20 BI26:BI30 BI22:BI23">
    <cfRule type="expression" dxfId="186" priority="199">
      <formula>BI9&gt;0</formula>
    </cfRule>
  </conditionalFormatting>
  <conditionalFormatting sqref="BG5">
    <cfRule type="duplicateValues" dxfId="185" priority="198"/>
  </conditionalFormatting>
  <conditionalFormatting sqref="BI9:BI20 BI26:BI30">
    <cfRule type="expression" dxfId="184" priority="197">
      <formula>BI9&lt;&gt;BH9</formula>
    </cfRule>
  </conditionalFormatting>
  <conditionalFormatting sqref="BI9:BI20 BI26:BI30">
    <cfRule type="expression" dxfId="183" priority="196">
      <formula>BI9&lt;&gt;BH9</formula>
    </cfRule>
  </conditionalFormatting>
  <conditionalFormatting sqref="BN9:BN20 BN26:BN30 BN22:BN23">
    <cfRule type="expression" dxfId="182" priority="194">
      <formula>BN9&gt;0</formula>
    </cfRule>
  </conditionalFormatting>
  <conditionalFormatting sqref="BL5">
    <cfRule type="duplicateValues" dxfId="181" priority="193"/>
  </conditionalFormatting>
  <conditionalFormatting sqref="BN9:BN20 BN26:BN30">
    <cfRule type="expression" dxfId="180" priority="192">
      <formula>BN9&lt;&gt;BM9</formula>
    </cfRule>
  </conditionalFormatting>
  <conditionalFormatting sqref="BN9:BN20 BN26:BN30">
    <cfRule type="expression" dxfId="179" priority="191">
      <formula>BN9&lt;&gt;BM9</formula>
    </cfRule>
  </conditionalFormatting>
  <conditionalFormatting sqref="BR9:BS11 BS26:BS30 BS22:BS23 BS12:BS20">
    <cfRule type="expression" dxfId="178" priority="189">
      <formula>BR9&gt;0</formula>
    </cfRule>
  </conditionalFormatting>
  <conditionalFormatting sqref="BQ5">
    <cfRule type="duplicateValues" dxfId="177" priority="188"/>
  </conditionalFormatting>
  <conditionalFormatting sqref="BS9:BS20 BS26:BS30">
    <cfRule type="expression" dxfId="176" priority="187">
      <formula>BS9&lt;&gt;BR9</formula>
    </cfRule>
  </conditionalFormatting>
  <conditionalFormatting sqref="BS9:BS20 BS26:BS30">
    <cfRule type="expression" dxfId="175" priority="186">
      <formula>BS9&lt;&gt;BR9</formula>
    </cfRule>
  </conditionalFormatting>
  <conditionalFormatting sqref="AR5 AM5">
    <cfRule type="duplicateValues" dxfId="174" priority="142"/>
  </conditionalFormatting>
  <conditionalFormatting sqref="AW5 BB5">
    <cfRule type="duplicateValues" dxfId="173" priority="141"/>
  </conditionalFormatting>
  <conditionalFormatting sqref="F21:H21">
    <cfRule type="expression" dxfId="172" priority="140">
      <formula>F21=0</formula>
    </cfRule>
  </conditionalFormatting>
  <conditionalFormatting sqref="AJ21 AE21 T21:U21 O21 J21">
    <cfRule type="expression" dxfId="171" priority="139">
      <formula>J21&gt;0</formula>
    </cfRule>
  </conditionalFormatting>
  <conditionalFormatting sqref="AJ21 AE21 U21">
    <cfRule type="expression" dxfId="170" priority="138">
      <formula>U21&lt;&gt;T21</formula>
    </cfRule>
  </conditionalFormatting>
  <conditionalFormatting sqref="AJ21 AE21">
    <cfRule type="expression" dxfId="169" priority="137">
      <formula>AE21&lt;&gt;AD21</formula>
    </cfRule>
  </conditionalFormatting>
  <conditionalFormatting sqref="AO21">
    <cfRule type="expression" dxfId="168" priority="136">
      <formula>AO21&gt;0</formula>
    </cfRule>
  </conditionalFormatting>
  <conditionalFormatting sqref="AO21">
    <cfRule type="expression" dxfId="167" priority="135">
      <formula>AO21&lt;&gt;AN21</formula>
    </cfRule>
  </conditionalFormatting>
  <conditionalFormatting sqref="AO21">
    <cfRule type="expression" dxfId="166" priority="134">
      <formula>AO21&lt;&gt;AN21</formula>
    </cfRule>
  </conditionalFormatting>
  <conditionalFormatting sqref="AT21">
    <cfRule type="expression" dxfId="165" priority="133">
      <formula>AT21&gt;0</formula>
    </cfRule>
  </conditionalFormatting>
  <conditionalFormatting sqref="AT21">
    <cfRule type="expression" dxfId="164" priority="132">
      <formula>AT21&lt;&gt;AS21</formula>
    </cfRule>
  </conditionalFormatting>
  <conditionalFormatting sqref="AT21">
    <cfRule type="expression" dxfId="163" priority="131">
      <formula>AT21&lt;&gt;AS21</formula>
    </cfRule>
  </conditionalFormatting>
  <conditionalFormatting sqref="AY21">
    <cfRule type="expression" dxfId="162" priority="130">
      <formula>AY21&gt;0</formula>
    </cfRule>
  </conditionalFormatting>
  <conditionalFormatting sqref="AY21">
    <cfRule type="expression" dxfId="161" priority="129">
      <formula>AY21&lt;&gt;AX21</formula>
    </cfRule>
  </conditionalFormatting>
  <conditionalFormatting sqref="AY21">
    <cfRule type="expression" dxfId="160" priority="128">
      <formula>AY21&lt;&gt;AX21</formula>
    </cfRule>
  </conditionalFormatting>
  <conditionalFormatting sqref="BD21">
    <cfRule type="expression" dxfId="159" priority="127">
      <formula>BD21&gt;0</formula>
    </cfRule>
  </conditionalFormatting>
  <conditionalFormatting sqref="BD21">
    <cfRule type="expression" dxfId="158" priority="126">
      <formula>BD21&lt;&gt;BC21</formula>
    </cfRule>
  </conditionalFormatting>
  <conditionalFormatting sqref="BD21">
    <cfRule type="expression" dxfId="157" priority="125">
      <formula>BD21&lt;&gt;BC21</formula>
    </cfRule>
  </conditionalFormatting>
  <conditionalFormatting sqref="BI21">
    <cfRule type="expression" dxfId="156" priority="124">
      <formula>BI21&gt;0</formula>
    </cfRule>
  </conditionalFormatting>
  <conditionalFormatting sqref="BI21">
    <cfRule type="expression" dxfId="155" priority="123">
      <formula>BI21&lt;&gt;BH21</formula>
    </cfRule>
  </conditionalFormatting>
  <conditionalFormatting sqref="BI21">
    <cfRule type="expression" dxfId="154" priority="122">
      <formula>BI21&lt;&gt;BH21</formula>
    </cfRule>
  </conditionalFormatting>
  <conditionalFormatting sqref="BN21">
    <cfRule type="expression" dxfId="153" priority="121">
      <formula>BN21&gt;0</formula>
    </cfRule>
  </conditionalFormatting>
  <conditionalFormatting sqref="BN21">
    <cfRule type="expression" dxfId="152" priority="120">
      <formula>BN21&lt;&gt;BM21</formula>
    </cfRule>
  </conditionalFormatting>
  <conditionalFormatting sqref="BN21">
    <cfRule type="expression" dxfId="151" priority="119">
      <formula>BN21&lt;&gt;BM21</formula>
    </cfRule>
  </conditionalFormatting>
  <conditionalFormatting sqref="BS21">
    <cfRule type="expression" dxfId="150" priority="118">
      <formula>BS21&gt;0</formula>
    </cfRule>
  </conditionalFormatting>
  <conditionalFormatting sqref="BS21">
    <cfRule type="expression" dxfId="149" priority="117">
      <formula>BS21&lt;&gt;BR21</formula>
    </cfRule>
  </conditionalFormatting>
  <conditionalFormatting sqref="BS21">
    <cfRule type="expression" dxfId="148" priority="116">
      <formula>BS21&lt;&gt;BR21</formula>
    </cfRule>
  </conditionalFormatting>
  <conditionalFormatting sqref="K9:K20 K22:K36">
    <cfRule type="expression" dxfId="147" priority="91">
      <formula>K9&gt;0</formula>
    </cfRule>
  </conditionalFormatting>
  <conditionalFormatting sqref="K21">
    <cfRule type="expression" dxfId="146" priority="90">
      <formula>K21&gt;0</formula>
    </cfRule>
  </conditionalFormatting>
  <conditionalFormatting sqref="P9:P20 P22:P26">
    <cfRule type="expression" dxfId="145" priority="89">
      <formula>P9&gt;0</formula>
    </cfRule>
  </conditionalFormatting>
  <conditionalFormatting sqref="P21">
    <cfRule type="expression" dxfId="144" priority="88">
      <formula>P21&gt;0</formula>
    </cfRule>
  </conditionalFormatting>
  <conditionalFormatting sqref="U9:U18">
    <cfRule type="expression" dxfId="143" priority="87">
      <formula>U9&gt;0</formula>
    </cfRule>
  </conditionalFormatting>
  <conditionalFormatting sqref="AJ9:AJ18">
    <cfRule type="expression" dxfId="142" priority="80">
      <formula>AJ9&gt;0</formula>
    </cfRule>
  </conditionalFormatting>
  <conditionalFormatting sqref="AJ9:AJ18">
    <cfRule type="expression" dxfId="141" priority="79">
      <formula>AJ9&lt;&gt;AI9</formula>
    </cfRule>
  </conditionalFormatting>
  <conditionalFormatting sqref="AJ9:AJ18">
    <cfRule type="expression" dxfId="140" priority="78">
      <formula>AJ9&lt;&gt;AI9</formula>
    </cfRule>
  </conditionalFormatting>
  <conditionalFormatting sqref="Z9:Z14 Z22:Z36 Z16:Z20">
    <cfRule type="expression" dxfId="139" priority="77">
      <formula>Z9&gt;0</formula>
    </cfRule>
  </conditionalFormatting>
  <conditionalFormatting sqref="Z21">
    <cfRule type="expression" dxfId="138" priority="76">
      <formula>Z21&gt;0</formula>
    </cfRule>
  </conditionalFormatting>
  <conditionalFormatting sqref="Z15">
    <cfRule type="expression" dxfId="137" priority="75">
      <formula>Z15&gt;0</formula>
    </cfRule>
  </conditionalFormatting>
  <conditionalFormatting sqref="Y22:Y36 Y16:Y20">
    <cfRule type="expression" dxfId="136" priority="74">
      <formula>Y16&gt;0</formula>
    </cfRule>
  </conditionalFormatting>
  <conditionalFormatting sqref="Y21">
    <cfRule type="expression" dxfId="135" priority="73">
      <formula>Y21&gt;0</formula>
    </cfRule>
  </conditionalFormatting>
  <conditionalFormatting sqref="Y15">
    <cfRule type="expression" dxfId="134" priority="72">
      <formula>Y15&gt;0</formula>
    </cfRule>
  </conditionalFormatting>
  <conditionalFormatting sqref="BR22:BR23">
    <cfRule type="expression" dxfId="133" priority="71">
      <formula>BR22&lt;&gt;BQ22</formula>
    </cfRule>
  </conditionalFormatting>
  <conditionalFormatting sqref="BR22:BR23">
    <cfRule type="expression" dxfId="132" priority="70">
      <formula>BR22&lt;&gt;BQ22</formula>
    </cfRule>
  </conditionalFormatting>
  <conditionalFormatting sqref="BR26:BR30 BR22:BR23 BR12:BR20">
    <cfRule type="expression" dxfId="131" priority="69">
      <formula>BR12&gt;0</formula>
    </cfRule>
  </conditionalFormatting>
  <conditionalFormatting sqref="BR12:BR20 BR26:BR30">
    <cfRule type="expression" dxfId="130" priority="68">
      <formula>BR12&lt;&gt;BQ12</formula>
    </cfRule>
  </conditionalFormatting>
  <conditionalFormatting sqref="BR12:BR20 BR26:BR30">
    <cfRule type="expression" dxfId="129" priority="67">
      <formula>BR12&lt;&gt;BQ12</formula>
    </cfRule>
  </conditionalFormatting>
  <conditionalFormatting sqref="BR21">
    <cfRule type="expression" dxfId="128" priority="66">
      <formula>BR21&gt;0</formula>
    </cfRule>
  </conditionalFormatting>
  <conditionalFormatting sqref="BR21">
    <cfRule type="expression" dxfId="127" priority="65">
      <formula>BR21&lt;&gt;BQ21</formula>
    </cfRule>
  </conditionalFormatting>
  <conditionalFormatting sqref="BR21">
    <cfRule type="expression" dxfId="126" priority="64">
      <formula>BR21&lt;&gt;BQ21</formula>
    </cfRule>
  </conditionalFormatting>
  <conditionalFormatting sqref="BH22:BH23">
    <cfRule type="expression" dxfId="125" priority="63">
      <formula>BH22&lt;&gt;BG22</formula>
    </cfRule>
  </conditionalFormatting>
  <conditionalFormatting sqref="BH22:BH23">
    <cfRule type="expression" dxfId="124" priority="62">
      <formula>BH22&lt;&gt;BG22</formula>
    </cfRule>
  </conditionalFormatting>
  <conditionalFormatting sqref="BH9:BH20 BH26:BH30 BH22:BH23">
    <cfRule type="expression" dxfId="123" priority="61">
      <formula>BH9&gt;0</formula>
    </cfRule>
  </conditionalFormatting>
  <conditionalFormatting sqref="BH9:BH20 BH26:BH30">
    <cfRule type="expression" dxfId="122" priority="60">
      <formula>BH9&lt;&gt;BG9</formula>
    </cfRule>
  </conditionalFormatting>
  <conditionalFormatting sqref="BH9:BH20 BH26:BH30">
    <cfRule type="expression" dxfId="121" priority="59">
      <formula>BH9&lt;&gt;BG9</formula>
    </cfRule>
  </conditionalFormatting>
  <conditionalFormatting sqref="BH21">
    <cfRule type="expression" dxfId="120" priority="58">
      <formula>BH21&gt;0</formula>
    </cfRule>
  </conditionalFormatting>
  <conditionalFormatting sqref="BH21">
    <cfRule type="expression" dxfId="119" priority="57">
      <formula>BH21&lt;&gt;BG21</formula>
    </cfRule>
  </conditionalFormatting>
  <conditionalFormatting sqref="BH21">
    <cfRule type="expression" dxfId="118" priority="56">
      <formula>BH21&lt;&gt;BG21</formula>
    </cfRule>
  </conditionalFormatting>
  <conditionalFormatting sqref="BM22:BM23">
    <cfRule type="expression" dxfId="117" priority="55">
      <formula>BM22&lt;&gt;BL22</formula>
    </cfRule>
  </conditionalFormatting>
  <conditionalFormatting sqref="BM22:BM23">
    <cfRule type="expression" dxfId="116" priority="54">
      <formula>BM22&lt;&gt;BL22</formula>
    </cfRule>
  </conditionalFormatting>
  <conditionalFormatting sqref="BM9:BM20 BM26:BM30 BM22:BM23">
    <cfRule type="expression" dxfId="115" priority="53">
      <formula>BM9&gt;0</formula>
    </cfRule>
  </conditionalFormatting>
  <conditionalFormatting sqref="BM9:BM20 BM26:BM30">
    <cfRule type="expression" dxfId="114" priority="52">
      <formula>BM9&lt;&gt;BL9</formula>
    </cfRule>
  </conditionalFormatting>
  <conditionalFormatting sqref="BM9:BM20 BM26:BM30">
    <cfRule type="expression" dxfId="113" priority="51">
      <formula>BM9&lt;&gt;BL9</formula>
    </cfRule>
  </conditionalFormatting>
  <conditionalFormatting sqref="BM21">
    <cfRule type="expression" dxfId="112" priority="50">
      <formula>BM21&gt;0</formula>
    </cfRule>
  </conditionalFormatting>
  <conditionalFormatting sqref="BM21">
    <cfRule type="expression" dxfId="111" priority="49">
      <formula>BM21&lt;&gt;BL21</formula>
    </cfRule>
  </conditionalFormatting>
  <conditionalFormatting sqref="BM21">
    <cfRule type="expression" dxfId="110" priority="48">
      <formula>BM21&lt;&gt;BL21</formula>
    </cfRule>
  </conditionalFormatting>
  <conditionalFormatting sqref="BC22:BC23">
    <cfRule type="expression" dxfId="109" priority="47">
      <formula>BC22&lt;&gt;BB22</formula>
    </cfRule>
  </conditionalFormatting>
  <conditionalFormatting sqref="BC22:BC23">
    <cfRule type="expression" dxfId="108" priority="46">
      <formula>BC22&lt;&gt;BB22</formula>
    </cfRule>
  </conditionalFormatting>
  <conditionalFormatting sqref="BC9:BC20 BC26:BC30 BC22:BC23">
    <cfRule type="expression" dxfId="107" priority="45">
      <formula>BC9&gt;0</formula>
    </cfRule>
  </conditionalFormatting>
  <conditionalFormatting sqref="BC9:BC20 BC26:BC30">
    <cfRule type="expression" dxfId="106" priority="44">
      <formula>BC9&lt;&gt;BB9</formula>
    </cfRule>
  </conditionalFormatting>
  <conditionalFormatting sqref="BC9:BC20 BC26:BC30">
    <cfRule type="expression" dxfId="105" priority="43">
      <formula>BC9&lt;&gt;BB9</formula>
    </cfRule>
  </conditionalFormatting>
  <conditionalFormatting sqref="BC21">
    <cfRule type="expression" dxfId="104" priority="42">
      <formula>BC21&gt;0</formula>
    </cfRule>
  </conditionalFormatting>
  <conditionalFormatting sqref="BC21">
    <cfRule type="expression" dxfId="103" priority="41">
      <formula>BC21&lt;&gt;BB21</formula>
    </cfRule>
  </conditionalFormatting>
  <conditionalFormatting sqref="BC21">
    <cfRule type="expression" dxfId="102" priority="40">
      <formula>BC21&lt;&gt;BB21</formula>
    </cfRule>
  </conditionalFormatting>
  <conditionalFormatting sqref="AX22:AX23">
    <cfRule type="expression" dxfId="101" priority="39">
      <formula>AX22&lt;&gt;AW22</formula>
    </cfRule>
  </conditionalFormatting>
  <conditionalFormatting sqref="AX22:AX23">
    <cfRule type="expression" dxfId="100" priority="38">
      <formula>AX22&lt;&gt;AW22</formula>
    </cfRule>
  </conditionalFormatting>
  <conditionalFormatting sqref="AX9:AX20 AX26:AX30 AX22:AX23">
    <cfRule type="expression" dxfId="99" priority="37">
      <formula>AX9&gt;0</formula>
    </cfRule>
  </conditionalFormatting>
  <conditionalFormatting sqref="AX9:AX20 AX26:AX30">
    <cfRule type="expression" dxfId="98" priority="36">
      <formula>AX9&lt;&gt;AW9</formula>
    </cfRule>
  </conditionalFormatting>
  <conditionalFormatting sqref="AX9:AX20 AX26:AX30">
    <cfRule type="expression" dxfId="97" priority="35">
      <formula>AX9&lt;&gt;AW9</formula>
    </cfRule>
  </conditionalFormatting>
  <conditionalFormatting sqref="AX21">
    <cfRule type="expression" dxfId="96" priority="34">
      <formula>AX21&gt;0</formula>
    </cfRule>
  </conditionalFormatting>
  <conditionalFormatting sqref="AX21">
    <cfRule type="expression" dxfId="95" priority="33">
      <formula>AX21&lt;&gt;AW21</formula>
    </cfRule>
  </conditionalFormatting>
  <conditionalFormatting sqref="AX21">
    <cfRule type="expression" dxfId="94" priority="32">
      <formula>AX21&lt;&gt;AW21</formula>
    </cfRule>
  </conditionalFormatting>
  <conditionalFormatting sqref="AS22:AS23">
    <cfRule type="expression" dxfId="93" priority="31">
      <formula>AS22&lt;&gt;AR22</formula>
    </cfRule>
  </conditionalFormatting>
  <conditionalFormatting sqref="AS22:AS23">
    <cfRule type="expression" dxfId="92" priority="30">
      <formula>AS22&lt;&gt;AR22</formula>
    </cfRule>
  </conditionalFormatting>
  <conditionalFormatting sqref="AS9:AS14 AS26:AS30 AS22:AS23 AS18:AS20">
    <cfRule type="expression" dxfId="91" priority="29">
      <formula>AS9&gt;0</formula>
    </cfRule>
  </conditionalFormatting>
  <conditionalFormatting sqref="AS9:AS14 AS26:AS30 AS18:AS20">
    <cfRule type="expression" dxfId="90" priority="28">
      <formula>AS9&lt;&gt;AR9</formula>
    </cfRule>
  </conditionalFormatting>
  <conditionalFormatting sqref="AS9:AS14 AS26:AS30 AS18:AS20">
    <cfRule type="expression" dxfId="89" priority="27">
      <formula>AS9&lt;&gt;AR9</formula>
    </cfRule>
  </conditionalFormatting>
  <conditionalFormatting sqref="AS21">
    <cfRule type="expression" dxfId="88" priority="26">
      <formula>AS21&gt;0</formula>
    </cfRule>
  </conditionalFormatting>
  <conditionalFormatting sqref="AS21">
    <cfRule type="expression" dxfId="87" priority="25">
      <formula>AS21&lt;&gt;AR21</formula>
    </cfRule>
  </conditionalFormatting>
  <conditionalFormatting sqref="AS21">
    <cfRule type="expression" dxfId="86" priority="24">
      <formula>AS21&lt;&gt;AR21</formula>
    </cfRule>
  </conditionalFormatting>
  <conditionalFormatting sqref="AN22:AN23">
    <cfRule type="expression" dxfId="85" priority="23">
      <formula>AN22&lt;&gt;AM22</formula>
    </cfRule>
  </conditionalFormatting>
  <conditionalFormatting sqref="AN22:AN23">
    <cfRule type="expression" dxfId="84" priority="22">
      <formula>AN22&lt;&gt;AM22</formula>
    </cfRule>
  </conditionalFormatting>
  <conditionalFormatting sqref="AN9:AN20 AN26:AN30 AN22:AN23">
    <cfRule type="expression" dxfId="83" priority="21">
      <formula>AN9&gt;0</formula>
    </cfRule>
  </conditionalFormatting>
  <conditionalFormatting sqref="AN9:AN20 AN26:AN30">
    <cfRule type="expression" dxfId="82" priority="20">
      <formula>AN9&lt;&gt;AM9</formula>
    </cfRule>
  </conditionalFormatting>
  <conditionalFormatting sqref="AN9:AN20 AN26:AN30">
    <cfRule type="expression" dxfId="81" priority="19">
      <formula>AN9&lt;&gt;AM9</formula>
    </cfRule>
  </conditionalFormatting>
  <conditionalFormatting sqref="AN21">
    <cfRule type="expression" dxfId="80" priority="18">
      <formula>AN21&gt;0</formula>
    </cfRule>
  </conditionalFormatting>
  <conditionalFormatting sqref="AN21">
    <cfRule type="expression" dxfId="79" priority="17">
      <formula>AN21&lt;&gt;AM21</formula>
    </cfRule>
  </conditionalFormatting>
  <conditionalFormatting sqref="AN21">
    <cfRule type="expression" dxfId="78" priority="16">
      <formula>AN21&lt;&gt;AM21</formula>
    </cfRule>
  </conditionalFormatting>
  <conditionalFormatting sqref="AI26:AI30 AI22:AI23 AI19:AI20">
    <cfRule type="expression" dxfId="77" priority="15">
      <formula>AI19&gt;0</formula>
    </cfRule>
  </conditionalFormatting>
  <conditionalFormatting sqref="AI26:AI30 AI22:AI23 AI19:AI20">
    <cfRule type="expression" dxfId="76" priority="14">
      <formula>AI19&lt;&gt;AH19</formula>
    </cfRule>
  </conditionalFormatting>
  <conditionalFormatting sqref="AI26:AI30 AI22:AI23 AI19:AI20">
    <cfRule type="expression" dxfId="75" priority="13">
      <formula>AI19&lt;&gt;AH19</formula>
    </cfRule>
  </conditionalFormatting>
  <conditionalFormatting sqref="AI21">
    <cfRule type="expression" dxfId="74" priority="12">
      <formula>AI21&gt;0</formula>
    </cfRule>
  </conditionalFormatting>
  <conditionalFormatting sqref="AI21">
    <cfRule type="expression" dxfId="73" priority="11">
      <formula>AI21&lt;&gt;AH21</formula>
    </cfRule>
  </conditionalFormatting>
  <conditionalFormatting sqref="AI21">
    <cfRule type="expression" dxfId="72" priority="10">
      <formula>AI21&lt;&gt;AH21</formula>
    </cfRule>
  </conditionalFormatting>
  <conditionalFormatting sqref="AI9:AI18">
    <cfRule type="expression" dxfId="71" priority="9">
      <formula>AI9&gt;0</formula>
    </cfRule>
  </conditionalFormatting>
  <conditionalFormatting sqref="AI9:AI18">
    <cfRule type="expression" dxfId="70" priority="8">
      <formula>AI9&lt;&gt;AH9</formula>
    </cfRule>
  </conditionalFormatting>
  <conditionalFormatting sqref="AI9:AI18">
    <cfRule type="expression" dxfId="69" priority="7">
      <formula>AI9&lt;&gt;AH9</formula>
    </cfRule>
  </conditionalFormatting>
  <conditionalFormatting sqref="AD22:AD36 AD9:AD20">
    <cfRule type="expression" dxfId="68" priority="6">
      <formula>AD9&gt;0</formula>
    </cfRule>
  </conditionalFormatting>
  <conditionalFormatting sqref="AD9:AD20 AD22:AD36">
    <cfRule type="expression" dxfId="67" priority="5">
      <formula>AD9&lt;&gt;AC9</formula>
    </cfRule>
  </conditionalFormatting>
  <conditionalFormatting sqref="AD9:AD20 AD22:AD36">
    <cfRule type="expression" dxfId="66" priority="4">
      <formula>AD9&lt;&gt;AC9</formula>
    </cfRule>
  </conditionalFormatting>
  <conditionalFormatting sqref="AD21">
    <cfRule type="expression" dxfId="65" priority="3">
      <formula>AD21&gt;0</formula>
    </cfRule>
  </conditionalFormatting>
  <conditionalFormatting sqref="AD21">
    <cfRule type="expression" dxfId="64" priority="2">
      <formula>AD21&lt;&gt;AC21</formula>
    </cfRule>
  </conditionalFormatting>
  <conditionalFormatting sqref="AD21">
    <cfRule type="expression" dxfId="63" priority="1">
      <formula>AD21&lt;&gt;AC21</formula>
    </cfRule>
  </conditionalFormatting>
  <conditionalFormatting sqref="F37:H1048576 H1 F2:H3 F4 H4 J4 L4 N4 P4 R4 T4 V4 X4 Z4 AB4 AD4 AF4 AH4 AJ4 AL4:AM4 AO4 AT4 AY4 BD4 BI4 BN4 BS4 AQ4:AR4 AV4:AW4 BA4:BB4 BF4:BG4 BK4:BL4 BP4:BQ4 BU4">
    <cfRule type="duplicateValues" dxfId="62" priority="1523"/>
  </conditionalFormatting>
  <dataValidations count="2">
    <dataValidation type="list" allowBlank="1" showInputMessage="1" showErrorMessage="1" sqref="I3:BU3">
      <formula1>"Junior,Senior,Test Leader"</formula1>
    </dataValidation>
    <dataValidation type="list" allowBlank="1" showInputMessage="1" showErrorMessage="1" sqref="E2">
      <formula1>"FIT AVN,FIT Telematic,ST AVN,ST Telematic,SWT AVN"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G39"/>
  <sheetViews>
    <sheetView showGridLines="0" zoomScale="90" zoomScaleNormal="90" workbookViewId="0">
      <pane xSplit="5" ySplit="8" topLeftCell="I15" activePane="bottomRight" state="frozen"/>
      <selection activeCell="BC10" sqref="BC10"/>
      <selection pane="topRight" activeCell="BC10" sqref="BC10"/>
      <selection pane="bottomLeft" activeCell="BC10" sqref="BC10"/>
      <selection pane="bottomRight" activeCell="M25" sqref="M25"/>
    </sheetView>
  </sheetViews>
  <sheetFormatPr defaultRowHeight="14.4"/>
  <cols>
    <col min="1" max="1" width="3.88671875" customWidth="1"/>
    <col min="2" max="2" width="9.5546875" customWidth="1"/>
    <col min="3" max="3" width="16.88671875" customWidth="1"/>
    <col min="4" max="4" width="27.88671875" customWidth="1"/>
    <col min="5" max="5" width="40.21875" bestFit="1" customWidth="1"/>
    <col min="6" max="6" width="8.88671875" customWidth="1"/>
    <col min="7" max="8" width="11.44140625" customWidth="1"/>
    <col min="9" max="33" width="8" customWidth="1"/>
  </cols>
  <sheetData>
    <row r="1" spans="2:33">
      <c r="E1" s="138" t="s">
        <v>19</v>
      </c>
      <c r="F1" s="138">
        <v>6</v>
      </c>
      <c r="G1" s="138">
        <v>7</v>
      </c>
      <c r="I1" s="390"/>
      <c r="J1" s="390"/>
      <c r="K1" s="390"/>
      <c r="L1" s="390"/>
      <c r="M1" s="390"/>
    </row>
    <row r="2" spans="2:33" ht="15.6">
      <c r="B2" s="389" t="s">
        <v>223</v>
      </c>
      <c r="C2" s="389"/>
      <c r="E2" s="138" t="s">
        <v>333</v>
      </c>
      <c r="F2" s="138">
        <v>4</v>
      </c>
      <c r="I2" s="390">
        <v>3</v>
      </c>
      <c r="J2" s="390"/>
      <c r="K2" s="390"/>
      <c r="L2" s="390"/>
      <c r="M2" s="390"/>
      <c r="N2" s="390">
        <v>4</v>
      </c>
      <c r="O2" s="390"/>
      <c r="P2" s="390"/>
      <c r="Q2" s="390"/>
      <c r="R2" s="390"/>
      <c r="S2" s="390">
        <v>4</v>
      </c>
      <c r="T2" s="390"/>
      <c r="U2" s="390"/>
      <c r="V2" s="390"/>
      <c r="W2" s="390"/>
      <c r="X2" s="390">
        <f>VLOOKUP(X$3,[3]KPI_ST_Indexes!$B$35:$C$37,2,0)</f>
        <v>4</v>
      </c>
      <c r="Y2" s="390"/>
      <c r="Z2" s="390"/>
      <c r="AA2" s="390"/>
      <c r="AB2" s="390"/>
      <c r="AC2" s="390">
        <v>4</v>
      </c>
      <c r="AD2" s="390"/>
      <c r="AE2" s="390"/>
      <c r="AF2" s="390"/>
      <c r="AG2" s="390"/>
    </row>
    <row r="3" spans="2:33">
      <c r="I3" s="390" t="s">
        <v>141</v>
      </c>
      <c r="J3" s="390"/>
      <c r="K3" s="390"/>
      <c r="L3" s="390"/>
      <c r="M3" s="390"/>
      <c r="N3" s="390" t="s">
        <v>141</v>
      </c>
      <c r="O3" s="390"/>
      <c r="P3" s="390"/>
      <c r="Q3" s="390"/>
      <c r="R3" s="390"/>
      <c r="S3" s="390" t="s">
        <v>226</v>
      </c>
      <c r="T3" s="390"/>
      <c r="U3" s="390"/>
      <c r="V3" s="390"/>
      <c r="W3" s="390"/>
      <c r="X3" s="390" t="s">
        <v>226</v>
      </c>
      <c r="Y3" s="390"/>
      <c r="Z3" s="390"/>
      <c r="AA3" s="390"/>
      <c r="AB3" s="390"/>
      <c r="AC3" s="390" t="s">
        <v>226</v>
      </c>
      <c r="AD3" s="390"/>
      <c r="AE3" s="390"/>
      <c r="AF3" s="390"/>
      <c r="AG3" s="390"/>
    </row>
    <row r="4" spans="2:33">
      <c r="E4">
        <v>1</v>
      </c>
      <c r="F4">
        <v>2</v>
      </c>
      <c r="G4">
        <v>3</v>
      </c>
      <c r="H4">
        <v>4</v>
      </c>
      <c r="I4">
        <v>5</v>
      </c>
      <c r="J4">
        <v>6</v>
      </c>
      <c r="K4">
        <v>7</v>
      </c>
      <c r="L4">
        <v>8</v>
      </c>
      <c r="M4">
        <v>9</v>
      </c>
      <c r="N4">
        <v>10</v>
      </c>
      <c r="O4">
        <v>11</v>
      </c>
      <c r="P4">
        <v>12</v>
      </c>
      <c r="Q4">
        <v>13</v>
      </c>
      <c r="R4">
        <v>14</v>
      </c>
      <c r="S4">
        <v>15</v>
      </c>
      <c r="T4">
        <v>16</v>
      </c>
      <c r="U4">
        <v>17</v>
      </c>
      <c r="V4">
        <v>18</v>
      </c>
      <c r="W4">
        <v>19</v>
      </c>
      <c r="X4">
        <v>20</v>
      </c>
      <c r="Y4">
        <v>21</v>
      </c>
      <c r="Z4">
        <v>22</v>
      </c>
      <c r="AA4">
        <v>23</v>
      </c>
      <c r="AB4">
        <v>24</v>
      </c>
      <c r="AC4">
        <v>25</v>
      </c>
      <c r="AD4">
        <v>26</v>
      </c>
      <c r="AE4">
        <v>27</v>
      </c>
      <c r="AF4">
        <v>28</v>
      </c>
      <c r="AG4">
        <v>29</v>
      </c>
    </row>
    <row r="5" spans="2:33" ht="25.5" customHeight="1">
      <c r="B5" s="385" t="s">
        <v>227</v>
      </c>
      <c r="C5" s="385" t="s">
        <v>228</v>
      </c>
      <c r="D5" s="385" t="s">
        <v>229</v>
      </c>
      <c r="E5" s="385" t="s">
        <v>230</v>
      </c>
      <c r="F5" s="405" t="s">
        <v>336</v>
      </c>
      <c r="G5" s="405" t="s">
        <v>335</v>
      </c>
      <c r="H5" s="405" t="s">
        <v>334</v>
      </c>
      <c r="I5" s="391" t="s">
        <v>340</v>
      </c>
      <c r="J5" s="392"/>
      <c r="K5" s="392"/>
      <c r="L5" s="392"/>
      <c r="M5" s="393"/>
      <c r="N5" s="391" t="s">
        <v>343</v>
      </c>
      <c r="O5" s="392"/>
      <c r="P5" s="392"/>
      <c r="Q5" s="392"/>
      <c r="R5" s="393"/>
      <c r="S5" s="391" t="s">
        <v>344</v>
      </c>
      <c r="T5" s="392"/>
      <c r="U5" s="392"/>
      <c r="V5" s="392"/>
      <c r="W5" s="393"/>
      <c r="X5" s="391" t="s">
        <v>345</v>
      </c>
      <c r="Y5" s="392"/>
      <c r="Z5" s="392"/>
      <c r="AA5" s="392"/>
      <c r="AB5" s="393"/>
      <c r="AC5" s="391" t="s">
        <v>346</v>
      </c>
      <c r="AD5" s="392"/>
      <c r="AE5" s="392"/>
      <c r="AF5" s="392"/>
      <c r="AG5" s="393"/>
    </row>
    <row r="6" spans="2:33">
      <c r="B6" s="385"/>
      <c r="C6" s="385"/>
      <c r="D6" s="385"/>
      <c r="E6" s="385"/>
      <c r="F6" s="406"/>
      <c r="G6" s="406"/>
      <c r="H6" s="406"/>
      <c r="I6" s="402">
        <v>1</v>
      </c>
      <c r="J6" s="403"/>
      <c r="K6" s="403"/>
      <c r="L6" s="403"/>
      <c r="M6" s="404"/>
      <c r="N6" s="402">
        <v>2</v>
      </c>
      <c r="O6" s="403"/>
      <c r="P6" s="403"/>
      <c r="Q6" s="403"/>
      <c r="R6" s="404"/>
      <c r="S6" s="402">
        <v>3</v>
      </c>
      <c r="T6" s="403"/>
      <c r="U6" s="403"/>
      <c r="V6" s="403"/>
      <c r="W6" s="404"/>
      <c r="X6" s="402">
        <v>4</v>
      </c>
      <c r="Y6" s="403"/>
      <c r="Z6" s="403"/>
      <c r="AA6" s="403"/>
      <c r="AB6" s="404"/>
      <c r="AC6" s="402">
        <v>5</v>
      </c>
      <c r="AD6" s="403"/>
      <c r="AE6" s="403"/>
      <c r="AF6" s="403"/>
      <c r="AG6" s="404"/>
    </row>
    <row r="7" spans="2:33" ht="20.399999999999999">
      <c r="B7" s="139"/>
      <c r="C7" s="139"/>
      <c r="D7" s="139"/>
      <c r="E7" s="139"/>
      <c r="F7" s="407"/>
      <c r="G7" s="407"/>
      <c r="H7" s="407"/>
      <c r="I7" s="140">
        <v>2018</v>
      </c>
      <c r="J7" s="140" t="s">
        <v>234</v>
      </c>
      <c r="K7" s="141" t="s">
        <v>235</v>
      </c>
      <c r="L7" s="141" t="s">
        <v>236</v>
      </c>
      <c r="M7" s="141" t="s">
        <v>237</v>
      </c>
      <c r="N7" s="140">
        <v>2018</v>
      </c>
      <c r="O7" s="140" t="s">
        <v>234</v>
      </c>
      <c r="P7" s="141" t="s">
        <v>235</v>
      </c>
      <c r="Q7" s="141" t="s">
        <v>236</v>
      </c>
      <c r="R7" s="141" t="s">
        <v>237</v>
      </c>
      <c r="S7" s="140">
        <v>2018</v>
      </c>
      <c r="T7" s="140" t="s">
        <v>234</v>
      </c>
      <c r="U7" s="141" t="s">
        <v>235</v>
      </c>
      <c r="V7" s="141" t="s">
        <v>236</v>
      </c>
      <c r="W7" s="141" t="s">
        <v>237</v>
      </c>
      <c r="X7" s="140">
        <v>2018</v>
      </c>
      <c r="Y7" s="140" t="s">
        <v>234</v>
      </c>
      <c r="Z7" s="141" t="s">
        <v>235</v>
      </c>
      <c r="AA7" s="141" t="s">
        <v>236</v>
      </c>
      <c r="AB7" s="141" t="s">
        <v>237</v>
      </c>
      <c r="AC7" s="140">
        <v>2018</v>
      </c>
      <c r="AD7" s="140" t="s">
        <v>234</v>
      </c>
      <c r="AE7" s="141" t="s">
        <v>235</v>
      </c>
      <c r="AF7" s="141" t="s">
        <v>236</v>
      </c>
      <c r="AG7" s="141" t="s">
        <v>237</v>
      </c>
    </row>
    <row r="8" spans="2:33">
      <c r="B8" s="179"/>
      <c r="C8" s="179"/>
      <c r="D8" s="179"/>
      <c r="E8" s="179"/>
      <c r="F8" s="143"/>
      <c r="G8" s="143"/>
      <c r="H8" s="143"/>
      <c r="I8" s="58" t="s">
        <v>353</v>
      </c>
      <c r="J8" s="144">
        <f>SUM(J9:J34)</f>
        <v>0.3</v>
      </c>
      <c r="K8" s="145">
        <f>SUM(K9:K34)</f>
        <v>0.3</v>
      </c>
      <c r="L8" s="144"/>
      <c r="M8" s="58"/>
      <c r="N8" s="58" t="s">
        <v>354</v>
      </c>
      <c r="O8" s="144">
        <f>SUM(O9:O34)</f>
        <v>0.16999999999999998</v>
      </c>
      <c r="P8" s="144">
        <f>SUM(P9:P34)</f>
        <v>0.16999999999999998</v>
      </c>
      <c r="Q8" s="144"/>
      <c r="R8" s="58"/>
      <c r="S8" s="58"/>
      <c r="T8" s="144">
        <f>SUM(T9:T34)</f>
        <v>0</v>
      </c>
      <c r="U8" s="144">
        <f>SUM(U9:U34)</f>
        <v>0.30000000000000004</v>
      </c>
      <c r="V8" s="144"/>
      <c r="W8" s="58"/>
      <c r="X8" s="58"/>
      <c r="Y8" s="144">
        <f>SUM(Y9:Y34)</f>
        <v>0</v>
      </c>
      <c r="Z8" s="144">
        <f>SUM(Z9:Z34)</f>
        <v>0.30000000000000004</v>
      </c>
      <c r="AA8" s="144"/>
      <c r="AB8" s="58"/>
      <c r="AC8" s="58"/>
      <c r="AD8" s="144">
        <f>SUM(AD9:AD34)</f>
        <v>0</v>
      </c>
      <c r="AE8" s="144">
        <f>SUM(AE9:AE34)</f>
        <v>0.1</v>
      </c>
      <c r="AF8" s="144"/>
      <c r="AG8" s="58"/>
    </row>
    <row r="9" spans="2:33">
      <c r="B9" s="386" t="s">
        <v>238</v>
      </c>
      <c r="C9" s="410" t="s">
        <v>35</v>
      </c>
      <c r="D9" s="418" t="s">
        <v>239</v>
      </c>
      <c r="E9" s="130" t="s">
        <v>23</v>
      </c>
      <c r="F9" s="4"/>
      <c r="G9" s="146"/>
      <c r="H9" s="146"/>
      <c r="I9" s="147"/>
      <c r="J9" s="148"/>
      <c r="K9" s="148"/>
      <c r="L9" s="149"/>
      <c r="M9" s="149"/>
      <c r="N9" s="147"/>
      <c r="O9" s="148"/>
      <c r="P9" s="148"/>
      <c r="Q9" s="150"/>
      <c r="R9" s="149"/>
      <c r="S9" s="147"/>
      <c r="T9" s="148"/>
      <c r="U9" s="148"/>
      <c r="V9" s="149"/>
      <c r="W9" s="149"/>
      <c r="X9" s="147"/>
      <c r="Y9" s="148"/>
      <c r="Z9" s="148"/>
      <c r="AA9" s="150"/>
      <c r="AB9" s="149"/>
      <c r="AC9" s="147"/>
      <c r="AD9" s="148"/>
      <c r="AE9" s="148"/>
      <c r="AF9" s="150"/>
      <c r="AG9" s="149"/>
    </row>
    <row r="10" spans="2:33">
      <c r="B10" s="387"/>
      <c r="C10" s="410"/>
      <c r="D10" s="419"/>
      <c r="E10" s="228" t="s">
        <v>303</v>
      </c>
      <c r="F10" s="4"/>
      <c r="G10" s="146"/>
      <c r="H10" s="146"/>
      <c r="I10" s="147"/>
      <c r="J10" s="148"/>
      <c r="K10" s="148"/>
      <c r="L10" s="149"/>
      <c r="M10" s="149"/>
      <c r="N10" s="147"/>
      <c r="O10" s="148"/>
      <c r="P10" s="148"/>
      <c r="Q10" s="149"/>
      <c r="R10" s="149"/>
      <c r="S10" s="147"/>
      <c r="T10" s="148"/>
      <c r="U10" s="148"/>
      <c r="V10" s="149"/>
      <c r="W10" s="149"/>
      <c r="X10" s="147"/>
      <c r="Y10" s="148"/>
      <c r="Z10" s="148"/>
      <c r="AA10" s="149"/>
      <c r="AB10" s="149"/>
      <c r="AC10" s="147"/>
      <c r="AD10" s="148"/>
      <c r="AE10" s="148"/>
      <c r="AF10" s="149"/>
      <c r="AG10" s="149"/>
    </row>
    <row r="11" spans="2:33">
      <c r="B11" s="387"/>
      <c r="C11" s="410"/>
      <c r="D11" s="418" t="s">
        <v>240</v>
      </c>
      <c r="E11" s="228" t="s">
        <v>302</v>
      </c>
      <c r="F11" s="4"/>
      <c r="G11" s="146"/>
      <c r="H11" s="146"/>
      <c r="I11" s="147"/>
      <c r="J11" s="148"/>
      <c r="K11" s="148"/>
      <c r="L11" s="149"/>
      <c r="M11" s="149"/>
      <c r="N11" s="147"/>
      <c r="O11" s="148"/>
      <c r="P11" s="148"/>
      <c r="Q11" s="149"/>
      <c r="R11" s="149"/>
      <c r="S11" s="147"/>
      <c r="T11" s="148"/>
      <c r="U11" s="148">
        <v>0.05</v>
      </c>
      <c r="V11" s="149">
        <v>16</v>
      </c>
      <c r="W11" s="149">
        <v>17</v>
      </c>
      <c r="X11" s="147"/>
      <c r="Y11" s="148"/>
      <c r="Z11" s="148">
        <v>0.1</v>
      </c>
      <c r="AA11" s="149">
        <v>29</v>
      </c>
      <c r="AB11" s="149">
        <v>29</v>
      </c>
      <c r="AC11" s="147"/>
      <c r="AD11" s="148"/>
      <c r="AE11" s="148"/>
      <c r="AF11" s="149"/>
      <c r="AG11" s="149"/>
    </row>
    <row r="12" spans="2:33">
      <c r="B12" s="387"/>
      <c r="C12" s="410"/>
      <c r="D12" s="419"/>
      <c r="E12" s="130" t="s">
        <v>20</v>
      </c>
      <c r="F12" s="4"/>
      <c r="G12" s="146"/>
      <c r="H12" s="146"/>
      <c r="I12" s="147"/>
      <c r="J12" s="148"/>
      <c r="K12" s="148"/>
      <c r="L12" s="149"/>
      <c r="M12" s="149"/>
      <c r="N12" s="147"/>
      <c r="O12" s="148"/>
      <c r="P12" s="148"/>
      <c r="Q12" s="149"/>
      <c r="R12" s="149"/>
      <c r="S12" s="147"/>
      <c r="T12" s="148"/>
      <c r="U12" s="148">
        <v>0.1</v>
      </c>
      <c r="V12" s="149">
        <v>49</v>
      </c>
      <c r="W12" s="149">
        <v>50</v>
      </c>
      <c r="X12" s="147"/>
      <c r="Y12" s="148"/>
      <c r="Z12" s="148">
        <v>0.1</v>
      </c>
      <c r="AA12" s="149">
        <v>49</v>
      </c>
      <c r="AB12" s="149">
        <v>49</v>
      </c>
      <c r="AC12" s="147"/>
      <c r="AD12" s="148"/>
      <c r="AE12" s="148"/>
      <c r="AF12" s="149"/>
      <c r="AG12" s="153"/>
    </row>
    <row r="13" spans="2:33">
      <c r="B13" s="387"/>
      <c r="C13" s="415" t="s">
        <v>146</v>
      </c>
      <c r="D13" s="411" t="s">
        <v>241</v>
      </c>
      <c r="E13" s="152" t="s">
        <v>38</v>
      </c>
      <c r="F13" s="4"/>
      <c r="G13" s="146"/>
      <c r="H13" s="146"/>
      <c r="I13" s="148"/>
      <c r="J13" s="148"/>
      <c r="K13" s="148"/>
      <c r="L13" s="153"/>
      <c r="M13" s="153"/>
      <c r="N13" s="148"/>
      <c r="O13" s="148"/>
      <c r="P13" s="148"/>
      <c r="Q13" s="153"/>
      <c r="R13" s="153"/>
      <c r="S13" s="148"/>
      <c r="T13" s="148"/>
      <c r="U13" s="148"/>
      <c r="V13" s="153"/>
      <c r="W13" s="153"/>
      <c r="X13" s="148"/>
      <c r="Y13" s="148"/>
      <c r="Z13" s="148"/>
      <c r="AA13" s="153"/>
      <c r="AB13" s="153"/>
      <c r="AC13" s="148"/>
      <c r="AD13" s="148"/>
      <c r="AE13" s="148"/>
      <c r="AF13" s="153"/>
      <c r="AG13" s="153"/>
    </row>
    <row r="14" spans="2:33">
      <c r="B14" s="387"/>
      <c r="C14" s="416"/>
      <c r="D14" s="411"/>
      <c r="E14" s="181" t="s">
        <v>40</v>
      </c>
      <c r="F14" s="4"/>
      <c r="G14" s="146"/>
      <c r="H14" s="146"/>
      <c r="I14" s="148"/>
      <c r="J14" s="148"/>
      <c r="K14" s="148"/>
      <c r="L14" s="153"/>
      <c r="M14" s="153"/>
      <c r="N14" s="148"/>
      <c r="O14" s="148"/>
      <c r="P14" s="148"/>
      <c r="Q14" s="153"/>
      <c r="R14" s="153"/>
      <c r="S14" s="148"/>
      <c r="T14" s="148"/>
      <c r="U14" s="148"/>
      <c r="V14" s="153"/>
      <c r="W14" s="153"/>
      <c r="X14" s="148"/>
      <c r="Y14" s="148"/>
      <c r="Z14" s="148"/>
      <c r="AA14" s="153"/>
      <c r="AB14" s="153"/>
      <c r="AC14" s="148"/>
      <c r="AD14" s="148"/>
      <c r="AE14" s="148"/>
      <c r="AF14" s="153"/>
      <c r="AG14" s="153"/>
    </row>
    <row r="15" spans="2:33">
      <c r="B15" s="387"/>
      <c r="C15" s="416"/>
      <c r="D15" s="411"/>
      <c r="E15" s="181" t="s">
        <v>242</v>
      </c>
      <c r="F15" s="4"/>
      <c r="G15" s="146"/>
      <c r="H15" s="146"/>
      <c r="I15" s="148"/>
      <c r="J15" s="148">
        <v>0.04</v>
      </c>
      <c r="K15" s="148">
        <v>0.04</v>
      </c>
      <c r="L15" s="153">
        <v>0.2</v>
      </c>
      <c r="M15" s="153">
        <v>0.2</v>
      </c>
      <c r="N15" s="148"/>
      <c r="O15" s="148">
        <v>0.03</v>
      </c>
      <c r="P15" s="148">
        <v>0.04</v>
      </c>
      <c r="Q15" s="153">
        <v>0.3</v>
      </c>
      <c r="R15" s="153">
        <v>0.31</v>
      </c>
      <c r="S15" s="148"/>
      <c r="T15" s="148"/>
      <c r="U15" s="148"/>
      <c r="V15" s="153"/>
      <c r="W15" s="153"/>
      <c r="X15" s="148"/>
      <c r="Y15" s="148"/>
      <c r="Z15" s="148"/>
      <c r="AA15" s="153"/>
      <c r="AB15" s="153"/>
      <c r="AC15" s="148"/>
      <c r="AD15" s="148"/>
      <c r="AE15" s="148">
        <v>0.1</v>
      </c>
      <c r="AF15" s="153">
        <v>0.3</v>
      </c>
      <c r="AG15" s="153">
        <v>0.31</v>
      </c>
    </row>
    <row r="16" spans="2:33">
      <c r="B16" s="387"/>
      <c r="C16" s="416"/>
      <c r="D16" s="154" t="s">
        <v>243</v>
      </c>
      <c r="E16" s="155" t="s">
        <v>244</v>
      </c>
      <c r="F16" s="4"/>
      <c r="G16" s="146"/>
      <c r="H16" s="146"/>
      <c r="I16" s="148"/>
      <c r="J16" s="148"/>
      <c r="K16" s="148"/>
      <c r="L16" s="153"/>
      <c r="M16" s="153"/>
      <c r="N16" s="148"/>
      <c r="O16" s="148"/>
      <c r="P16" s="148"/>
      <c r="Q16" s="153"/>
      <c r="R16" s="153"/>
      <c r="S16" s="148"/>
      <c r="T16" s="148"/>
      <c r="U16" s="148">
        <v>0.15</v>
      </c>
      <c r="V16" s="153">
        <v>0.95</v>
      </c>
      <c r="W16" s="153">
        <v>0.98</v>
      </c>
      <c r="X16" s="148"/>
      <c r="Y16" s="148"/>
      <c r="Z16" s="148">
        <v>0.1</v>
      </c>
      <c r="AA16" s="153">
        <v>0.95</v>
      </c>
      <c r="AB16" s="153">
        <v>0.96</v>
      </c>
      <c r="AC16" s="148"/>
      <c r="AD16" s="148"/>
      <c r="AE16" s="148"/>
      <c r="AF16" s="153"/>
      <c r="AG16" s="153"/>
    </row>
    <row r="17" spans="2:33">
      <c r="B17" s="387"/>
      <c r="C17" s="416"/>
      <c r="D17" s="154"/>
      <c r="E17" s="186" t="s">
        <v>279</v>
      </c>
      <c r="F17" s="4"/>
      <c r="G17" s="146"/>
      <c r="H17" s="146"/>
      <c r="I17" s="148"/>
      <c r="J17" s="148"/>
      <c r="K17" s="148"/>
      <c r="L17" s="153"/>
      <c r="M17" s="153"/>
      <c r="N17" s="148"/>
      <c r="O17" s="148"/>
      <c r="P17" s="148"/>
      <c r="Q17" s="153"/>
      <c r="R17" s="153"/>
      <c r="S17" s="148"/>
      <c r="T17" s="148"/>
      <c r="U17" s="148"/>
      <c r="V17" s="153"/>
      <c r="W17" s="153"/>
      <c r="X17" s="148"/>
      <c r="Y17" s="148"/>
      <c r="Z17" s="148"/>
      <c r="AA17" s="153"/>
      <c r="AB17" s="153"/>
      <c r="AC17" s="148"/>
      <c r="AD17" s="148"/>
      <c r="AE17" s="148"/>
      <c r="AF17" s="153"/>
      <c r="AG17" s="153"/>
    </row>
    <row r="18" spans="2:33">
      <c r="B18" s="388"/>
      <c r="C18" s="417"/>
      <c r="D18" s="154"/>
      <c r="E18" s="186" t="s">
        <v>42</v>
      </c>
      <c r="F18" s="4"/>
      <c r="G18" s="146"/>
      <c r="H18" s="146"/>
      <c r="I18" s="148"/>
      <c r="J18" s="148"/>
      <c r="K18" s="148"/>
      <c r="L18" s="153"/>
      <c r="M18" s="153"/>
      <c r="N18" s="148"/>
      <c r="O18" s="148"/>
      <c r="P18" s="148"/>
      <c r="Q18" s="153"/>
      <c r="R18" s="153"/>
      <c r="S18" s="148"/>
      <c r="T18" s="148"/>
      <c r="U18" s="148"/>
      <c r="V18" s="153"/>
      <c r="W18" s="153"/>
      <c r="X18" s="148"/>
      <c r="Y18" s="148"/>
      <c r="Z18" s="148"/>
      <c r="AA18" s="153"/>
      <c r="AB18" s="153"/>
      <c r="AC18" s="148"/>
      <c r="AD18" s="148"/>
      <c r="AE18" s="148"/>
      <c r="AF18" s="153"/>
      <c r="AG18" s="153"/>
    </row>
    <row r="19" spans="2:33">
      <c r="B19" s="397" t="s">
        <v>245</v>
      </c>
      <c r="C19" s="156" t="s">
        <v>246</v>
      </c>
      <c r="D19" s="157" t="s">
        <v>247</v>
      </c>
      <c r="E19" s="14" t="s">
        <v>48</v>
      </c>
      <c r="F19" s="4"/>
      <c r="G19" s="146"/>
      <c r="H19" s="146"/>
      <c r="I19" s="148"/>
      <c r="J19" s="148">
        <v>0.05</v>
      </c>
      <c r="K19" s="148">
        <v>0.05</v>
      </c>
      <c r="L19" s="153">
        <v>1</v>
      </c>
      <c r="M19" s="153">
        <v>1</v>
      </c>
      <c r="N19" s="148"/>
      <c r="O19" s="158">
        <v>0.03</v>
      </c>
      <c r="P19" s="158">
        <v>0.04</v>
      </c>
      <c r="Q19" s="153"/>
      <c r="R19" s="153"/>
      <c r="S19" s="148"/>
      <c r="T19" s="148"/>
      <c r="U19" s="158"/>
      <c r="V19" s="159"/>
      <c r="W19" s="153"/>
      <c r="X19" s="148"/>
      <c r="Y19" s="148"/>
      <c r="Z19" s="158"/>
      <c r="AA19" s="153"/>
      <c r="AB19" s="153"/>
      <c r="AC19" s="148"/>
      <c r="AD19" s="148"/>
      <c r="AE19" s="158"/>
      <c r="AF19" s="153"/>
      <c r="AG19" s="149"/>
    </row>
    <row r="20" spans="2:33">
      <c r="B20" s="398"/>
      <c r="C20" s="412" t="s">
        <v>35</v>
      </c>
      <c r="D20" s="400" t="s">
        <v>248</v>
      </c>
      <c r="E20" s="14" t="s">
        <v>249</v>
      </c>
      <c r="F20" s="4"/>
      <c r="G20" s="146"/>
      <c r="H20" s="146">
        <v>40</v>
      </c>
      <c r="I20" s="147"/>
      <c r="J20" s="148">
        <v>0.04</v>
      </c>
      <c r="K20" s="148">
        <v>0.04</v>
      </c>
      <c r="L20" s="254">
        <v>40</v>
      </c>
      <c r="M20" s="149">
        <v>61.6</v>
      </c>
      <c r="N20" s="147"/>
      <c r="O20" s="158">
        <v>0.03</v>
      </c>
      <c r="P20" s="158">
        <v>0.04</v>
      </c>
      <c r="Q20" s="149">
        <v>37</v>
      </c>
      <c r="R20" s="149">
        <v>40.619999999999997</v>
      </c>
      <c r="S20" s="147"/>
      <c r="T20" s="148"/>
      <c r="U20" s="158"/>
      <c r="V20" s="160"/>
      <c r="W20" s="149"/>
      <c r="X20" s="147"/>
      <c r="Y20" s="148"/>
      <c r="Z20" s="158"/>
      <c r="AA20" s="149"/>
      <c r="AB20" s="149"/>
      <c r="AC20" s="147"/>
      <c r="AD20" s="148"/>
      <c r="AE20" s="158"/>
      <c r="AF20" s="149"/>
      <c r="AG20" s="149"/>
    </row>
    <row r="21" spans="2:33">
      <c r="B21" s="398"/>
      <c r="C21" s="413"/>
      <c r="D21" s="401"/>
      <c r="E21" s="230" t="s">
        <v>312</v>
      </c>
      <c r="F21" s="4"/>
      <c r="G21" s="146"/>
      <c r="H21" s="146"/>
      <c r="I21" s="147"/>
      <c r="J21" s="148">
        <v>0.04</v>
      </c>
      <c r="K21" s="148">
        <v>0.04</v>
      </c>
      <c r="L21" s="254">
        <v>8</v>
      </c>
      <c r="M21" s="149">
        <v>14.75</v>
      </c>
      <c r="N21" s="147"/>
      <c r="O21" s="158">
        <v>0.02</v>
      </c>
      <c r="P21" s="158">
        <v>0.05</v>
      </c>
      <c r="Q21" s="149">
        <v>8</v>
      </c>
      <c r="R21" s="149">
        <v>12.79</v>
      </c>
      <c r="S21" s="147"/>
      <c r="T21" s="148"/>
      <c r="U21" s="158"/>
      <c r="V21" s="160"/>
      <c r="W21" s="149"/>
      <c r="X21" s="147"/>
      <c r="Y21" s="148"/>
      <c r="Z21" s="158"/>
      <c r="AA21" s="149"/>
      <c r="AB21" s="149"/>
      <c r="AC21" s="147"/>
      <c r="AD21" s="148"/>
      <c r="AE21" s="158"/>
      <c r="AF21" s="149"/>
      <c r="AG21" s="149"/>
    </row>
    <row r="22" spans="2:33">
      <c r="B22" s="398"/>
      <c r="C22" s="413"/>
      <c r="D22" s="400" t="s">
        <v>250</v>
      </c>
      <c r="E22" s="14" t="s">
        <v>251</v>
      </c>
      <c r="F22" s="4"/>
      <c r="G22" s="146"/>
      <c r="H22" s="146"/>
      <c r="I22" s="147"/>
      <c r="J22" s="148">
        <v>0.04</v>
      </c>
      <c r="K22" s="148">
        <v>0.04</v>
      </c>
      <c r="L22" s="254">
        <v>60</v>
      </c>
      <c r="M22" s="149">
        <v>62.11</v>
      </c>
      <c r="N22" s="147"/>
      <c r="O22" s="158">
        <v>0.02</v>
      </c>
      <c r="P22" s="158">
        <v>0</v>
      </c>
      <c r="Q22" s="149"/>
      <c r="R22" s="149"/>
      <c r="S22" s="147"/>
      <c r="T22" s="148"/>
      <c r="U22" s="158"/>
      <c r="V22" s="193"/>
      <c r="W22" s="149"/>
      <c r="X22" s="147"/>
      <c r="Y22" s="148"/>
      <c r="Z22" s="158"/>
      <c r="AA22" s="149"/>
      <c r="AB22" s="149"/>
      <c r="AC22" s="147"/>
      <c r="AD22" s="148"/>
      <c r="AE22" s="158"/>
      <c r="AF22" s="149"/>
      <c r="AG22" s="149"/>
    </row>
    <row r="23" spans="2:33">
      <c r="B23" s="398"/>
      <c r="C23" s="414"/>
      <c r="D23" s="401"/>
      <c r="E23" s="231" t="s">
        <v>304</v>
      </c>
      <c r="F23" s="162"/>
      <c r="G23" s="163"/>
      <c r="H23" s="146"/>
      <c r="I23" s="148"/>
      <c r="J23" s="148">
        <v>0.04</v>
      </c>
      <c r="K23" s="148">
        <v>0.04</v>
      </c>
      <c r="L23" s="424">
        <v>40</v>
      </c>
      <c r="M23" s="149">
        <v>38.35</v>
      </c>
      <c r="N23" s="148"/>
      <c r="O23" s="158">
        <v>0.02</v>
      </c>
      <c r="P23" s="158">
        <v>0</v>
      </c>
      <c r="Q23" s="149"/>
      <c r="R23" s="153"/>
      <c r="S23" s="148"/>
      <c r="T23" s="148"/>
      <c r="U23" s="158"/>
      <c r="V23" s="194"/>
      <c r="W23" s="153"/>
      <c r="X23" s="148"/>
      <c r="Y23" s="148"/>
      <c r="Z23" s="158"/>
      <c r="AA23" s="153"/>
      <c r="AB23" s="153"/>
      <c r="AC23" s="148"/>
      <c r="AD23" s="148"/>
      <c r="AE23" s="158"/>
      <c r="AF23" s="153"/>
      <c r="AG23" s="153"/>
    </row>
    <row r="24" spans="2:33">
      <c r="B24" s="398"/>
      <c r="C24" s="412" t="s">
        <v>146</v>
      </c>
      <c r="D24" s="400" t="s">
        <v>252</v>
      </c>
      <c r="E24" s="161" t="s">
        <v>253</v>
      </c>
      <c r="F24" s="162"/>
      <c r="G24" s="163"/>
      <c r="H24" s="146"/>
      <c r="I24" s="148"/>
      <c r="J24" s="148">
        <v>0</v>
      </c>
      <c r="K24" s="148">
        <v>0</v>
      </c>
      <c r="L24" s="153"/>
      <c r="M24" s="153"/>
      <c r="N24" s="148"/>
      <c r="O24" s="148"/>
      <c r="P24" s="148"/>
      <c r="Q24" s="153"/>
      <c r="R24" s="153"/>
      <c r="S24" s="148"/>
      <c r="T24" s="148"/>
      <c r="U24" s="158"/>
      <c r="V24" s="159"/>
      <c r="W24" s="153"/>
      <c r="X24" s="148"/>
      <c r="Y24" s="148"/>
      <c r="Z24" s="158"/>
      <c r="AA24" s="153"/>
      <c r="AB24" s="153"/>
      <c r="AC24" s="148"/>
      <c r="AD24" s="148"/>
      <c r="AE24" s="158"/>
      <c r="AF24" s="153"/>
      <c r="AG24" s="153"/>
    </row>
    <row r="25" spans="2:33">
      <c r="B25" s="398"/>
      <c r="C25" s="414"/>
      <c r="D25" s="401"/>
      <c r="E25" s="161" t="s">
        <v>254</v>
      </c>
      <c r="F25" s="162"/>
      <c r="G25" s="163"/>
      <c r="H25" s="146"/>
      <c r="I25" s="148"/>
      <c r="J25" s="148">
        <v>0.05</v>
      </c>
      <c r="K25" s="148">
        <v>0.05</v>
      </c>
      <c r="L25" s="153">
        <v>0.05</v>
      </c>
      <c r="M25" s="153">
        <v>0.04</v>
      </c>
      <c r="N25" s="148"/>
      <c r="O25" s="148">
        <v>0.02</v>
      </c>
      <c r="P25" s="148">
        <v>0</v>
      </c>
      <c r="Q25" s="153"/>
      <c r="R25" s="153"/>
      <c r="S25" s="148"/>
      <c r="T25" s="148"/>
      <c r="U25" s="148"/>
      <c r="V25" s="153"/>
      <c r="W25" s="153"/>
      <c r="X25" s="148"/>
      <c r="Y25" s="148"/>
      <c r="Z25" s="148"/>
      <c r="AA25" s="153"/>
      <c r="AB25" s="153"/>
      <c r="AC25" s="148"/>
      <c r="AD25" s="148"/>
      <c r="AE25" s="148"/>
      <c r="AF25" s="153"/>
      <c r="AG25" s="153"/>
    </row>
    <row r="26" spans="2:33">
      <c r="B26" s="398"/>
      <c r="C26" s="226"/>
      <c r="D26" s="227"/>
      <c r="E26" s="230" t="s">
        <v>306</v>
      </c>
      <c r="F26" s="162"/>
      <c r="G26" s="163"/>
      <c r="H26" s="146"/>
      <c r="I26" s="148"/>
      <c r="J26" s="148">
        <v>0</v>
      </c>
      <c r="K26" s="148">
        <v>0</v>
      </c>
      <c r="L26" s="153"/>
      <c r="M26" s="153"/>
      <c r="N26" s="148"/>
      <c r="O26" s="148"/>
      <c r="P26" s="148"/>
      <c r="Q26" s="153"/>
      <c r="R26" s="153"/>
      <c r="S26" s="148"/>
      <c r="T26" s="148"/>
      <c r="U26" s="148"/>
      <c r="V26" s="153"/>
      <c r="W26" s="153"/>
      <c r="X26" s="148"/>
      <c r="Y26" s="148"/>
      <c r="Z26" s="148"/>
      <c r="AA26" s="153"/>
      <c r="AB26" s="153"/>
      <c r="AC26" s="148"/>
      <c r="AD26" s="148"/>
      <c r="AE26" s="148"/>
      <c r="AF26" s="153"/>
      <c r="AG26" s="153"/>
    </row>
    <row r="27" spans="2:33">
      <c r="B27" s="398"/>
      <c r="C27" s="226"/>
      <c r="D27" s="227"/>
      <c r="E27" s="230" t="s">
        <v>308</v>
      </c>
      <c r="F27" s="162"/>
      <c r="G27" s="163"/>
      <c r="H27" s="146"/>
      <c r="I27" s="148"/>
      <c r="J27" s="148"/>
      <c r="K27" s="148"/>
      <c r="L27" s="153"/>
      <c r="M27" s="153"/>
      <c r="N27" s="148"/>
      <c r="O27" s="148"/>
      <c r="P27" s="148"/>
      <c r="Q27" s="153"/>
      <c r="R27" s="153"/>
      <c r="S27" s="148"/>
      <c r="T27" s="148"/>
      <c r="U27" s="148"/>
      <c r="V27" s="153"/>
      <c r="W27" s="153"/>
      <c r="X27" s="148"/>
      <c r="Y27" s="148"/>
      <c r="Z27" s="148"/>
      <c r="AA27" s="153"/>
      <c r="AB27" s="153"/>
      <c r="AC27" s="148"/>
      <c r="AD27" s="148"/>
      <c r="AE27" s="148"/>
      <c r="AF27" s="153"/>
      <c r="AG27" s="153"/>
    </row>
    <row r="28" spans="2:33">
      <c r="B28" s="399"/>
      <c r="C28" s="156" t="s">
        <v>255</v>
      </c>
      <c r="D28" s="157" t="s">
        <v>256</v>
      </c>
      <c r="E28" s="157" t="s">
        <v>257</v>
      </c>
      <c r="F28" s="162"/>
      <c r="G28" s="163"/>
      <c r="H28" s="146"/>
      <c r="I28" s="148"/>
      <c r="J28" s="148"/>
      <c r="K28" s="148"/>
      <c r="L28" s="153"/>
      <c r="M28" s="153"/>
      <c r="N28" s="148"/>
      <c r="O28" s="148"/>
      <c r="P28" s="148"/>
      <c r="Q28" s="153"/>
      <c r="R28" s="153"/>
      <c r="S28" s="148"/>
      <c r="T28" s="148"/>
      <c r="U28" s="148"/>
      <c r="V28" s="153"/>
      <c r="W28" s="153"/>
      <c r="X28" s="148"/>
      <c r="Y28" s="148"/>
      <c r="Z28" s="148"/>
      <c r="AA28" s="153"/>
      <c r="AB28" s="153"/>
      <c r="AC28" s="148"/>
      <c r="AD28" s="148"/>
      <c r="AE28" s="148"/>
      <c r="AF28" s="153"/>
      <c r="AG28" s="153"/>
    </row>
    <row r="29" spans="2:33" ht="66" hidden="1">
      <c r="B29" s="408" t="s">
        <v>258</v>
      </c>
      <c r="C29" s="180" t="s">
        <v>259</v>
      </c>
      <c r="D29" s="165" t="s">
        <v>260</v>
      </c>
      <c r="E29" s="166" t="s">
        <v>261</v>
      </c>
      <c r="F29" s="4"/>
      <c r="G29" s="146" t="s">
        <v>272</v>
      </c>
      <c r="H29" s="146"/>
      <c r="I29" s="147"/>
      <c r="J29" s="148"/>
      <c r="K29" s="148"/>
      <c r="L29" s="150"/>
      <c r="M29" s="149"/>
      <c r="N29" s="147"/>
      <c r="O29" s="148"/>
      <c r="P29" s="148"/>
      <c r="Q29" s="167"/>
      <c r="R29" s="167"/>
      <c r="S29" s="147"/>
      <c r="T29" s="148"/>
      <c r="U29" s="148"/>
      <c r="V29" s="150"/>
      <c r="W29" s="149"/>
      <c r="X29" s="147"/>
      <c r="Y29" s="148"/>
      <c r="Z29" s="148"/>
      <c r="AA29" s="150"/>
      <c r="AB29" s="167"/>
      <c r="AC29" s="147"/>
      <c r="AD29" s="148"/>
      <c r="AE29" s="148"/>
      <c r="AF29" s="150"/>
      <c r="AG29" s="168"/>
    </row>
    <row r="30" spans="2:33" ht="26.4" hidden="1">
      <c r="B30" s="408"/>
      <c r="C30" s="409" t="s">
        <v>34</v>
      </c>
      <c r="D30" s="165" t="s">
        <v>262</v>
      </c>
      <c r="E30" s="71" t="s">
        <v>53</v>
      </c>
      <c r="F30" s="4"/>
      <c r="G30" s="146" t="s">
        <v>273</v>
      </c>
      <c r="H30" s="146"/>
      <c r="I30" s="169"/>
      <c r="J30" s="170"/>
      <c r="K30" s="170"/>
      <c r="L30" s="171"/>
      <c r="M30" s="172"/>
      <c r="N30" s="169"/>
      <c r="O30" s="170"/>
      <c r="P30" s="170"/>
      <c r="Q30" s="173"/>
      <c r="R30" s="174"/>
      <c r="S30" s="169"/>
      <c r="T30" s="170"/>
      <c r="U30" s="170"/>
      <c r="V30" s="172"/>
      <c r="W30" s="172"/>
      <c r="X30" s="169"/>
      <c r="Y30" s="170"/>
      <c r="Z30" s="170"/>
      <c r="AA30" s="173"/>
      <c r="AB30" s="174"/>
      <c r="AC30" s="169"/>
      <c r="AD30" s="170"/>
      <c r="AE30" s="170"/>
      <c r="AF30" s="173"/>
      <c r="AG30" s="174"/>
    </row>
    <row r="31" spans="2:33" ht="39.6" hidden="1">
      <c r="B31" s="408"/>
      <c r="C31" s="409"/>
      <c r="D31" s="175" t="s">
        <v>263</v>
      </c>
      <c r="E31" s="71" t="s">
        <v>54</v>
      </c>
      <c r="F31" s="4"/>
      <c r="G31" s="146" t="s">
        <v>274</v>
      </c>
      <c r="H31" s="146"/>
      <c r="I31" s="169"/>
      <c r="J31" s="170"/>
      <c r="K31" s="170"/>
      <c r="L31" s="171"/>
      <c r="M31" s="172"/>
      <c r="N31" s="169"/>
      <c r="O31" s="170"/>
      <c r="P31" s="170"/>
      <c r="Q31" s="173"/>
      <c r="R31" s="174"/>
      <c r="S31" s="169"/>
      <c r="T31" s="170"/>
      <c r="U31" s="170"/>
      <c r="V31" s="172"/>
      <c r="W31" s="172"/>
      <c r="X31" s="169"/>
      <c r="Y31" s="170"/>
      <c r="Z31" s="170"/>
      <c r="AA31" s="173"/>
      <c r="AB31" s="174"/>
      <c r="AC31" s="169"/>
      <c r="AD31" s="170"/>
      <c r="AE31" s="170"/>
      <c r="AF31" s="173"/>
      <c r="AG31" s="174"/>
    </row>
    <row r="32" spans="2:33" hidden="1">
      <c r="B32" s="408"/>
      <c r="C32" s="409" t="s">
        <v>264</v>
      </c>
      <c r="D32" s="165" t="s">
        <v>265</v>
      </c>
      <c r="E32" s="71" t="s">
        <v>266</v>
      </c>
      <c r="F32" s="4"/>
      <c r="G32" s="146">
        <v>3</v>
      </c>
      <c r="H32" s="146"/>
      <c r="I32" s="169"/>
      <c r="J32" s="170"/>
      <c r="K32" s="170"/>
      <c r="L32" s="173"/>
      <c r="M32" s="172"/>
      <c r="N32" s="169"/>
      <c r="O32" s="170"/>
      <c r="P32" s="170"/>
      <c r="Q32" s="173"/>
      <c r="R32" s="174"/>
      <c r="S32" s="169"/>
      <c r="T32" s="170"/>
      <c r="U32" s="170"/>
      <c r="V32" s="172"/>
      <c r="W32" s="172"/>
      <c r="X32" s="169"/>
      <c r="Y32" s="170"/>
      <c r="Z32" s="170"/>
      <c r="AA32" s="173"/>
      <c r="AB32" s="174"/>
      <c r="AC32" s="169"/>
      <c r="AD32" s="170"/>
      <c r="AE32" s="170"/>
      <c r="AF32" s="173"/>
      <c r="AG32" s="174"/>
    </row>
    <row r="33" spans="2:33" hidden="1">
      <c r="B33" s="408"/>
      <c r="C33" s="409"/>
      <c r="D33" s="165" t="s">
        <v>267</v>
      </c>
      <c r="E33" s="71" t="s">
        <v>268</v>
      </c>
      <c r="F33" s="4"/>
      <c r="G33" s="146">
        <v>3</v>
      </c>
      <c r="H33" s="146"/>
      <c r="I33" s="169"/>
      <c r="J33" s="170"/>
      <c r="K33" s="170"/>
      <c r="L33" s="171"/>
      <c r="M33" s="172"/>
      <c r="N33" s="169"/>
      <c r="O33" s="170"/>
      <c r="P33" s="170"/>
      <c r="Q33" s="173"/>
      <c r="R33" s="174"/>
      <c r="S33" s="169"/>
      <c r="T33" s="170"/>
      <c r="U33" s="170"/>
      <c r="V33" s="172"/>
      <c r="W33" s="172"/>
      <c r="X33" s="169"/>
      <c r="Y33" s="170"/>
      <c r="Z33" s="170"/>
      <c r="AA33" s="173"/>
      <c r="AB33" s="174"/>
      <c r="AC33" s="169"/>
      <c r="AD33" s="170"/>
      <c r="AE33" s="170"/>
      <c r="AF33" s="173"/>
      <c r="AG33" s="174"/>
    </row>
    <row r="34" spans="2:33" ht="26.4" hidden="1">
      <c r="B34" s="408"/>
      <c r="C34" s="409"/>
      <c r="D34" s="165" t="s">
        <v>269</v>
      </c>
      <c r="E34" s="71" t="s">
        <v>270</v>
      </c>
      <c r="F34" s="4"/>
      <c r="G34" s="146">
        <v>3</v>
      </c>
      <c r="H34" s="146"/>
      <c r="I34" s="169"/>
      <c r="J34" s="170"/>
      <c r="K34" s="170"/>
      <c r="L34" s="173"/>
      <c r="M34" s="172"/>
      <c r="N34" s="169"/>
      <c r="O34" s="170"/>
      <c r="P34" s="170"/>
      <c r="Q34" s="173"/>
      <c r="R34" s="174"/>
      <c r="S34" s="169"/>
      <c r="T34" s="170"/>
      <c r="U34" s="170"/>
      <c r="V34" s="172"/>
      <c r="W34" s="172"/>
      <c r="X34" s="169"/>
      <c r="Y34" s="170"/>
      <c r="Z34" s="170"/>
      <c r="AA34" s="173"/>
      <c r="AB34" s="174"/>
      <c r="AC34" s="169"/>
      <c r="AD34" s="170"/>
      <c r="AE34" s="170"/>
      <c r="AF34" s="173"/>
      <c r="AG34" s="174"/>
    </row>
    <row r="36" spans="2:33">
      <c r="J36" t="s">
        <v>373</v>
      </c>
      <c r="K36">
        <v>40</v>
      </c>
    </row>
    <row r="37" spans="2:33">
      <c r="K37">
        <v>8</v>
      </c>
    </row>
    <row r="38" spans="2:33">
      <c r="J38" t="s">
        <v>372</v>
      </c>
      <c r="K38">
        <v>60</v>
      </c>
    </row>
    <row r="39" spans="2:33">
      <c r="K39">
        <v>40</v>
      </c>
    </row>
  </sheetData>
  <autoFilter ref="B7:AB34"/>
  <mergeCells count="44">
    <mergeCell ref="B19:B28"/>
    <mergeCell ref="C20:C23"/>
    <mergeCell ref="D22:D23"/>
    <mergeCell ref="C24:C25"/>
    <mergeCell ref="D24:D25"/>
    <mergeCell ref="D20:D21"/>
    <mergeCell ref="AC6:AG6"/>
    <mergeCell ref="I5:M5"/>
    <mergeCell ref="S5:W5"/>
    <mergeCell ref="X5:AB5"/>
    <mergeCell ref="AC5:AG5"/>
    <mergeCell ref="AC3:AG3"/>
    <mergeCell ref="AC2:AG2"/>
    <mergeCell ref="B29:B34"/>
    <mergeCell ref="C30:C31"/>
    <mergeCell ref="C32:C34"/>
    <mergeCell ref="B5:B6"/>
    <mergeCell ref="C5:C6"/>
    <mergeCell ref="D5:D6"/>
    <mergeCell ref="E5:E6"/>
    <mergeCell ref="F5:F7"/>
    <mergeCell ref="G5:G7"/>
    <mergeCell ref="C9:C12"/>
    <mergeCell ref="C13:C18"/>
    <mergeCell ref="D13:D15"/>
    <mergeCell ref="N5:R5"/>
    <mergeCell ref="I6:M6"/>
    <mergeCell ref="B9:B18"/>
    <mergeCell ref="I1:M1"/>
    <mergeCell ref="B2:C2"/>
    <mergeCell ref="I2:M2"/>
    <mergeCell ref="N2:R2"/>
    <mergeCell ref="I3:M3"/>
    <mergeCell ref="H5:H7"/>
    <mergeCell ref="D9:D10"/>
    <mergeCell ref="D11:D12"/>
    <mergeCell ref="S2:W2"/>
    <mergeCell ref="X2:AB2"/>
    <mergeCell ref="N6:R6"/>
    <mergeCell ref="S6:W6"/>
    <mergeCell ref="X6:AB6"/>
    <mergeCell ref="N3:R3"/>
    <mergeCell ref="S3:W3"/>
    <mergeCell ref="X3:AB3"/>
  </mergeCells>
  <conditionalFormatting sqref="I5 N5 S5 X5">
    <cfRule type="duplicateValues" dxfId="61" priority="147"/>
  </conditionalFormatting>
  <conditionalFormatting sqref="F1:G1">
    <cfRule type="duplicateValues" dxfId="60" priority="146"/>
  </conditionalFormatting>
  <conditionalFormatting sqref="F9:H34">
    <cfRule type="expression" dxfId="59" priority="145">
      <formula>F9=0</formula>
    </cfRule>
  </conditionalFormatting>
  <conditionalFormatting sqref="J29:K34 O29:P34 T29:U34 AD29:AE34 Y29:Z34">
    <cfRule type="expression" dxfId="58" priority="144">
      <formula>J29&gt;0</formula>
    </cfRule>
  </conditionalFormatting>
  <conditionalFormatting sqref="AC5">
    <cfRule type="duplicateValues" dxfId="57" priority="143"/>
  </conditionalFormatting>
  <conditionalFormatting sqref="U29:U34 P29:P34 K29:K34 AE29:AE34 Z29:Z34">
    <cfRule type="expression" dxfId="56" priority="141">
      <formula>K29&lt;&gt;J29</formula>
    </cfRule>
  </conditionalFormatting>
  <conditionalFormatting sqref="P29:P34 K29:K34 AE29:AE34 Z29:Z34">
    <cfRule type="expression" dxfId="55" priority="140">
      <formula>K29&lt;&gt;J29</formula>
    </cfRule>
  </conditionalFormatting>
  <conditionalFormatting sqref="T9:U28 Y9:Z10 AD9:AE28 Y13:Z28 Z11:Z12 O9:O13 O26:O28">
    <cfRule type="expression" dxfId="54" priority="40">
      <formula>O9&gt;0</formula>
    </cfRule>
  </conditionalFormatting>
  <conditionalFormatting sqref="U9:U28 Z9:Z10 AE9:AE28 Z13:Z28">
    <cfRule type="expression" dxfId="53" priority="39">
      <formula>U9&lt;&gt;T9</formula>
    </cfRule>
  </conditionalFormatting>
  <conditionalFormatting sqref="Z9:Z10 AE9:AE28 Z13:Z28">
    <cfRule type="expression" dxfId="52" priority="38">
      <formula>Z9&lt;&gt;Y9</formula>
    </cfRule>
  </conditionalFormatting>
  <conditionalFormatting sqref="Y11:Y12">
    <cfRule type="expression" dxfId="51" priority="37">
      <formula>Y11&gt;0</formula>
    </cfRule>
  </conditionalFormatting>
  <conditionalFormatting sqref="J9:J14 J27:J28">
    <cfRule type="expression" dxfId="50" priority="36">
      <formula>J9&gt;0</formula>
    </cfRule>
  </conditionalFormatting>
  <conditionalFormatting sqref="K9:K14 K22:K28 K16:K20">
    <cfRule type="expression" dxfId="49" priority="34">
      <formula>K9&gt;0</formula>
    </cfRule>
  </conditionalFormatting>
  <conditionalFormatting sqref="K21">
    <cfRule type="expression" dxfId="48" priority="33">
      <formula>K21&gt;0</formula>
    </cfRule>
  </conditionalFormatting>
  <conditionalFormatting sqref="K15">
    <cfRule type="expression" dxfId="47" priority="32">
      <formula>K15&gt;0</formula>
    </cfRule>
  </conditionalFormatting>
  <conditionalFormatting sqref="P22:P23">
    <cfRule type="expression" dxfId="46" priority="31">
      <formula>P22&lt;&gt;O22</formula>
    </cfRule>
  </conditionalFormatting>
  <conditionalFormatting sqref="P22:P23">
    <cfRule type="expression" dxfId="45" priority="30">
      <formula>P22&lt;&gt;O22</formula>
    </cfRule>
  </conditionalFormatting>
  <conditionalFormatting sqref="P9:P20 P26:P28 P22:P23">
    <cfRule type="expression" dxfId="44" priority="29">
      <formula>P9&gt;0</formula>
    </cfRule>
  </conditionalFormatting>
  <conditionalFormatting sqref="P9:P20 P26:P28">
    <cfRule type="expression" dxfId="43" priority="28">
      <formula>P9&lt;&gt;O9</formula>
    </cfRule>
  </conditionalFormatting>
  <conditionalFormatting sqref="P9:P20 P26:P28">
    <cfRule type="expression" dxfId="42" priority="27">
      <formula>P9&lt;&gt;O9</formula>
    </cfRule>
  </conditionalFormatting>
  <conditionalFormatting sqref="P21">
    <cfRule type="expression" dxfId="41" priority="26">
      <formula>P21&gt;0</formula>
    </cfRule>
  </conditionalFormatting>
  <conditionalFormatting sqref="P21">
    <cfRule type="expression" dxfId="40" priority="25">
      <formula>P21&lt;&gt;O21</formula>
    </cfRule>
  </conditionalFormatting>
  <conditionalFormatting sqref="P21">
    <cfRule type="expression" dxfId="39" priority="24">
      <formula>P21&lt;&gt;O21</formula>
    </cfRule>
  </conditionalFormatting>
  <conditionalFormatting sqref="J22:J26 J16:J20">
    <cfRule type="expression" dxfId="38" priority="23">
      <formula>J16&gt;0</formula>
    </cfRule>
  </conditionalFormatting>
  <conditionalFormatting sqref="J21">
    <cfRule type="expression" dxfId="37" priority="22">
      <formula>J21&gt;0</formula>
    </cfRule>
  </conditionalFormatting>
  <conditionalFormatting sqref="J15">
    <cfRule type="expression" dxfId="36" priority="21">
      <formula>J15&gt;0</formula>
    </cfRule>
  </conditionalFormatting>
  <conditionalFormatting sqref="O22:O23">
    <cfRule type="expression" dxfId="35" priority="20">
      <formula>O22&lt;&gt;N22</formula>
    </cfRule>
  </conditionalFormatting>
  <conditionalFormatting sqref="O22:O23">
    <cfRule type="expression" dxfId="34" priority="19">
      <formula>O22&lt;&gt;N22</formula>
    </cfRule>
  </conditionalFormatting>
  <conditionalFormatting sqref="O14:O20 O22:O23">
    <cfRule type="expression" dxfId="33" priority="18">
      <formula>O14&gt;0</formula>
    </cfRule>
  </conditionalFormatting>
  <conditionalFormatting sqref="O14:O20">
    <cfRule type="expression" dxfId="32" priority="17">
      <formula>O14&lt;&gt;N14</formula>
    </cfRule>
  </conditionalFormatting>
  <conditionalFormatting sqref="O14:O20">
    <cfRule type="expression" dxfId="31" priority="16">
      <formula>O14&lt;&gt;N14</formula>
    </cfRule>
  </conditionalFormatting>
  <conditionalFormatting sqref="O21">
    <cfRule type="expression" dxfId="30" priority="15">
      <formula>O21&gt;0</formula>
    </cfRule>
  </conditionalFormatting>
  <conditionalFormatting sqref="O21">
    <cfRule type="expression" dxfId="29" priority="14">
      <formula>O21&lt;&gt;N21</formula>
    </cfRule>
  </conditionalFormatting>
  <conditionalFormatting sqref="O21">
    <cfRule type="expression" dxfId="28" priority="13">
      <formula>O21&lt;&gt;N21</formula>
    </cfRule>
  </conditionalFormatting>
  <conditionalFormatting sqref="F35:H1048576 H1 F2:H3 F4 H4 J4 L4 N4 P4 R4 T4 V4 X4 Z4 AB4 AD4 AF4">
    <cfRule type="duplicateValues" dxfId="27" priority="1518"/>
  </conditionalFormatting>
  <dataValidations count="2">
    <dataValidation type="list" allowBlank="1" showInputMessage="1" showErrorMessage="1" sqref="E2">
      <formula1>"FIT AVN,FIT Telematic,ST AVN,ST Telematic,SWT AVN"</formula1>
    </dataValidation>
    <dataValidation type="list" allowBlank="1" showInputMessage="1" showErrorMessage="1" sqref="I3:AG3">
      <formula1>"Junior,Senior,Test Leader"</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M34"/>
  <sheetViews>
    <sheetView showGridLines="0" zoomScale="90" zoomScaleNormal="90" workbookViewId="0">
      <pane xSplit="5" ySplit="8" topLeftCell="F9" activePane="bottomRight" state="frozen"/>
      <selection activeCell="BC10" sqref="BC10"/>
      <selection pane="topRight" activeCell="BC10" sqref="BC10"/>
      <selection pane="bottomLeft" activeCell="BC10" sqref="BC10"/>
      <selection pane="bottomRight" activeCell="P22" sqref="P22"/>
    </sheetView>
  </sheetViews>
  <sheetFormatPr defaultRowHeight="14.4"/>
  <cols>
    <col min="1" max="1" width="3.88671875" customWidth="1"/>
    <col min="2" max="2" width="9.5546875" customWidth="1"/>
    <col min="3" max="3" width="16.88671875" customWidth="1"/>
    <col min="4" max="4" width="27.88671875" customWidth="1"/>
    <col min="5" max="5" width="40.21875" bestFit="1" customWidth="1"/>
    <col min="6" max="6" width="8.88671875" customWidth="1"/>
    <col min="7" max="8" width="11.44140625" customWidth="1"/>
    <col min="9" max="13" width="8" customWidth="1"/>
  </cols>
  <sheetData>
    <row r="1" spans="2:13">
      <c r="E1" s="138" t="s">
        <v>19</v>
      </c>
      <c r="F1" s="138">
        <v>6</v>
      </c>
      <c r="G1" s="138">
        <v>7</v>
      </c>
      <c r="I1" s="390"/>
      <c r="J1" s="390"/>
      <c r="K1" s="390"/>
      <c r="L1" s="390"/>
      <c r="M1" s="390"/>
    </row>
    <row r="2" spans="2:13" ht="15.6">
      <c r="B2" s="389" t="s">
        <v>223</v>
      </c>
      <c r="C2" s="389"/>
      <c r="E2" s="138" t="s">
        <v>224</v>
      </c>
      <c r="F2" s="138">
        <v>4</v>
      </c>
      <c r="I2" s="390">
        <v>3</v>
      </c>
      <c r="J2" s="390"/>
      <c r="K2" s="390"/>
      <c r="L2" s="390"/>
      <c r="M2" s="390"/>
    </row>
    <row r="3" spans="2:13">
      <c r="I3" s="390" t="s">
        <v>141</v>
      </c>
      <c r="J3" s="390"/>
      <c r="K3" s="390"/>
      <c r="L3" s="390"/>
      <c r="M3" s="390"/>
    </row>
    <row r="4" spans="2:13">
      <c r="E4">
        <v>1</v>
      </c>
      <c r="F4">
        <v>2</v>
      </c>
      <c r="G4">
        <v>3</v>
      </c>
      <c r="H4">
        <v>4</v>
      </c>
      <c r="I4">
        <v>5</v>
      </c>
      <c r="J4">
        <v>6</v>
      </c>
      <c r="K4">
        <v>7</v>
      </c>
      <c r="L4">
        <v>8</v>
      </c>
      <c r="M4">
        <v>9</v>
      </c>
    </row>
    <row r="5" spans="2:13" ht="25.5" customHeight="1">
      <c r="B5" s="385" t="s">
        <v>227</v>
      </c>
      <c r="C5" s="385" t="s">
        <v>228</v>
      </c>
      <c r="D5" s="385" t="s">
        <v>229</v>
      </c>
      <c r="E5" s="385" t="s">
        <v>230</v>
      </c>
      <c r="F5" s="405" t="s">
        <v>336</v>
      </c>
      <c r="G5" s="405" t="s">
        <v>335</v>
      </c>
      <c r="H5" s="405" t="s">
        <v>334</v>
      </c>
      <c r="I5" s="391" t="s">
        <v>343</v>
      </c>
      <c r="J5" s="392"/>
      <c r="K5" s="392"/>
      <c r="L5" s="392"/>
      <c r="M5" s="393"/>
    </row>
    <row r="6" spans="2:13">
      <c r="B6" s="385"/>
      <c r="C6" s="385"/>
      <c r="D6" s="385"/>
      <c r="E6" s="385"/>
      <c r="F6" s="406"/>
      <c r="G6" s="406"/>
      <c r="H6" s="406"/>
      <c r="I6" s="402">
        <v>1</v>
      </c>
      <c r="J6" s="403"/>
      <c r="K6" s="403"/>
      <c r="L6" s="403"/>
      <c r="M6" s="404"/>
    </row>
    <row r="7" spans="2:13" ht="20.399999999999999">
      <c r="B7" s="139"/>
      <c r="C7" s="139"/>
      <c r="D7" s="139"/>
      <c r="E7" s="139"/>
      <c r="F7" s="407"/>
      <c r="G7" s="407"/>
      <c r="H7" s="407"/>
      <c r="I7" s="140">
        <v>2018</v>
      </c>
      <c r="J7" s="140" t="s">
        <v>234</v>
      </c>
      <c r="K7" s="141" t="s">
        <v>235</v>
      </c>
      <c r="L7" s="141" t="s">
        <v>236</v>
      </c>
      <c r="M7" s="141" t="s">
        <v>237</v>
      </c>
    </row>
    <row r="8" spans="2:13">
      <c r="B8" s="237"/>
      <c r="C8" s="237"/>
      <c r="D8" s="237"/>
      <c r="E8" s="237"/>
      <c r="F8" s="143"/>
      <c r="G8" s="143"/>
      <c r="H8" s="143"/>
      <c r="I8" s="58" t="s">
        <v>355</v>
      </c>
      <c r="J8" s="144">
        <f>SUM(J9:J34)</f>
        <v>0.16</v>
      </c>
      <c r="K8" s="145">
        <f>SUM(K9:K34)</f>
        <v>0.17</v>
      </c>
      <c r="L8" s="144"/>
      <c r="M8" s="58"/>
    </row>
    <row r="9" spans="2:13">
      <c r="B9" s="386" t="s">
        <v>238</v>
      </c>
      <c r="C9" s="410" t="s">
        <v>35</v>
      </c>
      <c r="D9" s="411" t="s">
        <v>239</v>
      </c>
      <c r="E9" s="130" t="s">
        <v>23</v>
      </c>
      <c r="F9" s="4"/>
      <c r="G9" s="146">
        <v>28</v>
      </c>
      <c r="H9" s="146"/>
      <c r="I9" s="147"/>
      <c r="J9" s="148"/>
      <c r="K9" s="148"/>
      <c r="L9" s="150"/>
      <c r="M9" s="149"/>
    </row>
    <row r="10" spans="2:13">
      <c r="B10" s="387"/>
      <c r="C10" s="410"/>
      <c r="D10" s="411"/>
      <c r="E10" s="228" t="s">
        <v>303</v>
      </c>
      <c r="F10" s="4"/>
      <c r="G10" s="146">
        <v>0</v>
      </c>
      <c r="H10" s="146"/>
      <c r="I10" s="147"/>
      <c r="J10" s="148"/>
      <c r="K10" s="148"/>
      <c r="L10" s="149"/>
      <c r="M10" s="149"/>
    </row>
    <row r="11" spans="2:13">
      <c r="B11" s="387"/>
      <c r="C11" s="410"/>
      <c r="D11" s="411"/>
      <c r="E11" s="228" t="s">
        <v>302</v>
      </c>
      <c r="F11" s="4"/>
      <c r="G11" s="146" t="s">
        <v>271</v>
      </c>
      <c r="H11" s="146"/>
      <c r="I11" s="147"/>
      <c r="J11" s="148"/>
      <c r="K11" s="148"/>
      <c r="L11" s="149"/>
      <c r="M11" s="149"/>
    </row>
    <row r="12" spans="2:13">
      <c r="B12" s="387"/>
      <c r="C12" s="410"/>
      <c r="D12" s="239" t="s">
        <v>240</v>
      </c>
      <c r="E12" s="130" t="s">
        <v>20</v>
      </c>
      <c r="F12" s="4"/>
      <c r="G12" s="146">
        <v>55</v>
      </c>
      <c r="H12" s="146"/>
      <c r="I12" s="147"/>
      <c r="J12" s="148"/>
      <c r="K12" s="148"/>
      <c r="L12" s="149"/>
      <c r="M12" s="149"/>
    </row>
    <row r="13" spans="2:13">
      <c r="B13" s="387"/>
      <c r="C13" s="415" t="s">
        <v>146</v>
      </c>
      <c r="D13" s="411" t="s">
        <v>241</v>
      </c>
      <c r="E13" s="152" t="s">
        <v>38</v>
      </c>
      <c r="F13" s="4"/>
      <c r="G13" s="146">
        <v>0</v>
      </c>
      <c r="H13" s="146"/>
      <c r="I13" s="148"/>
      <c r="J13" s="148"/>
      <c r="K13" s="148"/>
      <c r="L13" s="153"/>
      <c r="M13" s="153"/>
    </row>
    <row r="14" spans="2:13">
      <c r="B14" s="387"/>
      <c r="C14" s="416"/>
      <c r="D14" s="411"/>
      <c r="E14" s="239" t="s">
        <v>40</v>
      </c>
      <c r="F14" s="4"/>
      <c r="G14" s="146">
        <v>0</v>
      </c>
      <c r="H14" s="146"/>
      <c r="I14" s="148"/>
      <c r="J14" s="148"/>
      <c r="K14" s="148"/>
      <c r="L14" s="153"/>
      <c r="M14" s="153"/>
    </row>
    <row r="15" spans="2:13">
      <c r="B15" s="387"/>
      <c r="C15" s="416"/>
      <c r="D15" s="411"/>
      <c r="E15" s="239" t="s">
        <v>242</v>
      </c>
      <c r="F15" s="4"/>
      <c r="G15" s="146">
        <v>0</v>
      </c>
      <c r="H15" s="146"/>
      <c r="I15" s="148"/>
      <c r="J15" s="148">
        <v>0.02</v>
      </c>
      <c r="K15" s="148">
        <v>0</v>
      </c>
      <c r="L15" s="153"/>
      <c r="M15" s="153"/>
    </row>
    <row r="16" spans="2:13">
      <c r="B16" s="387"/>
      <c r="C16" s="416"/>
      <c r="D16" s="154" t="s">
        <v>243</v>
      </c>
      <c r="E16" s="155" t="s">
        <v>244</v>
      </c>
      <c r="F16" s="4"/>
      <c r="G16" s="146">
        <v>0.95</v>
      </c>
      <c r="H16" s="146"/>
      <c r="I16" s="148"/>
      <c r="J16" s="148"/>
      <c r="K16" s="148"/>
      <c r="L16" s="153"/>
      <c r="M16" s="153"/>
    </row>
    <row r="17" spans="2:13">
      <c r="B17" s="387"/>
      <c r="C17" s="416"/>
      <c r="D17" s="154"/>
      <c r="E17" s="186" t="s">
        <v>279</v>
      </c>
      <c r="F17" s="4"/>
      <c r="G17" s="146"/>
      <c r="H17" s="146"/>
      <c r="I17" s="148"/>
      <c r="J17" s="148"/>
      <c r="K17" s="148"/>
      <c r="L17" s="153"/>
      <c r="M17" s="153"/>
    </row>
    <row r="18" spans="2:13">
      <c r="B18" s="388"/>
      <c r="C18" s="417"/>
      <c r="D18" s="154"/>
      <c r="E18" s="186" t="s">
        <v>42</v>
      </c>
      <c r="F18" s="4"/>
      <c r="G18" s="146"/>
      <c r="H18" s="146"/>
      <c r="I18" s="148"/>
      <c r="J18" s="148"/>
      <c r="K18" s="148"/>
      <c r="L18" s="153"/>
      <c r="M18" s="153"/>
    </row>
    <row r="19" spans="2:13">
      <c r="B19" s="397" t="s">
        <v>245</v>
      </c>
      <c r="C19" s="156" t="s">
        <v>246</v>
      </c>
      <c r="D19" s="157" t="s">
        <v>247</v>
      </c>
      <c r="E19" s="14" t="s">
        <v>48</v>
      </c>
      <c r="F19" s="4"/>
      <c r="G19" s="146">
        <v>0.95</v>
      </c>
      <c r="H19" s="146"/>
      <c r="I19" s="148"/>
      <c r="J19" s="148">
        <v>0.02</v>
      </c>
      <c r="K19" s="148">
        <v>0.03</v>
      </c>
      <c r="L19" s="153">
        <v>0.9</v>
      </c>
      <c r="M19" s="153">
        <v>1</v>
      </c>
    </row>
    <row r="20" spans="2:13">
      <c r="B20" s="398"/>
      <c r="C20" s="412" t="s">
        <v>35</v>
      </c>
      <c r="D20" s="400" t="s">
        <v>248</v>
      </c>
      <c r="E20" s="14" t="s">
        <v>249</v>
      </c>
      <c r="F20" s="4"/>
      <c r="G20" s="146">
        <v>28</v>
      </c>
      <c r="H20" s="146"/>
      <c r="I20" s="147"/>
      <c r="J20" s="148">
        <v>0.02</v>
      </c>
      <c r="K20" s="148">
        <v>0</v>
      </c>
      <c r="L20" s="149"/>
      <c r="M20" s="149"/>
    </row>
    <row r="21" spans="2:13">
      <c r="B21" s="398"/>
      <c r="C21" s="413"/>
      <c r="D21" s="401"/>
      <c r="E21" s="230" t="s">
        <v>312</v>
      </c>
      <c r="F21" s="4"/>
      <c r="G21" s="146"/>
      <c r="H21" s="146"/>
      <c r="I21" s="147"/>
      <c r="J21" s="148">
        <v>0.02</v>
      </c>
      <c r="K21" s="148">
        <v>0</v>
      </c>
      <c r="L21" s="149"/>
      <c r="M21" s="149"/>
    </row>
    <row r="22" spans="2:13">
      <c r="B22" s="398"/>
      <c r="C22" s="413"/>
      <c r="D22" s="400" t="s">
        <v>250</v>
      </c>
      <c r="E22" s="14" t="s">
        <v>251</v>
      </c>
      <c r="F22" s="4"/>
      <c r="G22" s="146">
        <v>55</v>
      </c>
      <c r="H22" s="146"/>
      <c r="I22" s="147"/>
      <c r="J22" s="148">
        <v>0.02</v>
      </c>
      <c r="K22" s="148">
        <v>0.05</v>
      </c>
      <c r="L22" s="149">
        <v>6</v>
      </c>
      <c r="M22" s="149">
        <v>6.81</v>
      </c>
    </row>
    <row r="23" spans="2:13">
      <c r="B23" s="398"/>
      <c r="C23" s="414"/>
      <c r="D23" s="401"/>
      <c r="E23" s="231" t="s">
        <v>304</v>
      </c>
      <c r="F23" s="162"/>
      <c r="G23" s="163">
        <v>0.95</v>
      </c>
      <c r="H23" s="146"/>
      <c r="I23" s="148"/>
      <c r="J23" s="148">
        <v>0.03</v>
      </c>
      <c r="K23" s="148">
        <v>0.05</v>
      </c>
      <c r="L23" s="149">
        <v>4</v>
      </c>
      <c r="M23" s="149">
        <v>5.15</v>
      </c>
    </row>
    <row r="24" spans="2:13">
      <c r="B24" s="398"/>
      <c r="C24" s="412" t="s">
        <v>146</v>
      </c>
      <c r="D24" s="400" t="s">
        <v>252</v>
      </c>
      <c r="E24" s="161" t="s">
        <v>253</v>
      </c>
      <c r="F24" s="162"/>
      <c r="G24" s="163">
        <v>0.95</v>
      </c>
      <c r="H24" s="146"/>
      <c r="I24" s="148"/>
      <c r="J24" s="148"/>
      <c r="K24" s="148"/>
      <c r="L24" s="153"/>
      <c r="M24" s="153"/>
    </row>
    <row r="25" spans="2:13">
      <c r="B25" s="398"/>
      <c r="C25" s="414"/>
      <c r="D25" s="401"/>
      <c r="E25" s="161" t="s">
        <v>254</v>
      </c>
      <c r="F25" s="162"/>
      <c r="G25" s="163">
        <v>0</v>
      </c>
      <c r="H25" s="146"/>
      <c r="I25" s="148"/>
      <c r="J25" s="148">
        <v>0.03</v>
      </c>
      <c r="K25" s="148">
        <v>0.04</v>
      </c>
      <c r="L25" s="153">
        <v>0.05</v>
      </c>
      <c r="M25" s="153">
        <v>0</v>
      </c>
    </row>
    <row r="26" spans="2:13">
      <c r="B26" s="398"/>
      <c r="C26" s="240"/>
      <c r="D26" s="241"/>
      <c r="E26" s="230" t="s">
        <v>306</v>
      </c>
      <c r="F26" s="162"/>
      <c r="G26" s="163"/>
      <c r="H26" s="146"/>
      <c r="I26" s="148"/>
      <c r="J26" s="148"/>
      <c r="K26" s="148"/>
      <c r="L26" s="153"/>
      <c r="M26" s="153"/>
    </row>
    <row r="27" spans="2:13">
      <c r="B27" s="398"/>
      <c r="C27" s="240"/>
      <c r="D27" s="241"/>
      <c r="E27" s="230" t="s">
        <v>308</v>
      </c>
      <c r="F27" s="162"/>
      <c r="G27" s="163"/>
      <c r="H27" s="146"/>
      <c r="I27" s="148"/>
      <c r="J27" s="148"/>
      <c r="K27" s="148"/>
      <c r="L27" s="153"/>
      <c r="M27" s="153"/>
    </row>
    <row r="28" spans="2:13">
      <c r="B28" s="399"/>
      <c r="C28" s="156" t="s">
        <v>255</v>
      </c>
      <c r="D28" s="157" t="s">
        <v>256</v>
      </c>
      <c r="E28" s="157" t="s">
        <v>257</v>
      </c>
      <c r="F28" s="162"/>
      <c r="G28" s="163">
        <v>0.7</v>
      </c>
      <c r="H28" s="146"/>
      <c r="I28" s="148"/>
      <c r="J28" s="148"/>
      <c r="K28" s="148"/>
      <c r="L28" s="153"/>
      <c r="M28" s="153"/>
    </row>
    <row r="29" spans="2:13" ht="66" hidden="1">
      <c r="B29" s="408" t="s">
        <v>258</v>
      </c>
      <c r="C29" s="238" t="s">
        <v>259</v>
      </c>
      <c r="D29" s="165" t="s">
        <v>260</v>
      </c>
      <c r="E29" s="166" t="s">
        <v>261</v>
      </c>
      <c r="F29" s="4"/>
      <c r="G29" s="146" t="s">
        <v>272</v>
      </c>
      <c r="H29" s="146"/>
      <c r="I29" s="147"/>
      <c r="J29" s="148"/>
      <c r="K29" s="148"/>
      <c r="L29" s="150"/>
      <c r="M29" s="149"/>
    </row>
    <row r="30" spans="2:13" ht="26.4" hidden="1">
      <c r="B30" s="408"/>
      <c r="C30" s="409" t="s">
        <v>34</v>
      </c>
      <c r="D30" s="165" t="s">
        <v>262</v>
      </c>
      <c r="E30" s="71" t="s">
        <v>53</v>
      </c>
      <c r="F30" s="4"/>
      <c r="G30" s="146" t="s">
        <v>273</v>
      </c>
      <c r="H30" s="146"/>
      <c r="I30" s="169"/>
      <c r="J30" s="170"/>
      <c r="K30" s="170"/>
      <c r="L30" s="171"/>
      <c r="M30" s="172"/>
    </row>
    <row r="31" spans="2:13" ht="39.6" hidden="1">
      <c r="B31" s="408"/>
      <c r="C31" s="409"/>
      <c r="D31" s="175" t="s">
        <v>263</v>
      </c>
      <c r="E31" s="71" t="s">
        <v>54</v>
      </c>
      <c r="F31" s="4"/>
      <c r="G31" s="146" t="s">
        <v>274</v>
      </c>
      <c r="H31" s="146"/>
      <c r="I31" s="169"/>
      <c r="J31" s="170"/>
      <c r="K31" s="170"/>
      <c r="L31" s="171"/>
      <c r="M31" s="172"/>
    </row>
    <row r="32" spans="2:13" hidden="1">
      <c r="B32" s="408"/>
      <c r="C32" s="409" t="s">
        <v>264</v>
      </c>
      <c r="D32" s="165" t="s">
        <v>265</v>
      </c>
      <c r="E32" s="71" t="s">
        <v>266</v>
      </c>
      <c r="F32" s="4"/>
      <c r="G32" s="146">
        <v>3</v>
      </c>
      <c r="H32" s="146"/>
      <c r="I32" s="169"/>
      <c r="J32" s="170"/>
      <c r="K32" s="170"/>
      <c r="L32" s="173"/>
      <c r="M32" s="172"/>
    </row>
    <row r="33" spans="2:13" hidden="1">
      <c r="B33" s="408"/>
      <c r="C33" s="409"/>
      <c r="D33" s="165" t="s">
        <v>267</v>
      </c>
      <c r="E33" s="71" t="s">
        <v>268</v>
      </c>
      <c r="F33" s="4"/>
      <c r="G33" s="146">
        <v>3</v>
      </c>
      <c r="H33" s="146"/>
      <c r="I33" s="169"/>
      <c r="J33" s="170"/>
      <c r="K33" s="170"/>
      <c r="L33" s="171"/>
      <c r="M33" s="172"/>
    </row>
    <row r="34" spans="2:13" ht="26.4" hidden="1">
      <c r="B34" s="408"/>
      <c r="C34" s="409"/>
      <c r="D34" s="165" t="s">
        <v>269</v>
      </c>
      <c r="E34" s="71" t="s">
        <v>270</v>
      </c>
      <c r="F34" s="4"/>
      <c r="G34" s="146">
        <v>3</v>
      </c>
      <c r="H34" s="146"/>
      <c r="I34" s="169"/>
      <c r="J34" s="170"/>
      <c r="K34" s="170"/>
      <c r="L34" s="173"/>
      <c r="M34" s="172"/>
    </row>
  </sheetData>
  <autoFilter ref="B7:M34"/>
  <mergeCells count="27">
    <mergeCell ref="D20:D21"/>
    <mergeCell ref="D22:D23"/>
    <mergeCell ref="C24:C25"/>
    <mergeCell ref="D24:D25"/>
    <mergeCell ref="B29:B34"/>
    <mergeCell ref="C30:C31"/>
    <mergeCell ref="C32:C34"/>
    <mergeCell ref="B19:B28"/>
    <mergeCell ref="C20:C23"/>
    <mergeCell ref="B9:B18"/>
    <mergeCell ref="C9:C12"/>
    <mergeCell ref="D9:D11"/>
    <mergeCell ref="C13:C18"/>
    <mergeCell ref="D13:D15"/>
    <mergeCell ref="I1:M1"/>
    <mergeCell ref="B2:C2"/>
    <mergeCell ref="I2:M2"/>
    <mergeCell ref="I3:M3"/>
    <mergeCell ref="B5:B6"/>
    <mergeCell ref="C5:C6"/>
    <mergeCell ref="D5:D6"/>
    <mergeCell ref="E5:E6"/>
    <mergeCell ref="F5:F7"/>
    <mergeCell ref="G5:G7"/>
    <mergeCell ref="I6:M6"/>
    <mergeCell ref="I5:M5"/>
    <mergeCell ref="H5:H7"/>
  </mergeCells>
  <conditionalFormatting sqref="F1:G1">
    <cfRule type="duplicateValues" dxfId="26" priority="108"/>
  </conditionalFormatting>
  <conditionalFormatting sqref="F9:H34">
    <cfRule type="expression" dxfId="25" priority="107">
      <formula>F9=0</formula>
    </cfRule>
  </conditionalFormatting>
  <conditionalFormatting sqref="J29:K34 J9:J28">
    <cfRule type="expression" dxfId="24" priority="106">
      <formula>J9&gt;0</formula>
    </cfRule>
  </conditionalFormatting>
  <conditionalFormatting sqref="K29:K34">
    <cfRule type="expression" dxfId="23" priority="103">
      <formula>K29&lt;&gt;J29</formula>
    </cfRule>
  </conditionalFormatting>
  <conditionalFormatting sqref="K29:K34">
    <cfRule type="expression" dxfId="22" priority="102">
      <formula>K29&lt;&gt;J29</formula>
    </cfRule>
  </conditionalFormatting>
  <conditionalFormatting sqref="K9:K14 K26:K28">
    <cfRule type="expression" dxfId="21" priority="7">
      <formula>K9&gt;0</formula>
    </cfRule>
  </conditionalFormatting>
  <conditionalFormatting sqref="K9:K14 K26:K28">
    <cfRule type="expression" dxfId="20" priority="6">
      <formula>K9&lt;&gt;J9</formula>
    </cfRule>
  </conditionalFormatting>
  <conditionalFormatting sqref="K9:K14 K26:K28">
    <cfRule type="expression" dxfId="19" priority="5">
      <formula>K9&lt;&gt;J9</formula>
    </cfRule>
  </conditionalFormatting>
  <conditionalFormatting sqref="K15:K25">
    <cfRule type="expression" dxfId="18" priority="1">
      <formula>K15&gt;0</formula>
    </cfRule>
  </conditionalFormatting>
  <conditionalFormatting sqref="I5">
    <cfRule type="duplicateValues" dxfId="17" priority="1519"/>
  </conditionalFormatting>
  <conditionalFormatting sqref="F35:H1048576 H1 F2:H3 F4 H4 J4 L4">
    <cfRule type="duplicateValues" dxfId="16" priority="1520"/>
  </conditionalFormatting>
  <dataValidations count="2">
    <dataValidation type="list" allowBlank="1" showInputMessage="1" showErrorMessage="1" sqref="I3:M3">
      <formula1>"Junior,Senior,Test Leader"</formula1>
    </dataValidation>
    <dataValidation type="list" allowBlank="1" showInputMessage="1" showErrorMessage="1" sqref="E2">
      <formula1>"FIT AVN,FIT Telematic,ST AVN,ST Telematic,SWT AVN"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M34"/>
  <sheetViews>
    <sheetView showGridLines="0" zoomScale="90" zoomScaleNormal="90" workbookViewId="0">
      <pane xSplit="5" ySplit="8" topLeftCell="F9" activePane="bottomRight" state="frozen"/>
      <selection activeCell="BC10" sqref="BC10"/>
      <selection pane="topRight" activeCell="BC10" sqref="BC10"/>
      <selection pane="bottomLeft" activeCell="BC10" sqref="BC10"/>
      <selection pane="bottomRight" activeCell="J44" sqref="J44"/>
    </sheetView>
  </sheetViews>
  <sheetFormatPr defaultRowHeight="14.4"/>
  <cols>
    <col min="1" max="1" width="3.88671875" customWidth="1"/>
    <col min="2" max="2" width="9.5546875" customWidth="1"/>
    <col min="3" max="3" width="16.88671875" customWidth="1"/>
    <col min="4" max="4" width="27.88671875" customWidth="1"/>
    <col min="5" max="5" width="40.21875" bestFit="1" customWidth="1"/>
    <col min="6" max="6" width="8.88671875" customWidth="1"/>
    <col min="7" max="8" width="11.44140625" customWidth="1"/>
    <col min="9" max="13" width="8" customWidth="1"/>
  </cols>
  <sheetData>
    <row r="1" spans="2:13">
      <c r="E1" s="138" t="s">
        <v>19</v>
      </c>
      <c r="F1" s="138">
        <v>6</v>
      </c>
      <c r="G1" s="138">
        <v>7</v>
      </c>
      <c r="I1" s="390"/>
      <c r="J1" s="390"/>
      <c r="K1" s="390"/>
      <c r="L1" s="390"/>
      <c r="M1" s="390"/>
    </row>
    <row r="2" spans="2:13" ht="15.6">
      <c r="B2" s="389" t="s">
        <v>223</v>
      </c>
      <c r="C2" s="389"/>
      <c r="E2" s="138" t="s">
        <v>224</v>
      </c>
      <c r="F2" s="138">
        <v>4</v>
      </c>
      <c r="I2" s="390">
        <v>3</v>
      </c>
      <c r="J2" s="390"/>
      <c r="K2" s="390"/>
      <c r="L2" s="390"/>
      <c r="M2" s="390"/>
    </row>
    <row r="3" spans="2:13">
      <c r="I3" s="390" t="s">
        <v>226</v>
      </c>
      <c r="J3" s="390"/>
      <c r="K3" s="390"/>
      <c r="L3" s="390"/>
      <c r="M3" s="390"/>
    </row>
    <row r="4" spans="2:13">
      <c r="E4">
        <v>1</v>
      </c>
      <c r="F4">
        <v>2</v>
      </c>
      <c r="G4">
        <v>3</v>
      </c>
      <c r="H4">
        <v>4</v>
      </c>
      <c r="I4">
        <v>5</v>
      </c>
      <c r="J4">
        <v>6</v>
      </c>
      <c r="K4">
        <v>7</v>
      </c>
      <c r="L4">
        <v>8</v>
      </c>
      <c r="M4">
        <v>9</v>
      </c>
    </row>
    <row r="5" spans="2:13" ht="25.5" customHeight="1">
      <c r="B5" s="385" t="s">
        <v>227</v>
      </c>
      <c r="C5" s="385" t="s">
        <v>228</v>
      </c>
      <c r="D5" s="385" t="s">
        <v>229</v>
      </c>
      <c r="E5" s="385" t="s">
        <v>230</v>
      </c>
      <c r="F5" s="405" t="s">
        <v>231</v>
      </c>
      <c r="G5" s="405" t="s">
        <v>232</v>
      </c>
      <c r="H5" s="405" t="s">
        <v>233</v>
      </c>
      <c r="I5" s="391" t="s">
        <v>358</v>
      </c>
      <c r="J5" s="392"/>
      <c r="K5" s="392"/>
      <c r="L5" s="392"/>
      <c r="M5" s="393"/>
    </row>
    <row r="6" spans="2:13">
      <c r="B6" s="385"/>
      <c r="C6" s="385"/>
      <c r="D6" s="385"/>
      <c r="E6" s="385"/>
      <c r="F6" s="406"/>
      <c r="G6" s="406"/>
      <c r="H6" s="406"/>
      <c r="I6" s="402">
        <v>1</v>
      </c>
      <c r="J6" s="403"/>
      <c r="K6" s="403"/>
      <c r="L6" s="403"/>
      <c r="M6" s="404"/>
    </row>
    <row r="7" spans="2:13" ht="20.399999999999999">
      <c r="B7" s="139"/>
      <c r="C7" s="139"/>
      <c r="D7" s="139"/>
      <c r="E7" s="139"/>
      <c r="F7" s="407"/>
      <c r="G7" s="407"/>
      <c r="H7" s="407"/>
      <c r="I7" s="140">
        <v>2018</v>
      </c>
      <c r="J7" s="140" t="s">
        <v>234</v>
      </c>
      <c r="K7" s="141" t="s">
        <v>235</v>
      </c>
      <c r="L7" s="141" t="s">
        <v>236</v>
      </c>
      <c r="M7" s="141" t="s">
        <v>237</v>
      </c>
    </row>
    <row r="8" spans="2:13">
      <c r="B8" s="237"/>
      <c r="C8" s="237"/>
      <c r="D8" s="237"/>
      <c r="E8" s="237"/>
      <c r="F8" s="143"/>
      <c r="G8" s="143"/>
      <c r="H8" s="143"/>
      <c r="I8" s="58"/>
      <c r="J8" s="144">
        <f>SUM(J9:J34)</f>
        <v>0.2</v>
      </c>
      <c r="K8" s="145">
        <f>SUM(K9:K34)</f>
        <v>0.2</v>
      </c>
      <c r="L8" s="144"/>
      <c r="M8" s="58"/>
    </row>
    <row r="9" spans="2:13">
      <c r="B9" s="386" t="s">
        <v>238</v>
      </c>
      <c r="C9" s="410" t="s">
        <v>35</v>
      </c>
      <c r="D9" s="411" t="s">
        <v>239</v>
      </c>
      <c r="E9" s="130" t="s">
        <v>23</v>
      </c>
      <c r="F9" s="4"/>
      <c r="G9" s="146">
        <v>28</v>
      </c>
      <c r="H9" s="146"/>
      <c r="I9" s="147"/>
      <c r="J9" s="148">
        <v>2.5000000000000001E-2</v>
      </c>
      <c r="K9" s="148">
        <v>2.5000000000000001E-2</v>
      </c>
      <c r="L9" s="149">
        <v>40</v>
      </c>
      <c r="M9" s="149">
        <v>46.32</v>
      </c>
    </row>
    <row r="10" spans="2:13">
      <c r="B10" s="387"/>
      <c r="C10" s="410"/>
      <c r="D10" s="411"/>
      <c r="E10" s="228" t="s">
        <v>303</v>
      </c>
      <c r="F10" s="4"/>
      <c r="G10" s="146">
        <v>0</v>
      </c>
      <c r="H10" s="146"/>
      <c r="I10" s="147"/>
      <c r="J10" s="148">
        <v>2.5000000000000001E-2</v>
      </c>
      <c r="K10" s="148">
        <v>2.5000000000000001E-2</v>
      </c>
      <c r="L10" s="149">
        <v>4</v>
      </c>
      <c r="M10" s="149">
        <v>12.71</v>
      </c>
    </row>
    <row r="11" spans="2:13">
      <c r="B11" s="387"/>
      <c r="C11" s="410"/>
      <c r="D11" s="411"/>
      <c r="E11" s="228" t="s">
        <v>302</v>
      </c>
      <c r="F11" s="4"/>
      <c r="G11" s="146" t="s">
        <v>271</v>
      </c>
      <c r="H11" s="146"/>
      <c r="I11" s="147"/>
      <c r="J11" s="148">
        <v>2.5000000000000001E-2</v>
      </c>
      <c r="K11" s="148">
        <v>2.5000000000000001E-2</v>
      </c>
      <c r="L11" s="149">
        <v>20</v>
      </c>
      <c r="M11" s="149">
        <v>32.39</v>
      </c>
    </row>
    <row r="12" spans="2:13">
      <c r="B12" s="387"/>
      <c r="C12" s="410"/>
      <c r="D12" s="239" t="s">
        <v>240</v>
      </c>
      <c r="E12" s="130" t="s">
        <v>20</v>
      </c>
      <c r="F12" s="4"/>
      <c r="G12" s="146">
        <v>55</v>
      </c>
      <c r="H12" s="146"/>
      <c r="I12" s="147"/>
      <c r="J12" s="148">
        <v>2.5000000000000001E-2</v>
      </c>
      <c r="K12" s="148">
        <v>2.5000000000000001E-2</v>
      </c>
      <c r="L12" s="149">
        <v>40</v>
      </c>
      <c r="M12" s="149">
        <v>56.6</v>
      </c>
    </row>
    <row r="13" spans="2:13">
      <c r="B13" s="387"/>
      <c r="C13" s="415" t="s">
        <v>146</v>
      </c>
      <c r="D13" s="411" t="s">
        <v>241</v>
      </c>
      <c r="E13" s="152" t="s">
        <v>38</v>
      </c>
      <c r="F13" s="4"/>
      <c r="G13" s="146">
        <v>0</v>
      </c>
      <c r="H13" s="146"/>
      <c r="I13" s="148"/>
      <c r="J13" s="148">
        <v>2.5000000000000001E-2</v>
      </c>
      <c r="K13" s="148">
        <v>2.5000000000000001E-2</v>
      </c>
      <c r="L13" s="153">
        <v>0.25</v>
      </c>
      <c r="M13" s="153">
        <v>0</v>
      </c>
    </row>
    <row r="14" spans="2:13">
      <c r="B14" s="387"/>
      <c r="C14" s="416"/>
      <c r="D14" s="411"/>
      <c r="E14" s="239" t="s">
        <v>40</v>
      </c>
      <c r="F14" s="4"/>
      <c r="G14" s="146">
        <v>0</v>
      </c>
      <c r="H14" s="146"/>
      <c r="I14" s="148"/>
      <c r="J14" s="148">
        <v>2.5000000000000001E-2</v>
      </c>
      <c r="K14" s="148">
        <v>2.5000000000000001E-2</v>
      </c>
      <c r="L14" s="153">
        <v>0.18</v>
      </c>
      <c r="M14" s="153">
        <v>0</v>
      </c>
    </row>
    <row r="15" spans="2:13">
      <c r="B15" s="387"/>
      <c r="C15" s="416"/>
      <c r="D15" s="411"/>
      <c r="E15" s="239" t="s">
        <v>242</v>
      </c>
      <c r="F15" s="4"/>
      <c r="G15" s="146">
        <v>0</v>
      </c>
      <c r="H15" s="146"/>
      <c r="I15" s="148"/>
      <c r="J15" s="148"/>
      <c r="K15" s="148"/>
      <c r="L15" s="153"/>
      <c r="M15" s="153"/>
    </row>
    <row r="16" spans="2:13">
      <c r="B16" s="387"/>
      <c r="C16" s="416"/>
      <c r="D16" s="154" t="s">
        <v>243</v>
      </c>
      <c r="E16" s="155" t="s">
        <v>244</v>
      </c>
      <c r="F16" s="4"/>
      <c r="G16" s="146">
        <v>0.95</v>
      </c>
      <c r="H16" s="146"/>
      <c r="I16" s="148"/>
      <c r="J16" s="148"/>
      <c r="K16" s="148"/>
      <c r="L16" s="153"/>
      <c r="M16" s="153"/>
    </row>
    <row r="17" spans="2:13">
      <c r="B17" s="387"/>
      <c r="C17" s="416"/>
      <c r="D17" s="154"/>
      <c r="E17" s="186" t="s">
        <v>279</v>
      </c>
      <c r="F17" s="4"/>
      <c r="G17" s="146"/>
      <c r="H17" s="146"/>
      <c r="I17" s="148"/>
      <c r="J17" s="148"/>
      <c r="K17" s="148"/>
      <c r="L17" s="153"/>
      <c r="M17" s="153"/>
    </row>
    <row r="18" spans="2:13">
      <c r="B18" s="388"/>
      <c r="C18" s="417"/>
      <c r="D18" s="154"/>
      <c r="E18" s="186" t="s">
        <v>42</v>
      </c>
      <c r="F18" s="4"/>
      <c r="G18" s="146"/>
      <c r="H18" s="146"/>
      <c r="I18" s="148"/>
      <c r="J18" s="148">
        <v>0.05</v>
      </c>
      <c r="K18" s="148">
        <v>0.05</v>
      </c>
      <c r="L18" s="153">
        <v>0.05</v>
      </c>
      <c r="M18" s="153">
        <v>0</v>
      </c>
    </row>
    <row r="19" spans="2:13">
      <c r="B19" s="397" t="s">
        <v>245</v>
      </c>
      <c r="C19" s="156" t="s">
        <v>246</v>
      </c>
      <c r="D19" s="157" t="s">
        <v>247</v>
      </c>
      <c r="E19" s="14" t="s">
        <v>48</v>
      </c>
      <c r="F19" s="4"/>
      <c r="G19" s="146">
        <v>0.95</v>
      </c>
      <c r="H19" s="146"/>
      <c r="I19" s="148"/>
      <c r="J19" s="148"/>
      <c r="K19" s="158"/>
      <c r="L19" s="153"/>
      <c r="M19" s="153"/>
    </row>
    <row r="20" spans="2:13">
      <c r="B20" s="398"/>
      <c r="C20" s="412" t="s">
        <v>35</v>
      </c>
      <c r="D20" s="400" t="s">
        <v>248</v>
      </c>
      <c r="E20" s="14" t="s">
        <v>249</v>
      </c>
      <c r="F20" s="4"/>
      <c r="G20" s="146">
        <v>28</v>
      </c>
      <c r="H20" s="146"/>
      <c r="I20" s="147"/>
      <c r="J20" s="148"/>
      <c r="K20" s="158"/>
      <c r="L20" s="149"/>
      <c r="M20" s="149"/>
    </row>
    <row r="21" spans="2:13">
      <c r="B21" s="398"/>
      <c r="C21" s="413"/>
      <c r="D21" s="401"/>
      <c r="E21" s="230" t="s">
        <v>312</v>
      </c>
      <c r="F21" s="4"/>
      <c r="G21" s="146"/>
      <c r="H21" s="146"/>
      <c r="I21" s="147"/>
      <c r="J21" s="148"/>
      <c r="K21" s="158"/>
      <c r="L21" s="149"/>
      <c r="M21" s="149"/>
    </row>
    <row r="22" spans="2:13">
      <c r="B22" s="398"/>
      <c r="C22" s="413"/>
      <c r="D22" s="400" t="s">
        <v>250</v>
      </c>
      <c r="E22" s="14" t="s">
        <v>251</v>
      </c>
      <c r="F22" s="4"/>
      <c r="G22" s="146">
        <v>55</v>
      </c>
      <c r="H22" s="146"/>
      <c r="I22" s="147"/>
      <c r="J22" s="148"/>
      <c r="K22" s="158"/>
      <c r="L22" s="149"/>
      <c r="M22" s="149"/>
    </row>
    <row r="23" spans="2:13">
      <c r="B23" s="398"/>
      <c r="C23" s="414"/>
      <c r="D23" s="401"/>
      <c r="E23" s="231" t="s">
        <v>304</v>
      </c>
      <c r="F23" s="162"/>
      <c r="G23" s="163">
        <v>0.95</v>
      </c>
      <c r="H23" s="146"/>
      <c r="I23" s="148"/>
      <c r="J23" s="148"/>
      <c r="K23" s="158"/>
      <c r="L23" s="153"/>
      <c r="M23" s="153"/>
    </row>
    <row r="24" spans="2:13">
      <c r="B24" s="398"/>
      <c r="C24" s="412" t="s">
        <v>146</v>
      </c>
      <c r="D24" s="400" t="s">
        <v>252</v>
      </c>
      <c r="E24" s="161" t="s">
        <v>253</v>
      </c>
      <c r="F24" s="162"/>
      <c r="G24" s="163">
        <v>0.95</v>
      </c>
      <c r="H24" s="146"/>
      <c r="I24" s="148"/>
      <c r="J24" s="148"/>
      <c r="K24" s="158"/>
      <c r="L24" s="153"/>
      <c r="M24" s="153"/>
    </row>
    <row r="25" spans="2:13">
      <c r="B25" s="398"/>
      <c r="C25" s="414"/>
      <c r="D25" s="401"/>
      <c r="E25" s="161" t="s">
        <v>254</v>
      </c>
      <c r="F25" s="162"/>
      <c r="G25" s="163">
        <v>0</v>
      </c>
      <c r="H25" s="146"/>
      <c r="I25" s="148"/>
      <c r="J25" s="148"/>
      <c r="K25" s="148"/>
      <c r="L25" s="153"/>
      <c r="M25" s="153"/>
    </row>
    <row r="26" spans="2:13">
      <c r="B26" s="398"/>
      <c r="C26" s="240"/>
      <c r="D26" s="241"/>
      <c r="E26" s="230" t="s">
        <v>306</v>
      </c>
      <c r="F26" s="162"/>
      <c r="G26" s="163"/>
      <c r="H26" s="146"/>
      <c r="I26" s="148"/>
      <c r="J26" s="148"/>
      <c r="K26" s="148"/>
      <c r="L26" s="153"/>
      <c r="M26" s="153"/>
    </row>
    <row r="27" spans="2:13">
      <c r="B27" s="398"/>
      <c r="C27" s="240"/>
      <c r="D27" s="241"/>
      <c r="E27" s="230" t="s">
        <v>308</v>
      </c>
      <c r="F27" s="162"/>
      <c r="G27" s="163"/>
      <c r="H27" s="146"/>
      <c r="I27" s="148"/>
      <c r="J27" s="148"/>
      <c r="K27" s="148"/>
      <c r="L27" s="153"/>
      <c r="M27" s="153"/>
    </row>
    <row r="28" spans="2:13">
      <c r="B28" s="399"/>
      <c r="C28" s="156" t="s">
        <v>255</v>
      </c>
      <c r="D28" s="157" t="s">
        <v>256</v>
      </c>
      <c r="E28" s="157" t="s">
        <v>257</v>
      </c>
      <c r="F28" s="162"/>
      <c r="G28" s="163">
        <v>0.7</v>
      </c>
      <c r="H28" s="146"/>
      <c r="I28" s="148"/>
      <c r="J28" s="148"/>
      <c r="K28" s="148"/>
      <c r="L28" s="153"/>
      <c r="M28" s="153"/>
    </row>
    <row r="29" spans="2:13" ht="66" hidden="1">
      <c r="B29" s="408" t="s">
        <v>258</v>
      </c>
      <c r="C29" s="238" t="s">
        <v>259</v>
      </c>
      <c r="D29" s="165" t="s">
        <v>260</v>
      </c>
      <c r="E29" s="166" t="s">
        <v>261</v>
      </c>
      <c r="F29" s="4"/>
      <c r="G29" s="146" t="s">
        <v>272</v>
      </c>
      <c r="H29" s="146"/>
      <c r="I29" s="147"/>
      <c r="J29" s="148"/>
      <c r="K29" s="148"/>
      <c r="L29" s="150"/>
      <c r="M29" s="149"/>
    </row>
    <row r="30" spans="2:13" ht="26.4" hidden="1">
      <c r="B30" s="408"/>
      <c r="C30" s="409" t="s">
        <v>34</v>
      </c>
      <c r="D30" s="165" t="s">
        <v>262</v>
      </c>
      <c r="E30" s="71" t="s">
        <v>53</v>
      </c>
      <c r="F30" s="4"/>
      <c r="G30" s="146" t="s">
        <v>273</v>
      </c>
      <c r="H30" s="146"/>
      <c r="I30" s="169"/>
      <c r="J30" s="170"/>
      <c r="K30" s="170"/>
      <c r="L30" s="171"/>
      <c r="M30" s="172"/>
    </row>
    <row r="31" spans="2:13" ht="39.6" hidden="1">
      <c r="B31" s="408"/>
      <c r="C31" s="409"/>
      <c r="D31" s="175" t="s">
        <v>263</v>
      </c>
      <c r="E31" s="71" t="s">
        <v>54</v>
      </c>
      <c r="F31" s="4"/>
      <c r="G31" s="146" t="s">
        <v>274</v>
      </c>
      <c r="H31" s="146"/>
      <c r="I31" s="169"/>
      <c r="J31" s="170"/>
      <c r="K31" s="170"/>
      <c r="L31" s="171"/>
      <c r="M31" s="172"/>
    </row>
    <row r="32" spans="2:13" hidden="1">
      <c r="B32" s="408"/>
      <c r="C32" s="409" t="s">
        <v>264</v>
      </c>
      <c r="D32" s="165" t="s">
        <v>265</v>
      </c>
      <c r="E32" s="71" t="s">
        <v>266</v>
      </c>
      <c r="F32" s="4"/>
      <c r="G32" s="146">
        <v>3</v>
      </c>
      <c r="H32" s="146"/>
      <c r="I32" s="169"/>
      <c r="J32" s="170"/>
      <c r="K32" s="170"/>
      <c r="L32" s="173"/>
      <c r="M32" s="172"/>
    </row>
    <row r="33" spans="2:13" hidden="1">
      <c r="B33" s="408"/>
      <c r="C33" s="409"/>
      <c r="D33" s="165" t="s">
        <v>267</v>
      </c>
      <c r="E33" s="71" t="s">
        <v>268</v>
      </c>
      <c r="F33" s="4"/>
      <c r="G33" s="146">
        <v>3</v>
      </c>
      <c r="H33" s="146"/>
      <c r="I33" s="169"/>
      <c r="J33" s="170"/>
      <c r="K33" s="170"/>
      <c r="L33" s="171"/>
      <c r="M33" s="172"/>
    </row>
    <row r="34" spans="2:13" ht="26.4" hidden="1">
      <c r="B34" s="408"/>
      <c r="C34" s="409"/>
      <c r="D34" s="165" t="s">
        <v>269</v>
      </c>
      <c r="E34" s="71" t="s">
        <v>270</v>
      </c>
      <c r="F34" s="4"/>
      <c r="G34" s="146">
        <v>3</v>
      </c>
      <c r="H34" s="146"/>
      <c r="I34" s="169"/>
      <c r="J34" s="170"/>
      <c r="K34" s="170"/>
      <c r="L34" s="173"/>
      <c r="M34" s="172"/>
    </row>
  </sheetData>
  <autoFilter ref="B7:M34"/>
  <mergeCells count="27">
    <mergeCell ref="D20:D21"/>
    <mergeCell ref="D22:D23"/>
    <mergeCell ref="C24:C25"/>
    <mergeCell ref="D24:D25"/>
    <mergeCell ref="B29:B34"/>
    <mergeCell ref="C30:C31"/>
    <mergeCell ref="C32:C34"/>
    <mergeCell ref="B19:B28"/>
    <mergeCell ref="C20:C23"/>
    <mergeCell ref="B9:B18"/>
    <mergeCell ref="C9:C12"/>
    <mergeCell ref="D9:D11"/>
    <mergeCell ref="C13:C18"/>
    <mergeCell ref="D13:D15"/>
    <mergeCell ref="I1:M1"/>
    <mergeCell ref="B2:C2"/>
    <mergeCell ref="I2:M2"/>
    <mergeCell ref="I3:M3"/>
    <mergeCell ref="B5:B6"/>
    <mergeCell ref="C5:C6"/>
    <mergeCell ref="D5:D6"/>
    <mergeCell ref="E5:E6"/>
    <mergeCell ref="F5:F7"/>
    <mergeCell ref="G5:G7"/>
    <mergeCell ref="I6:M6"/>
    <mergeCell ref="I5:M5"/>
    <mergeCell ref="H5:H7"/>
  </mergeCells>
  <conditionalFormatting sqref="F1:G1">
    <cfRule type="duplicateValues" dxfId="15" priority="89"/>
  </conditionalFormatting>
  <conditionalFormatting sqref="F9:H34">
    <cfRule type="expression" dxfId="14" priority="88">
      <formula>F9=0</formula>
    </cfRule>
  </conditionalFormatting>
  <conditionalFormatting sqref="J29:K34 J19:J28">
    <cfRule type="expression" dxfId="13" priority="87">
      <formula>J19&gt;0</formula>
    </cfRule>
  </conditionalFormatting>
  <conditionalFormatting sqref="K29:K34">
    <cfRule type="expression" dxfId="12" priority="84">
      <formula>K29&lt;&gt;J29</formula>
    </cfRule>
  </conditionalFormatting>
  <conditionalFormatting sqref="K29:K34">
    <cfRule type="expression" dxfId="11" priority="83">
      <formula>K29&lt;&gt;J29</formula>
    </cfRule>
  </conditionalFormatting>
  <conditionalFormatting sqref="K9:K28">
    <cfRule type="expression" dxfId="10" priority="6">
      <formula>K9&gt;0</formula>
    </cfRule>
  </conditionalFormatting>
  <conditionalFormatting sqref="K9:K28">
    <cfRule type="expression" dxfId="9" priority="5">
      <formula>K9&lt;&gt;J9</formula>
    </cfRule>
  </conditionalFormatting>
  <conditionalFormatting sqref="K9:K28">
    <cfRule type="expression" dxfId="8" priority="4">
      <formula>K9&lt;&gt;J9</formula>
    </cfRule>
  </conditionalFormatting>
  <conditionalFormatting sqref="J9:J18">
    <cfRule type="expression" dxfId="7" priority="3">
      <formula>J9&gt;0</formula>
    </cfRule>
  </conditionalFormatting>
  <conditionalFormatting sqref="J9:J18">
    <cfRule type="expression" dxfId="6" priority="2">
      <formula>J9&lt;&gt;I9</formula>
    </cfRule>
  </conditionalFormatting>
  <conditionalFormatting sqref="J9:J18">
    <cfRule type="expression" dxfId="5" priority="1">
      <formula>J9&lt;&gt;I9</formula>
    </cfRule>
  </conditionalFormatting>
  <conditionalFormatting sqref="I5">
    <cfRule type="duplicateValues" dxfId="4" priority="1521"/>
  </conditionalFormatting>
  <conditionalFormatting sqref="F35:H1048576 H1 F2:H3 F4 H4 J4 L4">
    <cfRule type="duplicateValues" dxfId="3" priority="1522"/>
  </conditionalFormatting>
  <dataValidations count="2">
    <dataValidation type="list" allowBlank="1" showInputMessage="1" showErrorMessage="1" sqref="E2">
      <formula1>"FIT AVN,FIT Telematic,ST AVN,ST Telematic,SWT AVN"</formula1>
    </dataValidation>
    <dataValidation type="list" allowBlank="1" showInputMessage="1" showErrorMessage="1" sqref="I3:M3">
      <formula1>"Junior,Senior,Test Leader"</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34"/>
  <sheetViews>
    <sheetView showGridLines="0" zoomScale="80" zoomScaleNormal="80" workbookViewId="0">
      <selection activeCell="G14" sqref="G14"/>
    </sheetView>
  </sheetViews>
  <sheetFormatPr defaultRowHeight="14.4"/>
  <cols>
    <col min="1" max="1" width="48" customWidth="1"/>
    <col min="2" max="4" width="7" customWidth="1"/>
    <col min="5" max="5" width="25.109375" customWidth="1"/>
    <col min="6" max="11" width="17.109375" customWidth="1"/>
    <col min="12" max="12" width="9" customWidth="1"/>
    <col min="13" max="15" width="22.44140625" customWidth="1"/>
    <col min="16" max="16" width="9" customWidth="1"/>
    <col min="17" max="22" width="23.44140625" customWidth="1"/>
    <col min="23" max="23" width="14.33203125" customWidth="1"/>
    <col min="24" max="24" width="9" customWidth="1"/>
  </cols>
  <sheetData>
    <row r="1" spans="1:24">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row>
    <row r="2" spans="1:24" ht="17.399999999999999">
      <c r="A2" s="5"/>
      <c r="B2" s="420" t="s">
        <v>200</v>
      </c>
      <c r="C2" s="420"/>
      <c r="D2" s="420"/>
      <c r="E2" s="100"/>
      <c r="F2" s="420" t="s">
        <v>201</v>
      </c>
      <c r="G2" s="420"/>
      <c r="H2" s="420"/>
      <c r="I2" s="420"/>
      <c r="J2" s="420"/>
      <c r="K2" s="420"/>
      <c r="L2" s="420"/>
      <c r="M2" s="421" t="s">
        <v>202</v>
      </c>
      <c r="N2" s="421"/>
      <c r="O2" s="421"/>
      <c r="P2" s="421"/>
      <c r="Q2" s="422" t="s">
        <v>203</v>
      </c>
      <c r="R2" s="422"/>
      <c r="S2" s="422"/>
      <c r="T2" s="422"/>
      <c r="U2" s="422"/>
      <c r="V2" s="422"/>
      <c r="W2" s="422"/>
      <c r="X2" s="422"/>
    </row>
    <row r="3" spans="1:24" ht="88.8" customHeight="1">
      <c r="A3" s="101"/>
      <c r="B3" s="102" t="s">
        <v>1</v>
      </c>
      <c r="C3" s="102" t="s">
        <v>145</v>
      </c>
      <c r="D3" s="102" t="s">
        <v>204</v>
      </c>
      <c r="E3" s="103" t="s">
        <v>2</v>
      </c>
      <c r="F3" s="104" t="s">
        <v>205</v>
      </c>
      <c r="G3" s="104" t="s">
        <v>206</v>
      </c>
      <c r="H3" s="104" t="s">
        <v>207</v>
      </c>
      <c r="I3" s="104" t="s">
        <v>208</v>
      </c>
      <c r="J3" s="104" t="s">
        <v>209</v>
      </c>
      <c r="K3" s="104" t="s">
        <v>210</v>
      </c>
      <c r="L3" s="105" t="s">
        <v>275</v>
      </c>
      <c r="M3" s="106" t="s">
        <v>212</v>
      </c>
      <c r="N3" s="106" t="s">
        <v>213</v>
      </c>
      <c r="O3" s="106" t="s">
        <v>214</v>
      </c>
      <c r="P3" s="107" t="s">
        <v>275</v>
      </c>
      <c r="Q3" s="108" t="s">
        <v>215</v>
      </c>
      <c r="R3" s="108" t="s">
        <v>216</v>
      </c>
      <c r="S3" s="108" t="s">
        <v>217</v>
      </c>
      <c r="T3" s="108" t="s">
        <v>218</v>
      </c>
      <c r="U3" s="108" t="s">
        <v>219</v>
      </c>
      <c r="V3" s="108" t="s">
        <v>276</v>
      </c>
      <c r="W3" s="108" t="s">
        <v>277</v>
      </c>
      <c r="X3" s="109" t="s">
        <v>211</v>
      </c>
    </row>
    <row r="4" spans="1:24">
      <c r="A4" s="19"/>
      <c r="B4" s="6"/>
      <c r="C4" s="111"/>
      <c r="D4" s="111">
        <f>C4-B4</f>
        <v>0</v>
      </c>
      <c r="E4" s="112"/>
      <c r="F4" s="113">
        <v>4</v>
      </c>
      <c r="G4" s="113">
        <v>5</v>
      </c>
      <c r="H4" s="113">
        <v>5</v>
      </c>
      <c r="I4" s="7">
        <v>4</v>
      </c>
      <c r="J4" s="7">
        <v>5</v>
      </c>
      <c r="K4" s="113">
        <v>5</v>
      </c>
      <c r="L4" s="114">
        <f>IFERROR(AVERAGE(F4:K4),"Check")</f>
        <v>4.666666666666667</v>
      </c>
      <c r="M4" s="113">
        <v>4</v>
      </c>
      <c r="N4" s="113">
        <v>4</v>
      </c>
      <c r="O4" s="113">
        <v>4</v>
      </c>
      <c r="P4" s="115">
        <f>IFERROR(AVERAGE(M4:O4),"Check")</f>
        <v>4</v>
      </c>
      <c r="Q4" s="113">
        <v>4</v>
      </c>
      <c r="R4" s="113">
        <v>5</v>
      </c>
      <c r="S4" s="113">
        <v>5</v>
      </c>
      <c r="T4" s="113">
        <v>5</v>
      </c>
      <c r="U4" s="113">
        <v>5</v>
      </c>
      <c r="V4" s="113">
        <v>5</v>
      </c>
      <c r="W4" s="113">
        <v>5</v>
      </c>
      <c r="X4" s="116">
        <v>5</v>
      </c>
    </row>
    <row r="5" spans="1:24">
      <c r="A5" s="19"/>
      <c r="B5" s="6"/>
      <c r="C5" s="111"/>
      <c r="D5" s="111">
        <f t="shared" ref="D5:D34" si="0">C5-B5</f>
        <v>0</v>
      </c>
      <c r="E5" s="112"/>
      <c r="F5" s="113">
        <v>5</v>
      </c>
      <c r="G5" s="113">
        <v>5</v>
      </c>
      <c r="H5" s="113">
        <v>5</v>
      </c>
      <c r="I5" s="7">
        <v>5</v>
      </c>
      <c r="J5" s="7">
        <v>5</v>
      </c>
      <c r="K5" s="113">
        <v>5</v>
      </c>
      <c r="L5" s="114">
        <f t="shared" ref="L5:L34" si="1">IFERROR(AVERAGE(F5:K5),"Check")</f>
        <v>5</v>
      </c>
      <c r="M5" s="113">
        <v>5</v>
      </c>
      <c r="N5" s="113">
        <v>5</v>
      </c>
      <c r="O5" s="113">
        <v>5</v>
      </c>
      <c r="P5" s="115">
        <f t="shared" ref="P5:P34" si="2">IFERROR(AVERAGE(M5:O5),"Check")</f>
        <v>5</v>
      </c>
      <c r="Q5" s="113">
        <v>4</v>
      </c>
      <c r="R5" s="113">
        <v>5</v>
      </c>
      <c r="S5" s="113">
        <v>5</v>
      </c>
      <c r="T5" s="113">
        <v>5</v>
      </c>
      <c r="U5" s="113">
        <v>5</v>
      </c>
      <c r="V5" s="113">
        <v>5</v>
      </c>
      <c r="W5" s="113">
        <v>5</v>
      </c>
      <c r="X5" s="116">
        <v>5</v>
      </c>
    </row>
    <row r="6" spans="1:24">
      <c r="A6" s="19" t="s">
        <v>44</v>
      </c>
      <c r="B6" s="6"/>
      <c r="C6" s="111"/>
      <c r="D6" s="111">
        <f t="shared" si="0"/>
        <v>0</v>
      </c>
      <c r="E6" s="112"/>
      <c r="F6" s="113">
        <v>5</v>
      </c>
      <c r="G6" s="113">
        <v>5</v>
      </c>
      <c r="H6" s="113">
        <v>5</v>
      </c>
      <c r="I6" s="7">
        <v>5</v>
      </c>
      <c r="J6" s="7">
        <v>4</v>
      </c>
      <c r="K6" s="113">
        <v>4</v>
      </c>
      <c r="L6" s="114">
        <f t="shared" si="1"/>
        <v>4.666666666666667</v>
      </c>
      <c r="M6" s="113">
        <v>4</v>
      </c>
      <c r="N6" s="113">
        <v>5</v>
      </c>
      <c r="O6" s="113">
        <v>5</v>
      </c>
      <c r="P6" s="115">
        <f t="shared" si="2"/>
        <v>4.666666666666667</v>
      </c>
      <c r="Q6" s="113">
        <v>4</v>
      </c>
      <c r="R6" s="113">
        <v>5</v>
      </c>
      <c r="S6" s="113">
        <v>5</v>
      </c>
      <c r="T6" s="113">
        <v>5</v>
      </c>
      <c r="U6" s="113">
        <v>5</v>
      </c>
      <c r="V6" s="113">
        <v>4</v>
      </c>
      <c r="W6" s="113">
        <v>5</v>
      </c>
      <c r="X6" s="116">
        <v>5</v>
      </c>
    </row>
    <row r="7" spans="1:24">
      <c r="A7" s="19"/>
      <c r="B7" s="6"/>
      <c r="C7" s="111"/>
      <c r="D7" s="111">
        <f t="shared" si="0"/>
        <v>0</v>
      </c>
      <c r="E7" s="112"/>
      <c r="F7" s="113">
        <v>5</v>
      </c>
      <c r="G7" s="113">
        <v>5</v>
      </c>
      <c r="H7" s="113">
        <v>5</v>
      </c>
      <c r="I7" s="7">
        <v>5</v>
      </c>
      <c r="J7" s="7">
        <v>4</v>
      </c>
      <c r="K7" s="113">
        <v>5</v>
      </c>
      <c r="L7" s="114">
        <f t="shared" si="1"/>
        <v>4.833333333333333</v>
      </c>
      <c r="M7" s="113">
        <v>4.5</v>
      </c>
      <c r="N7" s="113">
        <v>4.5</v>
      </c>
      <c r="O7" s="113">
        <v>4.5</v>
      </c>
      <c r="P7" s="115">
        <f t="shared" si="2"/>
        <v>4.5</v>
      </c>
      <c r="Q7" s="113">
        <v>4</v>
      </c>
      <c r="R7" s="113">
        <v>5</v>
      </c>
      <c r="S7" s="113">
        <v>5</v>
      </c>
      <c r="T7" s="113">
        <v>5</v>
      </c>
      <c r="U7" s="113">
        <v>4.666666666666667</v>
      </c>
      <c r="V7" s="113">
        <v>4.666666666666667</v>
      </c>
      <c r="W7" s="113">
        <v>5</v>
      </c>
      <c r="X7" s="116">
        <v>5</v>
      </c>
    </row>
    <row r="8" spans="1:24">
      <c r="A8" s="19"/>
      <c r="B8" s="6"/>
      <c r="C8" s="111"/>
      <c r="D8" s="111">
        <f t="shared" si="0"/>
        <v>0</v>
      </c>
      <c r="E8" s="112"/>
      <c r="F8" s="113">
        <v>5</v>
      </c>
      <c r="G8" s="113">
        <v>5</v>
      </c>
      <c r="H8" s="113">
        <v>5</v>
      </c>
      <c r="I8" s="7">
        <v>5</v>
      </c>
      <c r="J8" s="7">
        <v>5</v>
      </c>
      <c r="K8" s="113">
        <v>5</v>
      </c>
      <c r="L8" s="114">
        <f t="shared" si="1"/>
        <v>5</v>
      </c>
      <c r="M8" s="113">
        <v>5</v>
      </c>
      <c r="N8" s="113">
        <v>5</v>
      </c>
      <c r="O8" s="113">
        <v>5</v>
      </c>
      <c r="P8" s="115">
        <f t="shared" si="2"/>
        <v>5</v>
      </c>
      <c r="Q8" s="113">
        <v>4</v>
      </c>
      <c r="R8" s="113">
        <v>5</v>
      </c>
      <c r="S8" s="113">
        <v>5</v>
      </c>
      <c r="T8" s="113">
        <v>5</v>
      </c>
      <c r="U8" s="113">
        <v>5</v>
      </c>
      <c r="V8" s="113">
        <v>5</v>
      </c>
      <c r="W8" s="113">
        <v>5</v>
      </c>
      <c r="X8" s="116">
        <v>5</v>
      </c>
    </row>
    <row r="9" spans="1:24">
      <c r="A9" s="19"/>
      <c r="B9" s="6"/>
      <c r="C9" s="111"/>
      <c r="D9" s="111">
        <f t="shared" si="0"/>
        <v>0</v>
      </c>
      <c r="E9" s="112"/>
      <c r="F9" s="113">
        <v>5</v>
      </c>
      <c r="G9" s="113">
        <v>5</v>
      </c>
      <c r="H9" s="113">
        <v>5</v>
      </c>
      <c r="I9" s="7">
        <v>5</v>
      </c>
      <c r="J9" s="7">
        <v>5</v>
      </c>
      <c r="K9" s="113">
        <v>5</v>
      </c>
      <c r="L9" s="114">
        <f t="shared" si="1"/>
        <v>5</v>
      </c>
      <c r="M9" s="113">
        <v>5</v>
      </c>
      <c r="N9" s="113">
        <v>5</v>
      </c>
      <c r="O9" s="113">
        <v>5</v>
      </c>
      <c r="P9" s="115">
        <f t="shared" si="2"/>
        <v>5</v>
      </c>
      <c r="Q9" s="113">
        <v>5</v>
      </c>
      <c r="R9" s="113">
        <v>5</v>
      </c>
      <c r="S9" s="113">
        <v>4.666666666666667</v>
      </c>
      <c r="T9" s="113">
        <v>5</v>
      </c>
      <c r="U9" s="113">
        <v>4.666666666666667</v>
      </c>
      <c r="V9" s="113">
        <v>5</v>
      </c>
      <c r="W9" s="113">
        <v>5</v>
      </c>
      <c r="X9" s="116">
        <v>5</v>
      </c>
    </row>
    <row r="10" spans="1:24">
      <c r="A10" s="19"/>
      <c r="B10" s="6"/>
      <c r="C10" s="111"/>
      <c r="D10" s="111">
        <f t="shared" si="0"/>
        <v>0</v>
      </c>
      <c r="E10" s="112"/>
      <c r="F10" s="113">
        <v>5</v>
      </c>
      <c r="G10" s="113">
        <v>5</v>
      </c>
      <c r="H10" s="113">
        <v>5</v>
      </c>
      <c r="I10" s="7">
        <v>5</v>
      </c>
      <c r="J10" s="7">
        <v>5</v>
      </c>
      <c r="K10" s="113">
        <v>5</v>
      </c>
      <c r="L10" s="114">
        <f t="shared" si="1"/>
        <v>5</v>
      </c>
      <c r="M10" s="113">
        <v>4.8</v>
      </c>
      <c r="N10" s="113">
        <v>4.8</v>
      </c>
      <c r="O10" s="113">
        <v>4.8</v>
      </c>
      <c r="P10" s="115">
        <f t="shared" si="2"/>
        <v>4.8</v>
      </c>
      <c r="Q10" s="113">
        <v>5</v>
      </c>
      <c r="R10" s="113">
        <v>5</v>
      </c>
      <c r="S10" s="113">
        <v>4.5999999999999996</v>
      </c>
      <c r="T10" s="113">
        <v>4.5999999999999996</v>
      </c>
      <c r="U10" s="113">
        <v>4.8</v>
      </c>
      <c r="V10" s="113">
        <v>4.8</v>
      </c>
      <c r="W10" s="113">
        <v>4.8</v>
      </c>
      <c r="X10" s="116">
        <v>4.8</v>
      </c>
    </row>
    <row r="11" spans="1:24">
      <c r="A11" s="19"/>
      <c r="B11" s="6"/>
      <c r="C11" s="111"/>
      <c r="D11" s="111">
        <f t="shared" si="0"/>
        <v>0</v>
      </c>
      <c r="E11" s="112"/>
      <c r="F11" s="113">
        <v>4.5</v>
      </c>
      <c r="G11" s="113">
        <v>4</v>
      </c>
      <c r="H11" s="113">
        <v>5</v>
      </c>
      <c r="I11" s="7">
        <v>4.5</v>
      </c>
      <c r="J11" s="7">
        <v>4.5</v>
      </c>
      <c r="K11" s="113">
        <v>4.5</v>
      </c>
      <c r="L11" s="114">
        <f t="shared" si="1"/>
        <v>4.5</v>
      </c>
      <c r="M11" s="113">
        <v>4.666666666666667</v>
      </c>
      <c r="N11" s="113">
        <v>4.333333333333333</v>
      </c>
      <c r="O11" s="113">
        <v>4.666666666666667</v>
      </c>
      <c r="P11" s="115">
        <f t="shared" si="2"/>
        <v>4.5555555555555562</v>
      </c>
      <c r="Q11" s="113">
        <v>3.5</v>
      </c>
      <c r="R11" s="113">
        <v>3</v>
      </c>
      <c r="S11" s="113">
        <v>4.333333333333333</v>
      </c>
      <c r="T11" s="113">
        <v>5</v>
      </c>
      <c r="U11" s="113">
        <v>4.333333333333333</v>
      </c>
      <c r="V11" s="113">
        <v>5</v>
      </c>
      <c r="W11" s="113">
        <v>4.666666666666667</v>
      </c>
      <c r="X11" s="116">
        <v>4.666666666666667</v>
      </c>
    </row>
    <row r="12" spans="1:24">
      <c r="A12" s="19" t="s">
        <v>305</v>
      </c>
      <c r="B12" s="6"/>
      <c r="C12" s="111"/>
      <c r="D12" s="111">
        <f t="shared" si="0"/>
        <v>0</v>
      </c>
      <c r="E12" s="112"/>
      <c r="F12" s="113">
        <v>5</v>
      </c>
      <c r="G12" s="113">
        <v>5</v>
      </c>
      <c r="H12" s="113">
        <v>5</v>
      </c>
      <c r="I12" s="7">
        <v>5</v>
      </c>
      <c r="J12" s="7">
        <v>5</v>
      </c>
      <c r="K12" s="113">
        <v>5</v>
      </c>
      <c r="L12" s="114">
        <f t="shared" si="1"/>
        <v>5</v>
      </c>
      <c r="M12" s="113">
        <v>5</v>
      </c>
      <c r="N12" s="113">
        <v>5</v>
      </c>
      <c r="O12" s="113">
        <v>5</v>
      </c>
      <c r="P12" s="115">
        <f t="shared" si="2"/>
        <v>5</v>
      </c>
      <c r="Q12" s="113">
        <v>5</v>
      </c>
      <c r="R12" s="113">
        <v>5</v>
      </c>
      <c r="S12" s="113">
        <v>5</v>
      </c>
      <c r="T12" s="113">
        <v>4.5</v>
      </c>
      <c r="U12" s="113">
        <v>5</v>
      </c>
      <c r="V12" s="113">
        <v>5</v>
      </c>
      <c r="W12" s="113">
        <v>5</v>
      </c>
      <c r="X12" s="116">
        <v>5</v>
      </c>
    </row>
    <row r="13" spans="1:24">
      <c r="A13" s="19"/>
      <c r="B13" s="6"/>
      <c r="C13" s="111"/>
      <c r="D13" s="111">
        <f t="shared" si="0"/>
        <v>0</v>
      </c>
      <c r="E13" s="112"/>
      <c r="F13" s="113">
        <v>5</v>
      </c>
      <c r="G13" s="113">
        <v>5</v>
      </c>
      <c r="H13" s="113">
        <v>5</v>
      </c>
      <c r="I13" s="7">
        <v>5</v>
      </c>
      <c r="J13" s="7">
        <v>5</v>
      </c>
      <c r="K13" s="113">
        <v>5</v>
      </c>
      <c r="L13" s="114">
        <f t="shared" si="1"/>
        <v>5</v>
      </c>
      <c r="M13" s="113">
        <v>4.666666666666667</v>
      </c>
      <c r="N13" s="113">
        <v>4.666666666666667</v>
      </c>
      <c r="O13" s="113">
        <v>4.666666666666667</v>
      </c>
      <c r="P13" s="115">
        <f t="shared" si="2"/>
        <v>4.666666666666667</v>
      </c>
      <c r="Q13" s="113">
        <v>5</v>
      </c>
      <c r="R13" s="113">
        <v>5</v>
      </c>
      <c r="S13" s="113">
        <v>4.666666666666667</v>
      </c>
      <c r="T13" s="113">
        <v>4.666666666666667</v>
      </c>
      <c r="U13" s="113">
        <v>4.666666666666667</v>
      </c>
      <c r="V13" s="113">
        <v>4.666666666666667</v>
      </c>
      <c r="W13" s="113">
        <v>4.666666666666667</v>
      </c>
      <c r="X13" s="116">
        <v>4.666666666666667</v>
      </c>
    </row>
    <row r="14" spans="1:24">
      <c r="A14" s="19"/>
      <c r="B14" s="6"/>
      <c r="C14" s="111"/>
      <c r="D14" s="111">
        <f t="shared" si="0"/>
        <v>0</v>
      </c>
      <c r="E14" s="112"/>
      <c r="F14" s="113">
        <v>4</v>
      </c>
      <c r="G14" s="113">
        <v>3.6666666666666665</v>
      </c>
      <c r="H14" s="113">
        <v>3.8333333333333335</v>
      </c>
      <c r="I14" s="7">
        <v>3.6666666666666665</v>
      </c>
      <c r="J14" s="7">
        <v>3.6666666666666665</v>
      </c>
      <c r="K14" s="113">
        <v>3.6666666666666665</v>
      </c>
      <c r="L14" s="114">
        <f t="shared" si="1"/>
        <v>3.75</v>
      </c>
      <c r="M14" s="113">
        <v>3.6666666666666665</v>
      </c>
      <c r="N14" s="113">
        <v>3.3333333333333335</v>
      </c>
      <c r="O14" s="113">
        <v>3.3333333333333335</v>
      </c>
      <c r="P14" s="115">
        <f t="shared" si="2"/>
        <v>3.4444444444444446</v>
      </c>
      <c r="Q14" s="113">
        <v>3</v>
      </c>
      <c r="R14" s="113">
        <v>4</v>
      </c>
      <c r="S14" s="113">
        <v>3.3333333333333335</v>
      </c>
      <c r="T14" s="113">
        <v>4</v>
      </c>
      <c r="U14" s="113">
        <v>3.6666666666666665</v>
      </c>
      <c r="V14" s="113">
        <v>3.3333333333333335</v>
      </c>
      <c r="W14" s="113">
        <v>3.6666666666666665</v>
      </c>
      <c r="X14" s="116">
        <v>4</v>
      </c>
    </row>
    <row r="15" spans="1:24">
      <c r="A15" s="19"/>
      <c r="B15" s="6"/>
      <c r="C15" s="111"/>
      <c r="D15" s="111">
        <f t="shared" si="0"/>
        <v>0</v>
      </c>
      <c r="E15" s="112"/>
      <c r="F15" s="113">
        <v>4.5</v>
      </c>
      <c r="G15" s="113">
        <v>4.5</v>
      </c>
      <c r="H15" s="113">
        <v>5</v>
      </c>
      <c r="I15" s="7">
        <v>5</v>
      </c>
      <c r="J15" s="7">
        <v>4</v>
      </c>
      <c r="K15" s="113">
        <v>5</v>
      </c>
      <c r="L15" s="114">
        <f t="shared" si="1"/>
        <v>4.666666666666667</v>
      </c>
      <c r="M15" s="113">
        <v>4.666666666666667</v>
      </c>
      <c r="N15" s="113">
        <v>4.333333333333333</v>
      </c>
      <c r="O15" s="113">
        <v>4.333333333333333</v>
      </c>
      <c r="P15" s="115">
        <f t="shared" si="2"/>
        <v>4.4444444444444438</v>
      </c>
      <c r="Q15" s="113">
        <v>4</v>
      </c>
      <c r="R15" s="113">
        <v>4.5</v>
      </c>
      <c r="S15" s="113">
        <v>4.666666666666667</v>
      </c>
      <c r="T15" s="113">
        <v>4</v>
      </c>
      <c r="U15" s="113">
        <v>4.333333333333333</v>
      </c>
      <c r="V15" s="113">
        <v>4.333333333333333</v>
      </c>
      <c r="W15" s="113">
        <v>4</v>
      </c>
      <c r="X15" s="116">
        <v>4.666666666666667</v>
      </c>
    </row>
    <row r="16" spans="1:24">
      <c r="A16" s="19"/>
      <c r="B16" s="20"/>
      <c r="C16" s="111"/>
      <c r="D16" s="111">
        <f t="shared" si="0"/>
        <v>0</v>
      </c>
      <c r="E16" s="112"/>
      <c r="F16" s="113">
        <v>5</v>
      </c>
      <c r="G16" s="113">
        <v>5</v>
      </c>
      <c r="H16" s="113">
        <v>5</v>
      </c>
      <c r="I16" s="7">
        <v>5</v>
      </c>
      <c r="J16" s="7">
        <v>5</v>
      </c>
      <c r="K16" s="113">
        <v>5</v>
      </c>
      <c r="L16" s="114">
        <f t="shared" si="1"/>
        <v>5</v>
      </c>
      <c r="M16" s="113">
        <v>4.666666666666667</v>
      </c>
      <c r="N16" s="113">
        <v>4.666666666666667</v>
      </c>
      <c r="O16" s="113">
        <v>5</v>
      </c>
      <c r="P16" s="115">
        <f t="shared" si="2"/>
        <v>4.7777777777777777</v>
      </c>
      <c r="Q16" s="113">
        <v>4.5</v>
      </c>
      <c r="R16" s="113">
        <v>5</v>
      </c>
      <c r="S16" s="113">
        <v>5</v>
      </c>
      <c r="T16" s="113">
        <v>5</v>
      </c>
      <c r="U16" s="113">
        <v>5</v>
      </c>
      <c r="V16" s="113">
        <v>5</v>
      </c>
      <c r="W16" s="113">
        <v>5</v>
      </c>
      <c r="X16" s="116">
        <v>5</v>
      </c>
    </row>
    <row r="17" spans="1:24">
      <c r="A17" s="19"/>
      <c r="B17" s="6"/>
      <c r="C17" s="111"/>
      <c r="D17" s="111">
        <f t="shared" si="0"/>
        <v>0</v>
      </c>
      <c r="E17" s="112"/>
      <c r="F17" s="113">
        <v>4</v>
      </c>
      <c r="G17" s="113">
        <v>4</v>
      </c>
      <c r="H17" s="113">
        <v>4</v>
      </c>
      <c r="I17" s="7">
        <v>4</v>
      </c>
      <c r="J17" s="7">
        <v>4</v>
      </c>
      <c r="K17" s="113">
        <v>4</v>
      </c>
      <c r="L17" s="114">
        <f t="shared" si="1"/>
        <v>4</v>
      </c>
      <c r="M17" s="113">
        <v>5</v>
      </c>
      <c r="N17" s="113">
        <v>4</v>
      </c>
      <c r="O17" s="113">
        <v>4</v>
      </c>
      <c r="P17" s="115">
        <f t="shared" si="2"/>
        <v>4.333333333333333</v>
      </c>
      <c r="Q17" s="113">
        <v>4</v>
      </c>
      <c r="R17" s="113">
        <v>5</v>
      </c>
      <c r="S17" s="113">
        <v>4.666666666666667</v>
      </c>
      <c r="T17" s="113">
        <v>4.666666666666667</v>
      </c>
      <c r="U17" s="113">
        <v>4.666666666666667</v>
      </c>
      <c r="V17" s="113">
        <v>4.666666666666667</v>
      </c>
      <c r="W17" s="113">
        <v>4.666666666666667</v>
      </c>
      <c r="X17" s="116">
        <v>4.666666666666667</v>
      </c>
    </row>
    <row r="18" spans="1:24">
      <c r="A18" s="19"/>
      <c r="B18" s="6"/>
      <c r="C18" s="111"/>
      <c r="D18" s="111">
        <f t="shared" si="0"/>
        <v>0</v>
      </c>
      <c r="E18" s="112"/>
      <c r="F18" s="113"/>
      <c r="G18" s="113"/>
      <c r="H18" s="113"/>
      <c r="I18" s="7"/>
      <c r="J18" s="7"/>
      <c r="K18" s="113"/>
      <c r="L18" s="114" t="str">
        <f t="shared" si="1"/>
        <v>Check</v>
      </c>
      <c r="M18" s="113"/>
      <c r="N18" s="113"/>
      <c r="O18" s="113"/>
      <c r="P18" s="115" t="str">
        <f t="shared" si="2"/>
        <v>Check</v>
      </c>
      <c r="Q18" s="113"/>
      <c r="R18" s="113"/>
      <c r="S18" s="113"/>
      <c r="T18" s="113"/>
      <c r="U18" s="113"/>
      <c r="V18" s="113"/>
      <c r="W18" s="113"/>
      <c r="X18" s="116" t="str">
        <f t="shared" ref="X18:X34" si="3">IFERROR(AVERAGE(Q18:W18),"Check")</f>
        <v>Check</v>
      </c>
    </row>
    <row r="19" spans="1:24">
      <c r="A19" s="19"/>
      <c r="B19" s="6"/>
      <c r="C19" s="111"/>
      <c r="D19" s="111">
        <f t="shared" si="0"/>
        <v>0</v>
      </c>
      <c r="E19" s="112"/>
      <c r="F19" s="113"/>
      <c r="G19" s="113"/>
      <c r="H19" s="113"/>
      <c r="I19" s="7"/>
      <c r="J19" s="7"/>
      <c r="K19" s="113"/>
      <c r="L19" s="114" t="str">
        <f t="shared" si="1"/>
        <v>Check</v>
      </c>
      <c r="M19" s="113"/>
      <c r="N19" s="113"/>
      <c r="O19" s="113"/>
      <c r="P19" s="115" t="str">
        <f t="shared" si="2"/>
        <v>Check</v>
      </c>
      <c r="Q19" s="113"/>
      <c r="R19" s="113"/>
      <c r="S19" s="113"/>
      <c r="T19" s="113"/>
      <c r="U19" s="113"/>
      <c r="V19" s="113"/>
      <c r="W19" s="113"/>
      <c r="X19" s="116" t="str">
        <f t="shared" si="3"/>
        <v>Check</v>
      </c>
    </row>
    <row r="20" spans="1:24">
      <c r="A20" s="19"/>
      <c r="B20" s="6"/>
      <c r="C20" s="111"/>
      <c r="D20" s="111">
        <f t="shared" si="0"/>
        <v>0</v>
      </c>
      <c r="E20" s="112"/>
      <c r="F20" s="113"/>
      <c r="G20" s="113"/>
      <c r="H20" s="113"/>
      <c r="I20" s="7"/>
      <c r="J20" s="7"/>
      <c r="K20" s="113"/>
      <c r="L20" s="114" t="str">
        <f t="shared" si="1"/>
        <v>Check</v>
      </c>
      <c r="M20" s="113"/>
      <c r="N20" s="113"/>
      <c r="O20" s="113"/>
      <c r="P20" s="115" t="str">
        <f t="shared" si="2"/>
        <v>Check</v>
      </c>
      <c r="Q20" s="113"/>
      <c r="R20" s="113"/>
      <c r="S20" s="113"/>
      <c r="T20" s="113"/>
      <c r="U20" s="113"/>
      <c r="V20" s="113"/>
      <c r="W20" s="113"/>
      <c r="X20" s="116" t="str">
        <f t="shared" si="3"/>
        <v>Check</v>
      </c>
    </row>
    <row r="21" spans="1:24">
      <c r="A21" s="19"/>
      <c r="B21" s="6"/>
      <c r="C21" s="111"/>
      <c r="D21" s="111">
        <f t="shared" si="0"/>
        <v>0</v>
      </c>
      <c r="E21" s="112"/>
      <c r="F21" s="113"/>
      <c r="G21" s="113"/>
      <c r="H21" s="113"/>
      <c r="I21" s="7"/>
      <c r="J21" s="7"/>
      <c r="K21" s="113"/>
      <c r="L21" s="114" t="str">
        <f t="shared" si="1"/>
        <v>Check</v>
      </c>
      <c r="M21" s="113"/>
      <c r="N21" s="113"/>
      <c r="O21" s="113"/>
      <c r="P21" s="115" t="str">
        <f t="shared" si="2"/>
        <v>Check</v>
      </c>
      <c r="Q21" s="113"/>
      <c r="R21" s="113"/>
      <c r="S21" s="113"/>
      <c r="T21" s="113"/>
      <c r="U21" s="113"/>
      <c r="V21" s="113"/>
      <c r="W21" s="113"/>
      <c r="X21" s="116" t="str">
        <f t="shared" si="3"/>
        <v>Check</v>
      </c>
    </row>
    <row r="22" spans="1:24">
      <c r="A22" s="117"/>
      <c r="B22" s="6"/>
      <c r="C22" s="111"/>
      <c r="D22" s="111">
        <f t="shared" si="0"/>
        <v>0</v>
      </c>
      <c r="E22" s="112"/>
      <c r="F22" s="113"/>
      <c r="G22" s="113"/>
      <c r="H22" s="113"/>
      <c r="I22" s="7"/>
      <c r="J22" s="7"/>
      <c r="K22" s="113"/>
      <c r="L22" s="114" t="str">
        <f t="shared" si="1"/>
        <v>Check</v>
      </c>
      <c r="M22" s="113"/>
      <c r="N22" s="113"/>
      <c r="O22" s="113"/>
      <c r="P22" s="115" t="str">
        <f t="shared" si="2"/>
        <v>Check</v>
      </c>
      <c r="Q22" s="113"/>
      <c r="R22" s="113"/>
      <c r="S22" s="113"/>
      <c r="T22" s="113"/>
      <c r="U22" s="113"/>
      <c r="V22" s="113"/>
      <c r="W22" s="113"/>
      <c r="X22" s="116" t="str">
        <f t="shared" si="3"/>
        <v>Check</v>
      </c>
    </row>
    <row r="23" spans="1:24">
      <c r="A23" s="117"/>
      <c r="B23" s="6"/>
      <c r="C23" s="111"/>
      <c r="D23" s="111">
        <f t="shared" si="0"/>
        <v>0</v>
      </c>
      <c r="E23" s="112"/>
      <c r="F23" s="113"/>
      <c r="G23" s="113"/>
      <c r="H23" s="113"/>
      <c r="I23" s="7"/>
      <c r="J23" s="7"/>
      <c r="K23" s="113"/>
      <c r="L23" s="114" t="str">
        <f t="shared" si="1"/>
        <v>Check</v>
      </c>
      <c r="M23" s="113"/>
      <c r="N23" s="113"/>
      <c r="O23" s="113"/>
      <c r="P23" s="115" t="str">
        <f t="shared" si="2"/>
        <v>Check</v>
      </c>
      <c r="Q23" s="113"/>
      <c r="R23" s="113"/>
      <c r="S23" s="113"/>
      <c r="T23" s="113"/>
      <c r="U23" s="113"/>
      <c r="V23" s="113"/>
      <c r="W23" s="113"/>
      <c r="X23" s="116" t="str">
        <f t="shared" si="3"/>
        <v>Check</v>
      </c>
    </row>
    <row r="24" spans="1:24">
      <c r="A24" s="117"/>
      <c r="B24" s="6"/>
      <c r="C24" s="111"/>
      <c r="D24" s="111">
        <f t="shared" si="0"/>
        <v>0</v>
      </c>
      <c r="E24" s="112"/>
      <c r="F24" s="113"/>
      <c r="G24" s="113"/>
      <c r="H24" s="113"/>
      <c r="I24" s="7"/>
      <c r="J24" s="7"/>
      <c r="K24" s="113"/>
      <c r="L24" s="114" t="str">
        <f t="shared" si="1"/>
        <v>Check</v>
      </c>
      <c r="M24" s="113"/>
      <c r="N24" s="113"/>
      <c r="O24" s="113"/>
      <c r="P24" s="115" t="str">
        <f t="shared" si="2"/>
        <v>Check</v>
      </c>
      <c r="Q24" s="113"/>
      <c r="R24" s="113"/>
      <c r="S24" s="113"/>
      <c r="T24" s="113"/>
      <c r="U24" s="113"/>
      <c r="V24" s="113"/>
      <c r="W24" s="113"/>
      <c r="X24" s="116" t="str">
        <f t="shared" si="3"/>
        <v>Check</v>
      </c>
    </row>
    <row r="25" spans="1:24">
      <c r="A25" s="117"/>
      <c r="B25" s="6"/>
      <c r="C25" s="111"/>
      <c r="D25" s="111">
        <f t="shared" si="0"/>
        <v>0</v>
      </c>
      <c r="E25" s="112"/>
      <c r="F25" s="113"/>
      <c r="G25" s="113"/>
      <c r="H25" s="113"/>
      <c r="I25" s="7"/>
      <c r="J25" s="7"/>
      <c r="K25" s="113"/>
      <c r="L25" s="114" t="str">
        <f t="shared" si="1"/>
        <v>Check</v>
      </c>
      <c r="M25" s="113"/>
      <c r="N25" s="113"/>
      <c r="O25" s="113"/>
      <c r="P25" s="115" t="str">
        <f t="shared" si="2"/>
        <v>Check</v>
      </c>
      <c r="Q25" s="113"/>
      <c r="R25" s="113"/>
      <c r="S25" s="113"/>
      <c r="T25" s="113"/>
      <c r="U25" s="113"/>
      <c r="V25" s="113"/>
      <c r="W25" s="113"/>
      <c r="X25" s="116" t="str">
        <f t="shared" si="3"/>
        <v>Check</v>
      </c>
    </row>
    <row r="26" spans="1:24">
      <c r="A26" s="117"/>
      <c r="B26" s="6"/>
      <c r="C26" s="111"/>
      <c r="D26" s="111">
        <f t="shared" si="0"/>
        <v>0</v>
      </c>
      <c r="E26" s="112"/>
      <c r="F26" s="113"/>
      <c r="G26" s="113"/>
      <c r="H26" s="113"/>
      <c r="I26" s="7"/>
      <c r="J26" s="7"/>
      <c r="K26" s="113"/>
      <c r="L26" s="114" t="str">
        <f t="shared" si="1"/>
        <v>Check</v>
      </c>
      <c r="M26" s="113"/>
      <c r="N26" s="113"/>
      <c r="O26" s="113"/>
      <c r="P26" s="115" t="str">
        <f t="shared" si="2"/>
        <v>Check</v>
      </c>
      <c r="Q26" s="113"/>
      <c r="R26" s="113"/>
      <c r="S26" s="113"/>
      <c r="T26" s="113"/>
      <c r="U26" s="113"/>
      <c r="V26" s="113"/>
      <c r="W26" s="113"/>
      <c r="X26" s="116" t="str">
        <f t="shared" si="3"/>
        <v>Check</v>
      </c>
    </row>
    <row r="27" spans="1:24">
      <c r="A27" s="117"/>
      <c r="B27" s="6"/>
      <c r="C27" s="111"/>
      <c r="D27" s="111">
        <f t="shared" si="0"/>
        <v>0</v>
      </c>
      <c r="E27" s="112"/>
      <c r="F27" s="113"/>
      <c r="G27" s="113"/>
      <c r="H27" s="113"/>
      <c r="I27" s="7"/>
      <c r="J27" s="7"/>
      <c r="K27" s="113"/>
      <c r="L27" s="114" t="str">
        <f t="shared" si="1"/>
        <v>Check</v>
      </c>
      <c r="M27" s="113"/>
      <c r="N27" s="113"/>
      <c r="O27" s="113"/>
      <c r="P27" s="115" t="str">
        <f t="shared" si="2"/>
        <v>Check</v>
      </c>
      <c r="Q27" s="113"/>
      <c r="R27" s="113"/>
      <c r="S27" s="113"/>
      <c r="T27" s="113"/>
      <c r="U27" s="113"/>
      <c r="V27" s="113"/>
      <c r="W27" s="113"/>
      <c r="X27" s="116" t="str">
        <f t="shared" si="3"/>
        <v>Check</v>
      </c>
    </row>
    <row r="28" spans="1:24">
      <c r="A28" s="117"/>
      <c r="B28" s="6"/>
      <c r="C28" s="111"/>
      <c r="D28" s="111">
        <f t="shared" si="0"/>
        <v>0</v>
      </c>
      <c r="E28" s="112"/>
      <c r="F28" s="113"/>
      <c r="G28" s="113"/>
      <c r="H28" s="113"/>
      <c r="I28" s="7"/>
      <c r="J28" s="7"/>
      <c r="K28" s="113"/>
      <c r="L28" s="114" t="str">
        <f t="shared" si="1"/>
        <v>Check</v>
      </c>
      <c r="M28" s="113"/>
      <c r="N28" s="113"/>
      <c r="O28" s="113"/>
      <c r="P28" s="115" t="str">
        <f t="shared" si="2"/>
        <v>Check</v>
      </c>
      <c r="Q28" s="113"/>
      <c r="R28" s="113"/>
      <c r="S28" s="113"/>
      <c r="T28" s="113"/>
      <c r="U28" s="113"/>
      <c r="V28" s="113"/>
      <c r="W28" s="113"/>
      <c r="X28" s="116" t="str">
        <f t="shared" si="3"/>
        <v>Check</v>
      </c>
    </row>
    <row r="29" spans="1:24">
      <c r="A29" s="117"/>
      <c r="B29" s="6"/>
      <c r="C29" s="111"/>
      <c r="D29" s="111">
        <f t="shared" si="0"/>
        <v>0</v>
      </c>
      <c r="E29" s="112"/>
      <c r="F29" s="113"/>
      <c r="G29" s="113"/>
      <c r="H29" s="113"/>
      <c r="I29" s="7"/>
      <c r="J29" s="7"/>
      <c r="K29" s="113"/>
      <c r="L29" s="114" t="str">
        <f t="shared" si="1"/>
        <v>Check</v>
      </c>
      <c r="M29" s="113"/>
      <c r="N29" s="113"/>
      <c r="O29" s="113"/>
      <c r="P29" s="115" t="str">
        <f t="shared" si="2"/>
        <v>Check</v>
      </c>
      <c r="Q29" s="113"/>
      <c r="R29" s="113"/>
      <c r="S29" s="113"/>
      <c r="T29" s="113"/>
      <c r="U29" s="113"/>
      <c r="V29" s="113"/>
      <c r="W29" s="113"/>
      <c r="X29" s="116" t="str">
        <f t="shared" si="3"/>
        <v>Check</v>
      </c>
    </row>
    <row r="30" spans="1:24">
      <c r="A30" s="117"/>
      <c r="B30" s="6"/>
      <c r="C30" s="111"/>
      <c r="D30" s="111">
        <f t="shared" si="0"/>
        <v>0</v>
      </c>
      <c r="E30" s="112"/>
      <c r="F30" s="113"/>
      <c r="G30" s="113"/>
      <c r="H30" s="113"/>
      <c r="I30" s="7"/>
      <c r="J30" s="7"/>
      <c r="K30" s="113"/>
      <c r="L30" s="114" t="str">
        <f t="shared" si="1"/>
        <v>Check</v>
      </c>
      <c r="M30" s="113"/>
      <c r="N30" s="113"/>
      <c r="O30" s="113"/>
      <c r="P30" s="115" t="str">
        <f t="shared" si="2"/>
        <v>Check</v>
      </c>
      <c r="Q30" s="113"/>
      <c r="R30" s="113"/>
      <c r="S30" s="113"/>
      <c r="T30" s="113"/>
      <c r="U30" s="113"/>
      <c r="V30" s="113"/>
      <c r="W30" s="113"/>
      <c r="X30" s="116" t="str">
        <f t="shared" si="3"/>
        <v>Check</v>
      </c>
    </row>
    <row r="31" spans="1:24">
      <c r="A31" s="117"/>
      <c r="B31" s="20"/>
      <c r="C31" s="111"/>
      <c r="D31" s="111">
        <f t="shared" si="0"/>
        <v>0</v>
      </c>
      <c r="E31" s="112"/>
      <c r="F31" s="113"/>
      <c r="G31" s="113"/>
      <c r="H31" s="113"/>
      <c r="I31" s="7"/>
      <c r="J31" s="7"/>
      <c r="K31" s="113"/>
      <c r="L31" s="114" t="str">
        <f t="shared" si="1"/>
        <v>Check</v>
      </c>
      <c r="M31" s="113"/>
      <c r="N31" s="113"/>
      <c r="O31" s="113"/>
      <c r="P31" s="115" t="str">
        <f t="shared" si="2"/>
        <v>Check</v>
      </c>
      <c r="Q31" s="113"/>
      <c r="R31" s="113"/>
      <c r="S31" s="113"/>
      <c r="T31" s="113"/>
      <c r="U31" s="113"/>
      <c r="V31" s="113"/>
      <c r="W31" s="113"/>
      <c r="X31" s="116" t="str">
        <f t="shared" si="3"/>
        <v>Check</v>
      </c>
    </row>
    <row r="32" spans="1:24">
      <c r="A32" s="117"/>
      <c r="B32" s="6"/>
      <c r="C32" s="111"/>
      <c r="D32" s="111">
        <f t="shared" si="0"/>
        <v>0</v>
      </c>
      <c r="E32" s="112"/>
      <c r="F32" s="113"/>
      <c r="G32" s="113"/>
      <c r="H32" s="113"/>
      <c r="I32" s="7"/>
      <c r="J32" s="7"/>
      <c r="K32" s="113"/>
      <c r="L32" s="114" t="str">
        <f t="shared" si="1"/>
        <v>Check</v>
      </c>
      <c r="M32" s="113"/>
      <c r="N32" s="113"/>
      <c r="O32" s="113"/>
      <c r="P32" s="115" t="str">
        <f t="shared" si="2"/>
        <v>Check</v>
      </c>
      <c r="Q32" s="113"/>
      <c r="R32" s="113"/>
      <c r="S32" s="113"/>
      <c r="T32" s="113"/>
      <c r="U32" s="113"/>
      <c r="V32" s="113"/>
      <c r="W32" s="113"/>
      <c r="X32" s="116" t="str">
        <f t="shared" si="3"/>
        <v>Check</v>
      </c>
    </row>
    <row r="33" spans="1:24">
      <c r="A33" s="118"/>
      <c r="B33" s="6"/>
      <c r="C33" s="111"/>
      <c r="D33" s="111">
        <f t="shared" si="0"/>
        <v>0</v>
      </c>
      <c r="E33" s="112"/>
      <c r="F33" s="113"/>
      <c r="G33" s="113"/>
      <c r="H33" s="113"/>
      <c r="I33" s="7"/>
      <c r="J33" s="7"/>
      <c r="K33" s="113"/>
      <c r="L33" s="114" t="str">
        <f t="shared" si="1"/>
        <v>Check</v>
      </c>
      <c r="M33" s="113"/>
      <c r="N33" s="113"/>
      <c r="O33" s="113"/>
      <c r="P33" s="115" t="str">
        <f t="shared" si="2"/>
        <v>Check</v>
      </c>
      <c r="Q33" s="113"/>
      <c r="R33" s="113"/>
      <c r="S33" s="113"/>
      <c r="T33" s="113"/>
      <c r="U33" s="113"/>
      <c r="V33" s="113"/>
      <c r="W33" s="113"/>
      <c r="X33" s="116" t="str">
        <f t="shared" si="3"/>
        <v>Check</v>
      </c>
    </row>
    <row r="34" spans="1:24">
      <c r="A34" s="110"/>
      <c r="B34" s="6"/>
      <c r="C34" s="111"/>
      <c r="D34" s="111">
        <f t="shared" si="0"/>
        <v>0</v>
      </c>
      <c r="E34" s="112"/>
      <c r="F34" s="113"/>
      <c r="G34" s="113"/>
      <c r="H34" s="113"/>
      <c r="I34" s="7"/>
      <c r="J34" s="7"/>
      <c r="K34" s="113"/>
      <c r="L34" s="114" t="str">
        <f t="shared" si="1"/>
        <v>Check</v>
      </c>
      <c r="M34" s="113"/>
      <c r="N34" s="113"/>
      <c r="O34" s="113"/>
      <c r="P34" s="115" t="str">
        <f t="shared" si="2"/>
        <v>Check</v>
      </c>
      <c r="Q34" s="113"/>
      <c r="R34" s="113"/>
      <c r="S34" s="113"/>
      <c r="T34" s="113"/>
      <c r="U34" s="113"/>
      <c r="V34" s="113"/>
      <c r="W34" s="113"/>
      <c r="X34" s="116" t="str">
        <f t="shared" si="3"/>
        <v>Check</v>
      </c>
    </row>
  </sheetData>
  <mergeCells count="4">
    <mergeCell ref="B2:D2"/>
    <mergeCell ref="F2:L2"/>
    <mergeCell ref="M2:P2"/>
    <mergeCell ref="Q2:X2"/>
  </mergeCells>
  <conditionalFormatting sqref="A48:A49 A63 A4:A21 A42">
    <cfRule type="duplicateValues" dxfId="2" priority="1478"/>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topLeftCell="A40" workbookViewId="0">
      <selection activeCell="K77" sqref="K77"/>
    </sheetView>
  </sheetViews>
  <sheetFormatPr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Cover</vt:lpstr>
      <vt:lpstr>Reference</vt:lpstr>
      <vt:lpstr>Member_Data_Calculation</vt:lpstr>
      <vt:lpstr>360_Degree_Review</vt:lpstr>
      <vt:lpstr>MemberData</vt:lpstr>
      <vt:lpstr>Commited_Actual_1stProject</vt:lpstr>
      <vt:lpstr>Commited_Actual_2ndProject</vt:lpstr>
      <vt:lpstr>Commited_Actual_3rdProject</vt:lpstr>
      <vt:lpstr>Commited_Actual_4thProject</vt:lpstr>
      <vt:lpstr>360_Degree_Result</vt: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VLM Tracker</dc:title>
  <dc:creator>TUOI VU PHAM/Team Leader/LGEVH VC VALIDATION TEST 1(tuoi.pham@lge.com)</dc:creator>
  <cp:lastModifiedBy>truong.dao</cp:lastModifiedBy>
  <dcterms:created xsi:type="dcterms:W3CDTF">2018-03-26T04:25:27Z</dcterms:created>
  <dcterms:modified xsi:type="dcterms:W3CDTF">2020-11-12T10:39:02Z</dcterms:modified>
</cp:coreProperties>
</file>