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GIT_Hub\"/>
    </mc:Choice>
  </mc:AlternateContent>
  <bookViews>
    <workbookView xWindow="0" yWindow="0" windowWidth="21000" windowHeight="11220" tabRatio="684" activeTab="5"/>
  </bookViews>
  <sheets>
    <sheet name="Cover" sheetId="82" r:id="rId1"/>
    <sheet name="Reference" sheetId="5" r:id="rId2"/>
    <sheet name="Member_Data_Calculation" sheetId="73" r:id="rId3"/>
    <sheet name="360_Degree_Review" sheetId="69" state="hidden" r:id="rId4"/>
    <sheet name="MemberData" sheetId="75" r:id="rId5"/>
    <sheet name="Commited_Actual_1stProject" sheetId="78" r:id="rId6"/>
    <sheet name="Commited_Actual_2ndProject" sheetId="81" r:id="rId7"/>
    <sheet name="Commited_Actual_3rdProject" sheetId="84" r:id="rId8"/>
    <sheet name="Commited_Actual_4thProject" sheetId="85" r:id="rId9"/>
    <sheet name="360_Degree_Result" sheetId="76" r:id="rId10"/>
    <sheet name="Rawdata_Full" sheetId="86" r:id="rId11"/>
    <sheet name="TestLead_Na" sheetId="87" r:id="rId12"/>
    <sheet name="TestLead_VanAnh" sheetId="88" r:id="rId13"/>
  </sheets>
  <externalReferences>
    <externalReference r:id="rId14"/>
    <externalReference r:id="rId15"/>
    <externalReference r:id="rId16"/>
    <externalReference r:id="rId17"/>
  </externalReferences>
  <definedNames>
    <definedName name="_xlnm._FilterDatabase" localSheetId="3" hidden="1">'360_Degree_Review'!$A$1:$H$74</definedName>
    <definedName name="_xlnm._FilterDatabase" localSheetId="5" hidden="1">Commited_Actual_1stProject!$B$7:$AB$36</definedName>
    <definedName name="_xlnm._FilterDatabase" localSheetId="6" hidden="1">Commited_Actual_2ndProject!$B$7:$AB$34</definedName>
    <definedName name="_xlnm._FilterDatabase" localSheetId="7" hidden="1">Commited_Actual_3rdProject!$B$7:$M$34</definedName>
    <definedName name="_xlnm._FilterDatabase" localSheetId="8" hidden="1">Commited_Actual_4thProject!$B$7:$M$34</definedName>
    <definedName name="_xlnm._FilterDatabase" localSheetId="4" hidden="1">MemberData!$B$3:$CU$7</definedName>
    <definedName name="_xlnm._FilterDatabase" localSheetId="10" hidden="1">Rawdata_Full!$A$1:$AG$233</definedName>
    <definedName name="_xlnm._FilterDatabase" localSheetId="1" hidden="1">Reference!$A$1:$L$21</definedName>
    <definedName name="cf" hidden="1">{#N/A,#N/A,FALSE,"신규dep";#N/A,#N/A,FALSE,"신규dep-금형상각후";#N/A,#N/A,FALSE,"신규dep-연구비상각후";#N/A,#N/A,FALSE,"신규dep-기계,공구상각후"}</definedName>
    <definedName name="conn" localSheetId="5" hidden="1">{#N/A,#N/A,FALSE,"신규dep";#N/A,#N/A,FALSE,"신규dep-금형상각후";#N/A,#N/A,FALSE,"신규dep-연구비상각후";#N/A,#N/A,FALSE,"신규dep-기계,공구상각후"}</definedName>
    <definedName name="conn" localSheetId="6" hidden="1">{#N/A,#N/A,FALSE,"신규dep";#N/A,#N/A,FALSE,"신규dep-금형상각후";#N/A,#N/A,FALSE,"신규dep-연구비상각후";#N/A,#N/A,FALSE,"신규dep-기계,공구상각후"}</definedName>
    <definedName name="conn" localSheetId="7" hidden="1">{#N/A,#N/A,FALSE,"신규dep";#N/A,#N/A,FALSE,"신규dep-금형상각후";#N/A,#N/A,FALSE,"신규dep-연구비상각후";#N/A,#N/A,FALSE,"신규dep-기계,공구상각후"}</definedName>
    <definedName name="conn" localSheetId="8" hidden="1">{#N/A,#N/A,FALSE,"신규dep";#N/A,#N/A,FALSE,"신규dep-금형상각후";#N/A,#N/A,FALSE,"신규dep-연구비상각후";#N/A,#N/A,FALSE,"신규dep-기계,공구상각후"}</definedName>
    <definedName name="conn" localSheetId="0" hidden="1">{#N/A,#N/A,FALSE,"신규dep";#N/A,#N/A,FALSE,"신규dep-금형상각후";#N/A,#N/A,FALSE,"신규dep-연구비상각후";#N/A,#N/A,FALSE,"신규dep-기계,공구상각후"}</definedName>
    <definedName name="conn" hidden="1">{#N/A,#N/A,FALSE,"신규dep";#N/A,#N/A,FALSE,"신규dep-금형상각후";#N/A,#N/A,FALSE,"신규dep-연구비상각후";#N/A,#N/A,FALSE,"신규dep-기계,공구상각후"}</definedName>
    <definedName name="wrn.신규dep._.full._.set." localSheetId="5" hidden="1">{#N/A,#N/A,FALSE,"신규dep";#N/A,#N/A,FALSE,"신규dep-금형상각후";#N/A,#N/A,FALSE,"신규dep-연구비상각후";#N/A,#N/A,FALSE,"신규dep-기계,공구상각후"}</definedName>
    <definedName name="wrn.신규dep._.full._.set." localSheetId="6" hidden="1">{#N/A,#N/A,FALSE,"신규dep";#N/A,#N/A,FALSE,"신규dep-금형상각후";#N/A,#N/A,FALSE,"신규dep-연구비상각후";#N/A,#N/A,FALSE,"신규dep-기계,공구상각후"}</definedName>
    <definedName name="wrn.신규dep._.full._.set." localSheetId="7" hidden="1">{#N/A,#N/A,FALSE,"신규dep";#N/A,#N/A,FALSE,"신규dep-금형상각후";#N/A,#N/A,FALSE,"신규dep-연구비상각후";#N/A,#N/A,FALSE,"신규dep-기계,공구상각후"}</definedName>
    <definedName name="wrn.신규dep._.full._.set." localSheetId="8" hidden="1">{#N/A,#N/A,FALSE,"신규dep";#N/A,#N/A,FALSE,"신규dep-금형상각후";#N/A,#N/A,FALSE,"신규dep-연구비상각후";#N/A,#N/A,FALSE,"신규dep-기계,공구상각후"}</definedName>
    <definedName name="wrn.신규dep._.full._.set." localSheetId="0" hidden="1">{#N/A,#N/A,FALSE,"신규dep";#N/A,#N/A,FALSE,"신규dep-금형상각후";#N/A,#N/A,FALSE,"신규dep-연구비상각후";#N/A,#N/A,FALSE,"신규dep-기계,공구상각후"}</definedName>
    <definedName name="wrn.신규dep._.full._.set." hidden="1">{#N/A,#N/A,FALSE,"신규dep";#N/A,#N/A,FALSE,"신규dep-금형상각후";#N/A,#N/A,FALSE,"신규dep-연구비상각후";#N/A,#N/A,FALSE,"신규dep-기계,공구상각후"}</definedName>
  </definedNames>
  <calcPr calcId="152511"/>
</workbook>
</file>

<file path=xl/calcChain.xml><?xml version="1.0" encoding="utf-8"?>
<calcChain xmlns="http://schemas.openxmlformats.org/spreadsheetml/2006/main">
  <c r="X15" i="76" l="1"/>
  <c r="W15" i="76"/>
  <c r="V15" i="76"/>
  <c r="U15" i="76"/>
  <c r="T15" i="76"/>
  <c r="S15" i="76"/>
  <c r="P15" i="76"/>
  <c r="O15" i="76"/>
  <c r="N15" i="76"/>
  <c r="K15" i="76"/>
  <c r="J15" i="76"/>
  <c r="I15" i="76"/>
  <c r="H15" i="76"/>
  <c r="G15" i="76"/>
  <c r="F15" i="76"/>
  <c r="D15" i="76"/>
  <c r="C15" i="76"/>
  <c r="B15" i="76"/>
  <c r="X14" i="76"/>
  <c r="W14" i="76"/>
  <c r="V14" i="76"/>
  <c r="U14" i="76"/>
  <c r="T14" i="76"/>
  <c r="S14" i="76"/>
  <c r="P14" i="76"/>
  <c r="O14" i="76"/>
  <c r="N14" i="76"/>
  <c r="K14" i="76"/>
  <c r="J14" i="76"/>
  <c r="I14" i="76"/>
  <c r="H14" i="76"/>
  <c r="G14" i="76"/>
  <c r="F14" i="76"/>
  <c r="C14" i="76"/>
  <c r="B14" i="76"/>
  <c r="X13" i="76"/>
  <c r="W13" i="76"/>
  <c r="V13" i="76"/>
  <c r="U13" i="76"/>
  <c r="T13" i="76"/>
  <c r="S13" i="76"/>
  <c r="P13" i="76"/>
  <c r="O13" i="76"/>
  <c r="N13" i="76"/>
  <c r="K13" i="76"/>
  <c r="J13" i="76"/>
  <c r="I13" i="76"/>
  <c r="H13" i="76"/>
  <c r="G13" i="76"/>
  <c r="F13" i="76"/>
  <c r="C13" i="76"/>
  <c r="B13" i="76"/>
  <c r="D13" i="76" s="1"/>
  <c r="X12" i="76"/>
  <c r="W12" i="76"/>
  <c r="V12" i="76"/>
  <c r="U12" i="76"/>
  <c r="T12" i="76"/>
  <c r="S12" i="76"/>
  <c r="P12" i="76"/>
  <c r="O12" i="76"/>
  <c r="R12" i="76" s="1"/>
  <c r="N12" i="76"/>
  <c r="K12" i="76"/>
  <c r="J12" i="76"/>
  <c r="I12" i="76"/>
  <c r="H12" i="76"/>
  <c r="G12" i="76"/>
  <c r="F12" i="76"/>
  <c r="C12" i="76"/>
  <c r="D12" i="76" s="1"/>
  <c r="B12" i="76"/>
  <c r="X11" i="76"/>
  <c r="W11" i="76"/>
  <c r="V11" i="76"/>
  <c r="U11" i="76"/>
  <c r="T11" i="76"/>
  <c r="S11" i="76"/>
  <c r="P11" i="76"/>
  <c r="O11" i="76"/>
  <c r="N11" i="76"/>
  <c r="K11" i="76"/>
  <c r="J11" i="76"/>
  <c r="I11" i="76"/>
  <c r="H11" i="76"/>
  <c r="G11" i="76"/>
  <c r="F11" i="76"/>
  <c r="C11" i="76"/>
  <c r="B11" i="76"/>
  <c r="X10" i="76"/>
  <c r="W10" i="76"/>
  <c r="V10" i="76"/>
  <c r="U10" i="76"/>
  <c r="T10" i="76"/>
  <c r="S10" i="76"/>
  <c r="P10" i="76"/>
  <c r="O10" i="76"/>
  <c r="N10" i="76"/>
  <c r="K10" i="76"/>
  <c r="J10" i="76"/>
  <c r="I10" i="76"/>
  <c r="H10" i="76"/>
  <c r="G10" i="76"/>
  <c r="F10" i="76"/>
  <c r="C10" i="76"/>
  <c r="B10" i="76"/>
  <c r="X9" i="76"/>
  <c r="W9" i="76"/>
  <c r="V9" i="76"/>
  <c r="U9" i="76"/>
  <c r="T9" i="76"/>
  <c r="S9" i="76"/>
  <c r="P9" i="76"/>
  <c r="O9" i="76"/>
  <c r="N9" i="76"/>
  <c r="K9" i="76"/>
  <c r="J9" i="76"/>
  <c r="I9" i="76"/>
  <c r="H9" i="76"/>
  <c r="G9" i="76"/>
  <c r="F9" i="76"/>
  <c r="C9" i="76"/>
  <c r="B9" i="76"/>
  <c r="X8" i="76"/>
  <c r="W8" i="76"/>
  <c r="V8" i="76"/>
  <c r="U8" i="76"/>
  <c r="T8" i="76"/>
  <c r="S8" i="76"/>
  <c r="P8" i="76"/>
  <c r="O8" i="76"/>
  <c r="N8" i="76"/>
  <c r="K8" i="76"/>
  <c r="J8" i="76"/>
  <c r="I8" i="76"/>
  <c r="H8" i="76"/>
  <c r="G8" i="76"/>
  <c r="F8" i="76"/>
  <c r="C8" i="76"/>
  <c r="B8" i="76"/>
  <c r="X7" i="76"/>
  <c r="W7" i="76"/>
  <c r="V7" i="76"/>
  <c r="U7" i="76"/>
  <c r="T7" i="76"/>
  <c r="S7" i="76"/>
  <c r="P7" i="76"/>
  <c r="O7" i="76"/>
  <c r="N7" i="76"/>
  <c r="K7" i="76"/>
  <c r="J7" i="76"/>
  <c r="I7" i="76"/>
  <c r="H7" i="76"/>
  <c r="G7" i="76"/>
  <c r="F7" i="76"/>
  <c r="C7" i="76"/>
  <c r="B7" i="76"/>
  <c r="X6" i="76"/>
  <c r="W6" i="76"/>
  <c r="V6" i="76"/>
  <c r="U6" i="76"/>
  <c r="T6" i="76"/>
  <c r="S6" i="76"/>
  <c r="P6" i="76"/>
  <c r="O6" i="76"/>
  <c r="N6" i="76"/>
  <c r="K6" i="76"/>
  <c r="J6" i="76"/>
  <c r="I6" i="76"/>
  <c r="H6" i="76"/>
  <c r="G6" i="76"/>
  <c r="F6" i="76"/>
  <c r="C6" i="76"/>
  <c r="B6" i="76"/>
  <c r="X5" i="76"/>
  <c r="W5" i="76"/>
  <c r="V5" i="76"/>
  <c r="U5" i="76"/>
  <c r="T5" i="76"/>
  <c r="S5" i="76"/>
  <c r="P5" i="76"/>
  <c r="O5" i="76"/>
  <c r="N5" i="76"/>
  <c r="K5" i="76"/>
  <c r="J5" i="76"/>
  <c r="I5" i="76"/>
  <c r="H5" i="76"/>
  <c r="G5" i="76"/>
  <c r="F5" i="76"/>
  <c r="C5" i="76"/>
  <c r="B5" i="76"/>
  <c r="X4" i="76"/>
  <c r="W4" i="76"/>
  <c r="V4" i="76"/>
  <c r="U4" i="76"/>
  <c r="T4" i="76"/>
  <c r="S4" i="76"/>
  <c r="P4" i="76"/>
  <c r="O4" i="76"/>
  <c r="N4" i="76"/>
  <c r="K4" i="76"/>
  <c r="J4" i="76"/>
  <c r="I4" i="76"/>
  <c r="H4" i="76"/>
  <c r="G4" i="76"/>
  <c r="F4" i="76"/>
  <c r="C4" i="76"/>
  <c r="B4" i="76"/>
  <c r="X3" i="76"/>
  <c r="W3" i="76"/>
  <c r="V3" i="76"/>
  <c r="U3" i="76"/>
  <c r="T3" i="76"/>
  <c r="S3" i="76"/>
  <c r="P3" i="76"/>
  <c r="O3" i="76"/>
  <c r="N3" i="76"/>
  <c r="K3" i="76"/>
  <c r="J3" i="76"/>
  <c r="I3" i="76"/>
  <c r="H3" i="76"/>
  <c r="G3" i="76"/>
  <c r="F3" i="76"/>
  <c r="C3" i="76"/>
  <c r="B3" i="76"/>
  <c r="Z14" i="76" l="1"/>
  <c r="D14" i="76"/>
  <c r="D10" i="76"/>
  <c r="D4" i="76"/>
  <c r="R4" i="76"/>
  <c r="D5" i="76"/>
  <c r="R5" i="76"/>
  <c r="D6" i="76"/>
  <c r="R6" i="76"/>
  <c r="D7" i="76"/>
  <c r="R11" i="76"/>
  <c r="Z8" i="76"/>
  <c r="D3" i="76"/>
  <c r="D8" i="76"/>
  <c r="D9" i="76"/>
  <c r="R9" i="76"/>
  <c r="Z3" i="76"/>
  <c r="M5" i="76"/>
  <c r="M7" i="76"/>
  <c r="R8" i="76"/>
  <c r="Z9" i="76"/>
  <c r="M10" i="76"/>
  <c r="Z12" i="76"/>
  <c r="M13" i="76"/>
  <c r="R14" i="76"/>
  <c r="M15" i="76"/>
  <c r="R3" i="76"/>
  <c r="M4" i="76"/>
  <c r="R7" i="76"/>
  <c r="Z10" i="76"/>
  <c r="M11" i="76"/>
  <c r="Z11" i="76"/>
  <c r="Z13" i="76"/>
  <c r="Z15" i="76"/>
  <c r="M3" i="76"/>
  <c r="Z5" i="76"/>
  <c r="M6" i="76"/>
  <c r="Z7" i="76"/>
  <c r="M8" i="76"/>
  <c r="M9" i="76"/>
  <c r="R10" i="76"/>
  <c r="D11" i="76"/>
  <c r="M12" i="76"/>
  <c r="R13" i="76"/>
  <c r="M14" i="76"/>
  <c r="R15" i="76"/>
  <c r="Z4" i="76"/>
  <c r="Z6" i="76"/>
  <c r="G6" i="75" l="1"/>
  <c r="I63" i="73" l="1"/>
  <c r="H63" i="73"/>
  <c r="G63" i="73"/>
  <c r="I62" i="73"/>
  <c r="H62" i="73"/>
  <c r="G62" i="73"/>
  <c r="I61" i="73"/>
  <c r="H61" i="73"/>
  <c r="G61" i="73"/>
  <c r="I60" i="73"/>
  <c r="H60" i="73"/>
  <c r="G60" i="73"/>
  <c r="I59" i="73"/>
  <c r="H59" i="73"/>
  <c r="G59" i="73"/>
  <c r="I58" i="73"/>
  <c r="H58" i="73"/>
  <c r="G58" i="73"/>
  <c r="I39" i="73"/>
  <c r="H39" i="73"/>
  <c r="G39" i="73"/>
  <c r="I38" i="73"/>
  <c r="H38" i="73"/>
  <c r="G38" i="73"/>
  <c r="I36" i="73"/>
  <c r="H36" i="73"/>
  <c r="G36" i="73"/>
  <c r="I35" i="73"/>
  <c r="H35" i="73"/>
  <c r="G35" i="73"/>
  <c r="I33" i="73"/>
  <c r="H33" i="73"/>
  <c r="G33" i="73"/>
  <c r="I32" i="73"/>
  <c r="H32" i="73"/>
  <c r="G32" i="73"/>
  <c r="I24" i="73"/>
  <c r="H24" i="73"/>
  <c r="G24" i="73"/>
  <c r="Z8" i="78"/>
  <c r="J24" i="73" l="1"/>
  <c r="Q46" i="73"/>
  <c r="EE15" i="75"/>
  <c r="ED15" i="75"/>
  <c r="EC15" i="75"/>
  <c r="EE12" i="75"/>
  <c r="ED12" i="75"/>
  <c r="EC12" i="75"/>
  <c r="EE11" i="75"/>
  <c r="ED11" i="75"/>
  <c r="EC11" i="75"/>
  <c r="HW12" i="75"/>
  <c r="I81" i="73" s="1"/>
  <c r="HV12" i="75"/>
  <c r="H81" i="73" s="1"/>
  <c r="HU12" i="75"/>
  <c r="G81" i="73" s="1"/>
  <c r="JY12" i="75"/>
  <c r="I99" i="73" s="1"/>
  <c r="JX12" i="75"/>
  <c r="H99" i="73" s="1"/>
  <c r="JW12" i="75"/>
  <c r="G99" i="73" s="1"/>
  <c r="FC12" i="75"/>
  <c r="I57" i="73" s="1"/>
  <c r="FB12" i="75"/>
  <c r="FA12" i="75"/>
  <c r="FC6" i="75"/>
  <c r="FB6" i="75"/>
  <c r="FA6" i="75"/>
  <c r="BT18" i="75"/>
  <c r="BS18" i="75"/>
  <c r="BR18" i="75"/>
  <c r="BT17" i="75"/>
  <c r="BS17" i="75"/>
  <c r="BR17" i="75"/>
  <c r="BT16" i="75"/>
  <c r="BS16" i="75"/>
  <c r="BR16" i="75"/>
  <c r="BT15" i="75"/>
  <c r="BS15" i="75"/>
  <c r="BR15" i="75"/>
  <c r="BT14" i="75"/>
  <c r="BS14" i="75"/>
  <c r="BR14" i="75"/>
  <c r="BT13" i="75"/>
  <c r="BS13" i="75"/>
  <c r="BR13" i="75"/>
  <c r="BT12" i="75"/>
  <c r="BS12" i="75"/>
  <c r="BR12" i="75"/>
  <c r="BT11" i="75"/>
  <c r="BS11" i="75"/>
  <c r="BR11" i="75"/>
  <c r="BT10" i="75"/>
  <c r="BS10" i="75"/>
  <c r="BR10" i="75"/>
  <c r="BT9" i="75"/>
  <c r="BS9" i="75"/>
  <c r="BR9" i="75"/>
  <c r="BT8" i="75"/>
  <c r="BS8" i="75"/>
  <c r="BR8" i="75"/>
  <c r="BT7" i="75"/>
  <c r="BS7" i="75"/>
  <c r="BR7" i="75"/>
  <c r="BT6" i="75"/>
  <c r="BS6" i="75"/>
  <c r="BR6" i="75"/>
  <c r="H57" i="73" l="1"/>
  <c r="J57" i="73" s="1"/>
  <c r="G57" i="73"/>
  <c r="I28" i="73"/>
  <c r="J81" i="73"/>
  <c r="H28" i="73"/>
  <c r="G28" i="73"/>
  <c r="JV12" i="75"/>
  <c r="I98" i="73" s="1"/>
  <c r="JU12" i="75"/>
  <c r="H98" i="73" s="1"/>
  <c r="JT12" i="75"/>
  <c r="G98" i="73" s="1"/>
  <c r="JS12" i="75"/>
  <c r="I97" i="73" s="1"/>
  <c r="JR12" i="75"/>
  <c r="H97" i="73" s="1"/>
  <c r="JQ12" i="75"/>
  <c r="G97" i="73" s="1"/>
  <c r="JP12" i="75"/>
  <c r="I96" i="73" s="1"/>
  <c r="JO12" i="75"/>
  <c r="H96" i="73" s="1"/>
  <c r="JN12" i="75"/>
  <c r="G96" i="73" s="1"/>
  <c r="JM12" i="75"/>
  <c r="I95" i="73" s="1"/>
  <c r="JL12" i="75"/>
  <c r="H95" i="73" s="1"/>
  <c r="JK12" i="75"/>
  <c r="G95" i="73" s="1"/>
  <c r="JJ12" i="75"/>
  <c r="I94" i="73" s="1"/>
  <c r="JI12" i="75"/>
  <c r="H94" i="73" s="1"/>
  <c r="JH12" i="75"/>
  <c r="G94" i="73" s="1"/>
  <c r="JG12" i="75"/>
  <c r="I93" i="73" s="1"/>
  <c r="JF12" i="75"/>
  <c r="H93" i="73" s="1"/>
  <c r="JE12" i="75"/>
  <c r="G93" i="73" s="1"/>
  <c r="JD12" i="75"/>
  <c r="I92" i="73" s="1"/>
  <c r="JC12" i="75"/>
  <c r="H92" i="73" s="1"/>
  <c r="JB12" i="75"/>
  <c r="G92" i="73" s="1"/>
  <c r="JA12" i="75"/>
  <c r="I91" i="73" s="1"/>
  <c r="IZ12" i="75"/>
  <c r="H91" i="73" s="1"/>
  <c r="IY12" i="75"/>
  <c r="G91" i="73" s="1"/>
  <c r="IX12" i="75"/>
  <c r="I90" i="73" s="1"/>
  <c r="IW12" i="75"/>
  <c r="H90" i="73" s="1"/>
  <c r="IV12" i="75"/>
  <c r="G90" i="73" s="1"/>
  <c r="IU12" i="75"/>
  <c r="I89" i="73" s="1"/>
  <c r="IT12" i="75"/>
  <c r="H89" i="73" s="1"/>
  <c r="IS12" i="75"/>
  <c r="G89" i="73" s="1"/>
  <c r="IR12" i="75"/>
  <c r="I88" i="73" s="1"/>
  <c r="IQ12" i="75"/>
  <c r="H88" i="73" s="1"/>
  <c r="IP12" i="75"/>
  <c r="G88" i="73" s="1"/>
  <c r="IO12" i="75"/>
  <c r="I87" i="73" s="1"/>
  <c r="IN12" i="75"/>
  <c r="H87" i="73" s="1"/>
  <c r="IM12" i="75"/>
  <c r="G87" i="73" s="1"/>
  <c r="IL12" i="75"/>
  <c r="I86" i="73" s="1"/>
  <c r="IK12" i="75"/>
  <c r="H86" i="73" s="1"/>
  <c r="IJ12" i="75"/>
  <c r="G86" i="73" s="1"/>
  <c r="II12" i="75"/>
  <c r="I85" i="73" s="1"/>
  <c r="IH12" i="75"/>
  <c r="H85" i="73" s="1"/>
  <c r="IG12" i="75"/>
  <c r="G85" i="73" s="1"/>
  <c r="IF12" i="75"/>
  <c r="I84" i="73" s="1"/>
  <c r="IE12" i="75"/>
  <c r="H84" i="73" s="1"/>
  <c r="ID12" i="75"/>
  <c r="G84" i="73" s="1"/>
  <c r="IC12" i="75"/>
  <c r="I83" i="73" s="1"/>
  <c r="IB12" i="75"/>
  <c r="H83" i="73" s="1"/>
  <c r="IA12" i="75"/>
  <c r="G83" i="73" s="1"/>
  <c r="HZ12" i="75"/>
  <c r="I82" i="73" s="1"/>
  <c r="HY12" i="75"/>
  <c r="H82" i="73" s="1"/>
  <c r="HX12" i="75"/>
  <c r="G82" i="73" s="1"/>
  <c r="GD12" i="75"/>
  <c r="I66" i="73" s="1"/>
  <c r="GC12" i="75"/>
  <c r="H66" i="73" s="1"/>
  <c r="GB12" i="75"/>
  <c r="G66" i="73" s="1"/>
  <c r="GG12" i="75"/>
  <c r="I67" i="73" s="1"/>
  <c r="GF12" i="75"/>
  <c r="H67" i="73" s="1"/>
  <c r="GE12" i="75"/>
  <c r="G67" i="73" s="1"/>
  <c r="GJ12" i="75"/>
  <c r="I68" i="73" s="1"/>
  <c r="GI12" i="75"/>
  <c r="H68" i="73" s="1"/>
  <c r="GH12" i="75"/>
  <c r="G68" i="73" s="1"/>
  <c r="GM12" i="75"/>
  <c r="I69" i="73" s="1"/>
  <c r="GL12" i="75"/>
  <c r="H69" i="73" s="1"/>
  <c r="GK12" i="75"/>
  <c r="G69" i="73" s="1"/>
  <c r="GP12" i="75"/>
  <c r="I70" i="73" s="1"/>
  <c r="GO12" i="75"/>
  <c r="H70" i="73" s="1"/>
  <c r="GN12" i="75"/>
  <c r="G70" i="73" s="1"/>
  <c r="GS12" i="75"/>
  <c r="I71" i="73" s="1"/>
  <c r="GR12" i="75"/>
  <c r="H71" i="73" s="1"/>
  <c r="GQ12" i="75"/>
  <c r="G71" i="73" s="1"/>
  <c r="GV12" i="75"/>
  <c r="I72" i="73" s="1"/>
  <c r="GU12" i="75"/>
  <c r="H72" i="73" s="1"/>
  <c r="GT12" i="75"/>
  <c r="G72" i="73" s="1"/>
  <c r="GY12" i="75"/>
  <c r="I73" i="73" s="1"/>
  <c r="GX12" i="75"/>
  <c r="H73" i="73" s="1"/>
  <c r="GW12" i="75"/>
  <c r="G73" i="73" s="1"/>
  <c r="HB12" i="75"/>
  <c r="I74" i="73" s="1"/>
  <c r="HA12" i="75"/>
  <c r="H74" i="73" s="1"/>
  <c r="GZ12" i="75"/>
  <c r="G74" i="73" s="1"/>
  <c r="HE12" i="75"/>
  <c r="I75" i="73" s="1"/>
  <c r="HD12" i="75"/>
  <c r="H75" i="73" s="1"/>
  <c r="HC12" i="75"/>
  <c r="G75" i="73" s="1"/>
  <c r="HH12" i="75"/>
  <c r="I76" i="73" s="1"/>
  <c r="HG12" i="75"/>
  <c r="H76" i="73" s="1"/>
  <c r="HF12" i="75"/>
  <c r="G76" i="73" s="1"/>
  <c r="HK12" i="75"/>
  <c r="I77" i="73" s="1"/>
  <c r="HJ12" i="75"/>
  <c r="H77" i="73" s="1"/>
  <c r="HI12" i="75"/>
  <c r="G77" i="73" s="1"/>
  <c r="HN12" i="75"/>
  <c r="I78" i="73" s="1"/>
  <c r="HM12" i="75"/>
  <c r="H78" i="73" s="1"/>
  <c r="HL12" i="75"/>
  <c r="G78" i="73" s="1"/>
  <c r="HQ12" i="75"/>
  <c r="I79" i="73" s="1"/>
  <c r="HP12" i="75"/>
  <c r="H79" i="73" s="1"/>
  <c r="HO12" i="75"/>
  <c r="G79" i="73" s="1"/>
  <c r="HT12" i="75"/>
  <c r="I80" i="73" s="1"/>
  <c r="HS12" i="75"/>
  <c r="H80" i="73" s="1"/>
  <c r="HR12" i="75"/>
  <c r="G80" i="73" s="1"/>
  <c r="GA12" i="75"/>
  <c r="I65" i="73" s="1"/>
  <c r="FZ12" i="75"/>
  <c r="H65" i="73" s="1"/>
  <c r="FY12" i="75"/>
  <c r="G65" i="73" s="1"/>
  <c r="FX12" i="75"/>
  <c r="I64" i="73" s="1"/>
  <c r="FW12" i="75"/>
  <c r="H64" i="73" s="1"/>
  <c r="FV12" i="75"/>
  <c r="G64" i="73" s="1"/>
  <c r="EZ15" i="75"/>
  <c r="EZ12" i="75"/>
  <c r="EZ11" i="75"/>
  <c r="EZ10" i="75"/>
  <c r="EW15" i="75"/>
  <c r="EW12" i="75"/>
  <c r="EW11" i="75"/>
  <c r="EW10" i="75"/>
  <c r="ET15" i="75"/>
  <c r="ET12" i="75"/>
  <c r="ET11" i="75"/>
  <c r="ET10" i="75"/>
  <c r="EQ15" i="75"/>
  <c r="EQ12" i="75"/>
  <c r="EQ11" i="75"/>
  <c r="EQ10" i="75"/>
  <c r="EN15" i="75"/>
  <c r="EN12" i="75"/>
  <c r="EN11" i="75"/>
  <c r="EN10" i="75"/>
  <c r="EK15" i="75"/>
  <c r="EK12" i="75"/>
  <c r="EK11" i="75"/>
  <c r="EK10" i="75"/>
  <c r="EH15" i="75"/>
  <c r="EH12" i="75"/>
  <c r="EH11" i="75"/>
  <c r="EH10" i="75"/>
  <c r="EB15" i="75"/>
  <c r="EB12" i="75"/>
  <c r="EB11" i="75"/>
  <c r="EB10" i="75"/>
  <c r="DY15" i="75"/>
  <c r="DY12" i="75"/>
  <c r="DY11" i="75"/>
  <c r="DY10" i="75"/>
  <c r="DV15" i="75"/>
  <c r="DV12" i="75"/>
  <c r="DV11" i="75"/>
  <c r="DV10" i="75"/>
  <c r="DS15" i="75"/>
  <c r="DS12" i="75"/>
  <c r="DS11" i="75"/>
  <c r="DS10" i="75"/>
  <c r="DP15" i="75"/>
  <c r="DP12" i="75"/>
  <c r="DP11" i="75"/>
  <c r="DP10" i="75"/>
  <c r="DM15" i="75"/>
  <c r="DM12" i="75"/>
  <c r="DM11" i="75"/>
  <c r="DM10" i="75"/>
  <c r="DJ15" i="75"/>
  <c r="DJ12" i="75"/>
  <c r="DJ11" i="75"/>
  <c r="DJ10" i="75"/>
  <c r="DG15" i="75"/>
  <c r="DG12" i="75"/>
  <c r="DG11" i="75"/>
  <c r="DG10" i="75"/>
  <c r="DD15" i="75"/>
  <c r="DD12" i="75"/>
  <c r="DD11" i="75"/>
  <c r="DD10" i="75"/>
  <c r="EY15" i="75"/>
  <c r="EX15" i="75"/>
  <c r="EV15" i="75"/>
  <c r="EU15" i="75"/>
  <c r="ES15" i="75"/>
  <c r="ER15" i="75"/>
  <c r="EP15" i="75"/>
  <c r="EO15" i="75"/>
  <c r="EM15" i="75"/>
  <c r="EL15" i="75"/>
  <c r="EJ15" i="75"/>
  <c r="EI15" i="75"/>
  <c r="EG15" i="75"/>
  <c r="EF15" i="75"/>
  <c r="EA15" i="75"/>
  <c r="DZ15" i="75"/>
  <c r="DX15" i="75"/>
  <c r="DW15" i="75"/>
  <c r="DU15" i="75"/>
  <c r="DT15" i="75"/>
  <c r="DR15" i="75"/>
  <c r="DQ15" i="75"/>
  <c r="DO15" i="75"/>
  <c r="DN15" i="75"/>
  <c r="DL15" i="75"/>
  <c r="DK15" i="75"/>
  <c r="DI15" i="75"/>
  <c r="DH15" i="75"/>
  <c r="DF15" i="75"/>
  <c r="DE15" i="75"/>
  <c r="DC15" i="75"/>
  <c r="DB15" i="75"/>
  <c r="EY12" i="75"/>
  <c r="EX12" i="75"/>
  <c r="EV12" i="75"/>
  <c r="EU12" i="75"/>
  <c r="ES12" i="75"/>
  <c r="ER12" i="75"/>
  <c r="EP12" i="75"/>
  <c r="EO12" i="75"/>
  <c r="EM12" i="75"/>
  <c r="EL12" i="75"/>
  <c r="EJ12" i="75"/>
  <c r="EI12" i="75"/>
  <c r="EG12" i="75"/>
  <c r="EF12" i="75"/>
  <c r="EA12" i="75"/>
  <c r="DZ12" i="75"/>
  <c r="DX12" i="75"/>
  <c r="DW12" i="75"/>
  <c r="DU12" i="75"/>
  <c r="DT12" i="75"/>
  <c r="DR12" i="75"/>
  <c r="DQ12" i="75"/>
  <c r="DO12" i="75"/>
  <c r="DN12" i="75"/>
  <c r="DL12" i="75"/>
  <c r="DK12" i="75"/>
  <c r="DI12" i="75"/>
  <c r="DH12" i="75"/>
  <c r="DF12" i="75"/>
  <c r="DE12" i="75"/>
  <c r="DC12" i="75"/>
  <c r="DB12" i="75"/>
  <c r="EY11" i="75"/>
  <c r="EX11" i="75"/>
  <c r="EV11" i="75"/>
  <c r="EU11" i="75"/>
  <c r="ES11" i="75"/>
  <c r="ER11" i="75"/>
  <c r="EP11" i="75"/>
  <c r="EO11" i="75"/>
  <c r="EM11" i="75"/>
  <c r="EL11" i="75"/>
  <c r="EJ11" i="75"/>
  <c r="EI11" i="75"/>
  <c r="EG11" i="75"/>
  <c r="EF11" i="75"/>
  <c r="EA11" i="75"/>
  <c r="DZ11" i="75"/>
  <c r="DX11" i="75"/>
  <c r="DW11" i="75"/>
  <c r="DU11" i="75"/>
  <c r="DT11" i="75"/>
  <c r="DR11" i="75"/>
  <c r="DQ11" i="75"/>
  <c r="DO11" i="75"/>
  <c r="DN11" i="75"/>
  <c r="DL11" i="75"/>
  <c r="DK11" i="75"/>
  <c r="DI11" i="75"/>
  <c r="DH11" i="75"/>
  <c r="DF11" i="75"/>
  <c r="DE11" i="75"/>
  <c r="DC11" i="75"/>
  <c r="DB11" i="75"/>
  <c r="EY10" i="75"/>
  <c r="EX10" i="75"/>
  <c r="EV10" i="75"/>
  <c r="EU10" i="75"/>
  <c r="ES10" i="75"/>
  <c r="ER10" i="75"/>
  <c r="EP10" i="75"/>
  <c r="EO10" i="75"/>
  <c r="EM10" i="75"/>
  <c r="EL10" i="75"/>
  <c r="EJ10" i="75"/>
  <c r="EI10" i="75"/>
  <c r="EG10" i="75"/>
  <c r="EF10" i="75"/>
  <c r="EA10" i="75"/>
  <c r="DZ10" i="75"/>
  <c r="DX10" i="75"/>
  <c r="DW10" i="75"/>
  <c r="DU10" i="75"/>
  <c r="DT10" i="75"/>
  <c r="DR10" i="75"/>
  <c r="DQ10" i="75"/>
  <c r="DO10" i="75"/>
  <c r="DN10" i="75"/>
  <c r="DL10" i="75"/>
  <c r="DK10" i="75"/>
  <c r="DI10" i="75"/>
  <c r="DH10" i="75"/>
  <c r="DF10" i="75"/>
  <c r="DE10" i="75"/>
  <c r="DC10" i="75"/>
  <c r="DB10" i="75"/>
  <c r="I52" i="73" l="1"/>
  <c r="J97" i="73"/>
  <c r="J69" i="73"/>
  <c r="J76" i="73"/>
  <c r="J73" i="73"/>
  <c r="J79" i="73"/>
  <c r="J95" i="73"/>
  <c r="J70" i="73"/>
  <c r="J80" i="73"/>
  <c r="J67" i="73"/>
  <c r="J91" i="73"/>
  <c r="J64" i="73"/>
  <c r="J74" i="73"/>
  <c r="J66" i="73"/>
  <c r="J71" i="73"/>
  <c r="J68" i="73"/>
  <c r="J65" i="73"/>
  <c r="J78" i="73"/>
  <c r="J93" i="73"/>
  <c r="J75" i="73"/>
  <c r="J96" i="73"/>
  <c r="J77" i="73"/>
  <c r="J72" i="73"/>
  <c r="CU15" i="75"/>
  <c r="CT15" i="75"/>
  <c r="CS15" i="75"/>
  <c r="CL15" i="75"/>
  <c r="CK15" i="75"/>
  <c r="CJ15" i="75"/>
  <c r="CC15" i="75"/>
  <c r="CB15" i="75"/>
  <c r="CA15" i="75"/>
  <c r="BZ15" i="75"/>
  <c r="BY15" i="75"/>
  <c r="BX15" i="75"/>
  <c r="BW15" i="75"/>
  <c r="BV15" i="75"/>
  <c r="BU15" i="75"/>
  <c r="BQ15" i="75"/>
  <c r="BP15" i="75"/>
  <c r="BO15" i="75"/>
  <c r="BN15" i="75"/>
  <c r="BM15" i="75"/>
  <c r="BL15" i="75"/>
  <c r="BK15" i="75"/>
  <c r="BJ15" i="75"/>
  <c r="BI15" i="75"/>
  <c r="BE15" i="75"/>
  <c r="BD15" i="75"/>
  <c r="BC15" i="75"/>
  <c r="BB15" i="75"/>
  <c r="BA15" i="75"/>
  <c r="AZ15" i="75"/>
  <c r="AY15" i="75"/>
  <c r="AX15" i="75"/>
  <c r="AW15" i="75"/>
  <c r="AV15" i="75"/>
  <c r="AU15" i="75"/>
  <c r="AT15" i="75"/>
  <c r="AS15" i="75"/>
  <c r="AR15" i="75"/>
  <c r="AQ15" i="75"/>
  <c r="AP15" i="75"/>
  <c r="AO15" i="75"/>
  <c r="AN15" i="75"/>
  <c r="AM15" i="75"/>
  <c r="AL15" i="75"/>
  <c r="AK15" i="75"/>
  <c r="AJ15" i="75"/>
  <c r="AI15" i="75"/>
  <c r="AH15" i="75"/>
  <c r="AG15" i="75"/>
  <c r="AF15" i="75"/>
  <c r="AE15" i="75"/>
  <c r="AD15" i="75"/>
  <c r="AC15" i="75"/>
  <c r="AB15" i="75"/>
  <c r="AA15" i="75"/>
  <c r="Z15" i="75"/>
  <c r="Y15" i="75"/>
  <c r="X15" i="75"/>
  <c r="W15" i="75"/>
  <c r="V15" i="75"/>
  <c r="U15" i="75"/>
  <c r="T15" i="75"/>
  <c r="S15" i="75"/>
  <c r="R15" i="75"/>
  <c r="Q15" i="75"/>
  <c r="P15" i="75"/>
  <c r="O15" i="75"/>
  <c r="N15" i="75"/>
  <c r="M15" i="75"/>
  <c r="L15" i="75"/>
  <c r="K15" i="75"/>
  <c r="J15" i="75"/>
  <c r="I15" i="75"/>
  <c r="H15" i="75"/>
  <c r="G15" i="75"/>
  <c r="CU12" i="75"/>
  <c r="CT12" i="75"/>
  <c r="CS12" i="75"/>
  <c r="CL12" i="75"/>
  <c r="CK12" i="75"/>
  <c r="CJ12" i="75"/>
  <c r="CC12" i="75"/>
  <c r="CB12" i="75"/>
  <c r="CA12" i="75"/>
  <c r="BZ12" i="75"/>
  <c r="BY12" i="75"/>
  <c r="BX12" i="75"/>
  <c r="BW12" i="75"/>
  <c r="BV12" i="75"/>
  <c r="BU12" i="75"/>
  <c r="BQ12" i="75"/>
  <c r="BP12" i="75"/>
  <c r="BO12" i="75"/>
  <c r="BN12" i="75"/>
  <c r="BM12" i="75"/>
  <c r="BL12" i="75"/>
  <c r="BK12" i="75"/>
  <c r="BJ12" i="75"/>
  <c r="BI12" i="75"/>
  <c r="BE12" i="75"/>
  <c r="BD12" i="75"/>
  <c r="BC12" i="75"/>
  <c r="BB12" i="75"/>
  <c r="BA12" i="75"/>
  <c r="AZ12" i="75"/>
  <c r="AY12" i="75"/>
  <c r="AX12" i="75"/>
  <c r="AW12" i="75"/>
  <c r="AV12" i="75"/>
  <c r="AU12" i="75"/>
  <c r="AT12" i="75"/>
  <c r="AS12" i="75"/>
  <c r="AR12" i="75"/>
  <c r="AQ12" i="75"/>
  <c r="AP12" i="75"/>
  <c r="AO12" i="75"/>
  <c r="AN12" i="75"/>
  <c r="AM12" i="75"/>
  <c r="AL12" i="75"/>
  <c r="AK12" i="75"/>
  <c r="AJ12" i="75"/>
  <c r="AI12" i="75"/>
  <c r="AH12" i="75"/>
  <c r="AG12" i="75"/>
  <c r="AF12" i="75"/>
  <c r="AE12" i="75"/>
  <c r="AD12" i="75"/>
  <c r="AC12" i="75"/>
  <c r="AB12" i="75"/>
  <c r="AA12" i="75"/>
  <c r="Z12" i="75"/>
  <c r="Y12" i="75"/>
  <c r="X12" i="75"/>
  <c r="W12" i="75"/>
  <c r="V12" i="75"/>
  <c r="U12" i="75"/>
  <c r="T12" i="75"/>
  <c r="S12" i="75"/>
  <c r="R12" i="75"/>
  <c r="Q12" i="75"/>
  <c r="P12" i="75"/>
  <c r="O12" i="75"/>
  <c r="N12" i="75"/>
  <c r="M12" i="75"/>
  <c r="L12" i="75"/>
  <c r="K12" i="75"/>
  <c r="J12" i="75"/>
  <c r="I12" i="75"/>
  <c r="H12" i="75"/>
  <c r="G12" i="75"/>
  <c r="CU11" i="75"/>
  <c r="CT11" i="75"/>
  <c r="CS11" i="75"/>
  <c r="CL11" i="75"/>
  <c r="CK11" i="75"/>
  <c r="CJ11" i="75"/>
  <c r="CC11" i="75"/>
  <c r="CB11" i="75"/>
  <c r="CA11" i="75"/>
  <c r="BZ11" i="75"/>
  <c r="BY11" i="75"/>
  <c r="BX11" i="75"/>
  <c r="BW11" i="75"/>
  <c r="BV11" i="75"/>
  <c r="BU11" i="75"/>
  <c r="BQ11" i="75"/>
  <c r="BP11" i="75"/>
  <c r="BO11" i="75"/>
  <c r="BN11" i="75"/>
  <c r="BM11" i="75"/>
  <c r="BL11" i="75"/>
  <c r="BK11" i="75"/>
  <c r="BJ11" i="75"/>
  <c r="BI11" i="75"/>
  <c r="BE11" i="75"/>
  <c r="BD11" i="75"/>
  <c r="BC11" i="75"/>
  <c r="BB11" i="75"/>
  <c r="BA11" i="75"/>
  <c r="AZ11" i="75"/>
  <c r="AY11" i="75"/>
  <c r="AX11" i="75"/>
  <c r="AW11" i="75"/>
  <c r="AV11" i="75"/>
  <c r="AU11" i="75"/>
  <c r="AT11" i="75"/>
  <c r="AS11" i="75"/>
  <c r="AR11" i="75"/>
  <c r="AQ11" i="75"/>
  <c r="AP11" i="75"/>
  <c r="AO11" i="75"/>
  <c r="AN11" i="75"/>
  <c r="AM11" i="75"/>
  <c r="AL11" i="75"/>
  <c r="AK11" i="75"/>
  <c r="AJ11" i="75"/>
  <c r="AI11" i="75"/>
  <c r="AH11" i="75"/>
  <c r="AG11" i="75"/>
  <c r="AF11" i="75"/>
  <c r="AE11" i="75"/>
  <c r="AD11" i="75"/>
  <c r="AC11" i="75"/>
  <c r="AB11" i="75"/>
  <c r="AA11" i="75"/>
  <c r="Z11" i="75"/>
  <c r="Y11" i="75"/>
  <c r="X11" i="75"/>
  <c r="W11" i="75"/>
  <c r="V11" i="75"/>
  <c r="U11" i="75"/>
  <c r="T11" i="75"/>
  <c r="S11" i="75"/>
  <c r="R11" i="75"/>
  <c r="Q11" i="75"/>
  <c r="P11" i="75"/>
  <c r="O11" i="75"/>
  <c r="N11" i="75"/>
  <c r="M11" i="75"/>
  <c r="L11" i="75"/>
  <c r="K11" i="75"/>
  <c r="J11" i="75"/>
  <c r="I11" i="75"/>
  <c r="H11" i="75"/>
  <c r="G11" i="75"/>
  <c r="CU10" i="75"/>
  <c r="CT10" i="75"/>
  <c r="CS10" i="75"/>
  <c r="CL10" i="75"/>
  <c r="CK10" i="75"/>
  <c r="CJ10" i="75"/>
  <c r="CC10" i="75"/>
  <c r="CB10" i="75"/>
  <c r="CA10" i="75"/>
  <c r="BZ10" i="75"/>
  <c r="BY10" i="75"/>
  <c r="BX10" i="75"/>
  <c r="BW10" i="75"/>
  <c r="BV10" i="75"/>
  <c r="BU10" i="75"/>
  <c r="BQ10" i="75"/>
  <c r="BP10" i="75"/>
  <c r="BO10" i="75"/>
  <c r="BN10" i="75"/>
  <c r="BM10" i="75"/>
  <c r="BL10" i="75"/>
  <c r="BK10" i="75"/>
  <c r="BJ10" i="75"/>
  <c r="BI10" i="75"/>
  <c r="BE10" i="75"/>
  <c r="BD10" i="75"/>
  <c r="BC10" i="75"/>
  <c r="BB10" i="75"/>
  <c r="BA10" i="75"/>
  <c r="AZ10" i="75"/>
  <c r="AY10" i="75"/>
  <c r="AX10" i="75"/>
  <c r="AW10" i="75"/>
  <c r="AV10" i="75"/>
  <c r="AU10" i="75"/>
  <c r="AT10" i="75"/>
  <c r="AS10" i="75"/>
  <c r="AR10" i="75"/>
  <c r="AQ10" i="75"/>
  <c r="AP10" i="75"/>
  <c r="AO10" i="75"/>
  <c r="AN10" i="75"/>
  <c r="AM10" i="75"/>
  <c r="AL10" i="75"/>
  <c r="AK10" i="75"/>
  <c r="AJ10" i="75"/>
  <c r="AI10" i="75"/>
  <c r="AH10" i="75"/>
  <c r="AG10" i="75"/>
  <c r="AF10" i="75"/>
  <c r="AE10" i="75"/>
  <c r="AD10" i="75"/>
  <c r="AC10" i="75"/>
  <c r="AB10" i="75"/>
  <c r="AA10" i="75"/>
  <c r="Z10" i="75"/>
  <c r="Y10" i="75"/>
  <c r="X10" i="75"/>
  <c r="W10" i="75"/>
  <c r="V10" i="75"/>
  <c r="U10" i="75"/>
  <c r="T10" i="75"/>
  <c r="S10" i="75"/>
  <c r="R10" i="75"/>
  <c r="Q10" i="75"/>
  <c r="P10" i="75"/>
  <c r="O10" i="75"/>
  <c r="N10" i="75"/>
  <c r="M10" i="75"/>
  <c r="L10" i="75"/>
  <c r="K10" i="75"/>
  <c r="J10" i="75"/>
  <c r="I10" i="75"/>
  <c r="H10" i="75"/>
  <c r="G10" i="75"/>
  <c r="CU18" i="75"/>
  <c r="CT18" i="75"/>
  <c r="CS18" i="75"/>
  <c r="CL18" i="75"/>
  <c r="CK18" i="75"/>
  <c r="CJ18" i="75"/>
  <c r="CC18" i="75"/>
  <c r="CB18" i="75"/>
  <c r="CA18" i="75"/>
  <c r="BZ18" i="75"/>
  <c r="BY18" i="75"/>
  <c r="BX18" i="75"/>
  <c r="BW18" i="75"/>
  <c r="BV18" i="75"/>
  <c r="BU18" i="75"/>
  <c r="BQ18" i="75"/>
  <c r="BP18" i="75"/>
  <c r="BO18" i="75"/>
  <c r="BN18" i="75"/>
  <c r="BM18" i="75"/>
  <c r="BL18" i="75"/>
  <c r="BK18" i="75"/>
  <c r="BJ18" i="75"/>
  <c r="BI18" i="75"/>
  <c r="BE18" i="75"/>
  <c r="BD18" i="75"/>
  <c r="BC18" i="75"/>
  <c r="BB18" i="75"/>
  <c r="BA18" i="75"/>
  <c r="AZ18" i="75"/>
  <c r="AY18" i="75"/>
  <c r="AX18" i="75"/>
  <c r="AW18" i="75"/>
  <c r="AV18" i="75"/>
  <c r="AU18" i="75"/>
  <c r="AT18" i="75"/>
  <c r="AS18" i="75"/>
  <c r="AR18" i="75"/>
  <c r="AQ18" i="75"/>
  <c r="AP18" i="75"/>
  <c r="AO18" i="75"/>
  <c r="AN18" i="75"/>
  <c r="AM18" i="75"/>
  <c r="AL18" i="75"/>
  <c r="AK18" i="75"/>
  <c r="AJ18" i="75"/>
  <c r="AI18" i="75"/>
  <c r="AH18" i="75"/>
  <c r="AG18" i="75"/>
  <c r="AF18" i="75"/>
  <c r="AE18" i="75"/>
  <c r="AD18" i="75"/>
  <c r="AC18" i="75"/>
  <c r="AB18" i="75"/>
  <c r="AA18" i="75"/>
  <c r="Z18" i="75"/>
  <c r="Y18" i="75"/>
  <c r="X18" i="75"/>
  <c r="W18" i="75"/>
  <c r="V18" i="75"/>
  <c r="U18" i="75"/>
  <c r="T18" i="75"/>
  <c r="S18" i="75"/>
  <c r="R18" i="75"/>
  <c r="Q18" i="75"/>
  <c r="P18" i="75"/>
  <c r="O18" i="75"/>
  <c r="N18" i="75"/>
  <c r="M18" i="75"/>
  <c r="L18" i="75"/>
  <c r="K18" i="75"/>
  <c r="J18" i="75"/>
  <c r="I18" i="75"/>
  <c r="H18" i="75"/>
  <c r="G18" i="75"/>
  <c r="CU17" i="75"/>
  <c r="CT17" i="75"/>
  <c r="CS17" i="75"/>
  <c r="CL17" i="75"/>
  <c r="CK17" i="75"/>
  <c r="CJ17" i="75"/>
  <c r="CC17" i="75"/>
  <c r="CB17" i="75"/>
  <c r="CA17" i="75"/>
  <c r="BZ17" i="75"/>
  <c r="BY17" i="75"/>
  <c r="BX17" i="75"/>
  <c r="BW17" i="75"/>
  <c r="BV17" i="75"/>
  <c r="BU17" i="75"/>
  <c r="BQ17" i="75"/>
  <c r="BP17" i="75"/>
  <c r="BO17" i="75"/>
  <c r="BN17" i="75"/>
  <c r="BM17" i="75"/>
  <c r="BL17" i="75"/>
  <c r="BK17" i="75"/>
  <c r="BJ17" i="75"/>
  <c r="BI17" i="75"/>
  <c r="BE17" i="75"/>
  <c r="BD17" i="75"/>
  <c r="BC17" i="75"/>
  <c r="BB17" i="75"/>
  <c r="BA17" i="75"/>
  <c r="AZ17" i="75"/>
  <c r="AY17" i="75"/>
  <c r="AX17" i="75"/>
  <c r="AW17" i="75"/>
  <c r="AV17" i="75"/>
  <c r="AU17" i="75"/>
  <c r="AT17" i="75"/>
  <c r="AS17" i="75"/>
  <c r="AR17" i="75"/>
  <c r="AQ17" i="75"/>
  <c r="AP17" i="75"/>
  <c r="AO17" i="75"/>
  <c r="AN17" i="75"/>
  <c r="AM17" i="75"/>
  <c r="AL17" i="75"/>
  <c r="AK17" i="75"/>
  <c r="AJ17" i="75"/>
  <c r="AI17" i="75"/>
  <c r="AH17" i="75"/>
  <c r="AG17" i="75"/>
  <c r="AF17" i="75"/>
  <c r="AE17" i="75"/>
  <c r="AD17" i="75"/>
  <c r="AC17" i="75"/>
  <c r="AB17" i="75"/>
  <c r="AA17" i="75"/>
  <c r="Z17" i="75"/>
  <c r="Y17" i="75"/>
  <c r="X17" i="75"/>
  <c r="W17" i="75"/>
  <c r="V17" i="75"/>
  <c r="U17" i="75"/>
  <c r="T17" i="75"/>
  <c r="S17" i="75"/>
  <c r="R17" i="75"/>
  <c r="Q17" i="75"/>
  <c r="P17" i="75"/>
  <c r="O17" i="75"/>
  <c r="N17" i="75"/>
  <c r="M17" i="75"/>
  <c r="L17" i="75"/>
  <c r="K17" i="75"/>
  <c r="J17" i="75"/>
  <c r="I17" i="75"/>
  <c r="H17" i="75"/>
  <c r="G17" i="75"/>
  <c r="CU16" i="75"/>
  <c r="CT16" i="75"/>
  <c r="CS16" i="75"/>
  <c r="CL16" i="75"/>
  <c r="CK16" i="75"/>
  <c r="CJ16" i="75"/>
  <c r="CC16" i="75"/>
  <c r="CB16" i="75"/>
  <c r="CA16" i="75"/>
  <c r="BZ16" i="75"/>
  <c r="BY16" i="75"/>
  <c r="BX16" i="75"/>
  <c r="BW16" i="75"/>
  <c r="BV16" i="75"/>
  <c r="BU16" i="75"/>
  <c r="BQ16" i="75"/>
  <c r="BP16" i="75"/>
  <c r="BO16" i="75"/>
  <c r="BN16" i="75"/>
  <c r="BM16" i="75"/>
  <c r="BL16" i="75"/>
  <c r="BK16" i="75"/>
  <c r="BJ16" i="75"/>
  <c r="BI16" i="75"/>
  <c r="BE16" i="75"/>
  <c r="BD16" i="75"/>
  <c r="BC16" i="75"/>
  <c r="BB16" i="75"/>
  <c r="BA16" i="75"/>
  <c r="AZ16" i="75"/>
  <c r="AY16" i="75"/>
  <c r="AX16" i="75"/>
  <c r="AW16" i="75"/>
  <c r="AV16" i="75"/>
  <c r="AU16" i="75"/>
  <c r="AT16" i="75"/>
  <c r="AS16" i="75"/>
  <c r="AR16" i="75"/>
  <c r="AQ16" i="75"/>
  <c r="AP16" i="75"/>
  <c r="AO16" i="75"/>
  <c r="AN16" i="75"/>
  <c r="AM16" i="75"/>
  <c r="AL16" i="75"/>
  <c r="AK16" i="75"/>
  <c r="AJ16" i="75"/>
  <c r="AI16" i="75"/>
  <c r="AH16" i="75"/>
  <c r="AG16" i="75"/>
  <c r="AF16" i="75"/>
  <c r="AE16" i="75"/>
  <c r="AD16" i="75"/>
  <c r="AC16" i="75"/>
  <c r="AB16" i="75"/>
  <c r="AA16" i="75"/>
  <c r="Z16" i="75"/>
  <c r="Y16" i="75"/>
  <c r="X16" i="75"/>
  <c r="W16" i="75"/>
  <c r="V16" i="75"/>
  <c r="U16" i="75"/>
  <c r="T16" i="75"/>
  <c r="S16" i="75"/>
  <c r="R16" i="75"/>
  <c r="Q16" i="75"/>
  <c r="P16" i="75"/>
  <c r="O16" i="75"/>
  <c r="N16" i="75"/>
  <c r="M16" i="75"/>
  <c r="L16" i="75"/>
  <c r="K16" i="75"/>
  <c r="J16" i="75"/>
  <c r="I16" i="75"/>
  <c r="H16" i="75"/>
  <c r="G16" i="75"/>
  <c r="CU14" i="75"/>
  <c r="CT14" i="75"/>
  <c r="CS14" i="75"/>
  <c r="CL14" i="75"/>
  <c r="CK14" i="75"/>
  <c r="CJ14" i="75"/>
  <c r="CC14" i="75"/>
  <c r="CB14" i="75"/>
  <c r="CA14" i="75"/>
  <c r="BZ14" i="75"/>
  <c r="BY14" i="75"/>
  <c r="BX14" i="75"/>
  <c r="BW14" i="75"/>
  <c r="BV14" i="75"/>
  <c r="BU14" i="75"/>
  <c r="BQ14" i="75"/>
  <c r="BP14" i="75"/>
  <c r="BO14" i="75"/>
  <c r="BN14" i="75"/>
  <c r="BM14" i="75"/>
  <c r="BL14" i="75"/>
  <c r="BK14" i="75"/>
  <c r="BJ14" i="75"/>
  <c r="BI14" i="75"/>
  <c r="BE14" i="75"/>
  <c r="BD14" i="75"/>
  <c r="BC14" i="75"/>
  <c r="BB14" i="75"/>
  <c r="BA14" i="75"/>
  <c r="AZ14" i="75"/>
  <c r="AY14" i="75"/>
  <c r="AX14" i="75"/>
  <c r="AW14" i="75"/>
  <c r="AV14" i="75"/>
  <c r="AU14" i="75"/>
  <c r="AT14" i="75"/>
  <c r="AS14" i="75"/>
  <c r="AR14" i="75"/>
  <c r="AQ14" i="75"/>
  <c r="AP14" i="75"/>
  <c r="AO14" i="75"/>
  <c r="AN14" i="75"/>
  <c r="AM14" i="75"/>
  <c r="AL14" i="75"/>
  <c r="AK14" i="75"/>
  <c r="AJ14" i="75"/>
  <c r="AI14" i="75"/>
  <c r="AH14" i="75"/>
  <c r="AG14" i="75"/>
  <c r="AF14" i="75"/>
  <c r="AE14" i="75"/>
  <c r="AD14" i="75"/>
  <c r="AC14" i="75"/>
  <c r="AB14" i="75"/>
  <c r="AA14" i="75"/>
  <c r="Z14" i="75"/>
  <c r="Y14" i="75"/>
  <c r="X14" i="75"/>
  <c r="W14" i="75"/>
  <c r="V14" i="75"/>
  <c r="U14" i="75"/>
  <c r="T14" i="75"/>
  <c r="S14" i="75"/>
  <c r="R14" i="75"/>
  <c r="Q14" i="75"/>
  <c r="P14" i="75"/>
  <c r="O14" i="75"/>
  <c r="N14" i="75"/>
  <c r="M14" i="75"/>
  <c r="L14" i="75"/>
  <c r="K14" i="75"/>
  <c r="J14" i="75"/>
  <c r="I14" i="75"/>
  <c r="H14" i="75"/>
  <c r="G14" i="75"/>
  <c r="CU13" i="75"/>
  <c r="CT13" i="75"/>
  <c r="CS13" i="75"/>
  <c r="CL13" i="75"/>
  <c r="CK13" i="75"/>
  <c r="CJ13" i="75"/>
  <c r="CC13" i="75"/>
  <c r="CB13" i="75"/>
  <c r="CA13" i="75"/>
  <c r="BZ13" i="75"/>
  <c r="BY13" i="75"/>
  <c r="BX13" i="75"/>
  <c r="BW13" i="75"/>
  <c r="BV13" i="75"/>
  <c r="BU13" i="75"/>
  <c r="BQ13" i="75"/>
  <c r="BP13" i="75"/>
  <c r="BO13" i="75"/>
  <c r="BN13" i="75"/>
  <c r="BM13" i="75"/>
  <c r="BL13" i="75"/>
  <c r="BK13" i="75"/>
  <c r="BJ13" i="75"/>
  <c r="BI13" i="75"/>
  <c r="BE13" i="75"/>
  <c r="BD13" i="75"/>
  <c r="BC13" i="75"/>
  <c r="BB13" i="75"/>
  <c r="BA13" i="75"/>
  <c r="AZ13" i="75"/>
  <c r="AY13" i="75"/>
  <c r="AX13" i="75"/>
  <c r="AW13" i="75"/>
  <c r="AV13" i="75"/>
  <c r="AU13" i="75"/>
  <c r="AT13" i="75"/>
  <c r="AS13" i="75"/>
  <c r="AR13" i="75"/>
  <c r="AQ13" i="75"/>
  <c r="AP13" i="75"/>
  <c r="AO13" i="75"/>
  <c r="AN13" i="75"/>
  <c r="AM13" i="75"/>
  <c r="AL13" i="75"/>
  <c r="AK13" i="75"/>
  <c r="AJ13" i="75"/>
  <c r="AI13" i="75"/>
  <c r="AH13" i="75"/>
  <c r="AG13" i="75"/>
  <c r="AF13" i="75"/>
  <c r="AE13" i="75"/>
  <c r="AD13" i="75"/>
  <c r="AC13" i="75"/>
  <c r="AB13" i="75"/>
  <c r="AA13" i="75"/>
  <c r="Z13" i="75"/>
  <c r="Y13" i="75"/>
  <c r="X13" i="75"/>
  <c r="W13" i="75"/>
  <c r="V13" i="75"/>
  <c r="U13" i="75"/>
  <c r="T13" i="75"/>
  <c r="S13" i="75"/>
  <c r="R13" i="75"/>
  <c r="Q13" i="75"/>
  <c r="P13" i="75"/>
  <c r="O13" i="75"/>
  <c r="N13" i="75"/>
  <c r="M13" i="75"/>
  <c r="L13" i="75"/>
  <c r="K13" i="75"/>
  <c r="J13" i="75"/>
  <c r="I13" i="75"/>
  <c r="H13" i="75"/>
  <c r="G13" i="75"/>
  <c r="EE10" i="75"/>
  <c r="ED10" i="75"/>
  <c r="EC10" i="75"/>
  <c r="CU9" i="75"/>
  <c r="CT9" i="75"/>
  <c r="CS9" i="75"/>
  <c r="CL9" i="75"/>
  <c r="CK9" i="75"/>
  <c r="CJ9" i="75"/>
  <c r="CC9" i="75"/>
  <c r="CB9" i="75"/>
  <c r="CA9" i="75"/>
  <c r="BZ9" i="75"/>
  <c r="BY9" i="75"/>
  <c r="BX9" i="75"/>
  <c r="BW9" i="75"/>
  <c r="BV9" i="75"/>
  <c r="BU9" i="75"/>
  <c r="BQ9" i="75"/>
  <c r="BP9" i="75"/>
  <c r="BO9" i="75"/>
  <c r="BN9" i="75"/>
  <c r="BM9" i="75"/>
  <c r="BL9" i="75"/>
  <c r="BK9" i="75"/>
  <c r="BJ9" i="75"/>
  <c r="BI9" i="75"/>
  <c r="BE9" i="75"/>
  <c r="BD9" i="75"/>
  <c r="BC9" i="75"/>
  <c r="BB9" i="75"/>
  <c r="BA9" i="75"/>
  <c r="AZ9" i="75"/>
  <c r="AY9" i="75"/>
  <c r="AX9" i="75"/>
  <c r="AW9" i="75"/>
  <c r="AV9" i="75"/>
  <c r="AU9" i="75"/>
  <c r="AT9" i="75"/>
  <c r="AS9" i="75"/>
  <c r="AR9" i="75"/>
  <c r="AQ9" i="75"/>
  <c r="AP9" i="75"/>
  <c r="AO9" i="75"/>
  <c r="AN9" i="75"/>
  <c r="AM9" i="75"/>
  <c r="AL9" i="75"/>
  <c r="AK9" i="75"/>
  <c r="AJ9" i="75"/>
  <c r="AI9" i="75"/>
  <c r="AH9" i="75"/>
  <c r="AG9" i="75"/>
  <c r="AF9" i="75"/>
  <c r="AE9" i="75"/>
  <c r="AD9" i="75"/>
  <c r="AC9" i="75"/>
  <c r="AB9" i="75"/>
  <c r="AA9" i="75"/>
  <c r="Z9" i="75"/>
  <c r="Y9" i="75"/>
  <c r="X9" i="75"/>
  <c r="W9" i="75"/>
  <c r="V9" i="75"/>
  <c r="U9" i="75"/>
  <c r="T9" i="75"/>
  <c r="S9" i="75"/>
  <c r="R9" i="75"/>
  <c r="Q9" i="75"/>
  <c r="P9" i="75"/>
  <c r="O9" i="75"/>
  <c r="N9" i="75"/>
  <c r="M9" i="75"/>
  <c r="L9" i="75"/>
  <c r="K9" i="75"/>
  <c r="J9" i="75"/>
  <c r="I9" i="75"/>
  <c r="H9" i="75"/>
  <c r="G9" i="75"/>
  <c r="EZ6" i="75"/>
  <c r="I56" i="73" s="1"/>
  <c r="EY6" i="75"/>
  <c r="H56" i="73" s="1"/>
  <c r="EX6" i="75"/>
  <c r="G56" i="73" s="1"/>
  <c r="EW6" i="75"/>
  <c r="I55" i="73" s="1"/>
  <c r="EV6" i="75"/>
  <c r="H55" i="73" s="1"/>
  <c r="EU6" i="75"/>
  <c r="G55" i="73" s="1"/>
  <c r="ET6" i="75"/>
  <c r="I54" i="73" s="1"/>
  <c r="ES6" i="75"/>
  <c r="H54" i="73" s="1"/>
  <c r="ER6" i="75"/>
  <c r="G54" i="73" s="1"/>
  <c r="EQ6" i="75"/>
  <c r="I53" i="73" s="1"/>
  <c r="EP6" i="75"/>
  <c r="H53" i="73" s="1"/>
  <c r="EO6" i="75"/>
  <c r="G53" i="73" s="1"/>
  <c r="EN6" i="75"/>
  <c r="EM6" i="75"/>
  <c r="H52" i="73" s="1"/>
  <c r="EL6" i="75"/>
  <c r="G52" i="73" s="1"/>
  <c r="EK6" i="75"/>
  <c r="I51" i="73" s="1"/>
  <c r="EJ6" i="75"/>
  <c r="H51" i="73" s="1"/>
  <c r="EI6" i="75"/>
  <c r="G51" i="73" s="1"/>
  <c r="EH6" i="75"/>
  <c r="I50" i="73" s="1"/>
  <c r="EG6" i="75"/>
  <c r="H50" i="73" s="1"/>
  <c r="EF6" i="75"/>
  <c r="G50" i="73" s="1"/>
  <c r="EE6" i="75"/>
  <c r="I49" i="73" s="1"/>
  <c r="ED6" i="75"/>
  <c r="H49" i="73" s="1"/>
  <c r="EC6" i="75"/>
  <c r="G49" i="73" s="1"/>
  <c r="EB6" i="75"/>
  <c r="I48" i="73" s="1"/>
  <c r="EA6" i="75"/>
  <c r="H48" i="73" s="1"/>
  <c r="DZ6" i="75"/>
  <c r="G48" i="73" s="1"/>
  <c r="DY6" i="75"/>
  <c r="I47" i="73" s="1"/>
  <c r="DX6" i="75"/>
  <c r="H47" i="73" s="1"/>
  <c r="DW6" i="75"/>
  <c r="G47" i="73" s="1"/>
  <c r="DV6" i="75"/>
  <c r="I46" i="73" s="1"/>
  <c r="DU6" i="75"/>
  <c r="H46" i="73" s="1"/>
  <c r="DT6" i="75"/>
  <c r="G46" i="73" s="1"/>
  <c r="DS6" i="75"/>
  <c r="I45" i="73" s="1"/>
  <c r="DR6" i="75"/>
  <c r="H45" i="73" s="1"/>
  <c r="DQ6" i="75"/>
  <c r="G45" i="73" s="1"/>
  <c r="DP6" i="75"/>
  <c r="I44" i="73" s="1"/>
  <c r="DO6" i="75"/>
  <c r="H44" i="73" s="1"/>
  <c r="DN6" i="75"/>
  <c r="G44" i="73" s="1"/>
  <c r="DM6" i="75"/>
  <c r="I43" i="73" s="1"/>
  <c r="DL6" i="75"/>
  <c r="H43" i="73" s="1"/>
  <c r="DK6" i="75"/>
  <c r="G43" i="73" s="1"/>
  <c r="DJ6" i="75"/>
  <c r="I42" i="73" s="1"/>
  <c r="DI6" i="75"/>
  <c r="H42" i="73" s="1"/>
  <c r="DH6" i="75"/>
  <c r="G42" i="73" s="1"/>
  <c r="DG6" i="75"/>
  <c r="I41" i="73" s="1"/>
  <c r="DF6" i="75"/>
  <c r="H41" i="73" s="1"/>
  <c r="DE6" i="75"/>
  <c r="G41" i="73" s="1"/>
  <c r="DD6" i="75"/>
  <c r="I40" i="73" s="1"/>
  <c r="DC6" i="75"/>
  <c r="H40" i="73" s="1"/>
  <c r="DB6" i="75"/>
  <c r="G40" i="73" s="1"/>
  <c r="CU8" i="75"/>
  <c r="CT8" i="75"/>
  <c r="CS8" i="75"/>
  <c r="CU7" i="75"/>
  <c r="CT7" i="75"/>
  <c r="CS7" i="75"/>
  <c r="CU6" i="75"/>
  <c r="CT6" i="75"/>
  <c r="CS6" i="75"/>
  <c r="CL8" i="75"/>
  <c r="CK8" i="75"/>
  <c r="CJ8" i="75"/>
  <c r="CL7" i="75"/>
  <c r="CK7" i="75"/>
  <c r="CJ7" i="75"/>
  <c r="CL6" i="75"/>
  <c r="CK6" i="75"/>
  <c r="CJ6" i="75"/>
  <c r="CC8" i="75"/>
  <c r="CB8" i="75"/>
  <c r="CA8" i="75"/>
  <c r="CC7" i="75"/>
  <c r="CB7" i="75"/>
  <c r="CA7" i="75"/>
  <c r="CC6" i="75"/>
  <c r="CB6" i="75"/>
  <c r="CA6" i="75"/>
  <c r="BZ8" i="75"/>
  <c r="BY8" i="75"/>
  <c r="BX8" i="75"/>
  <c r="BZ7" i="75"/>
  <c r="BY7" i="75"/>
  <c r="BX7" i="75"/>
  <c r="BZ6" i="75"/>
  <c r="BY6" i="75"/>
  <c r="BX6" i="75"/>
  <c r="BW8" i="75"/>
  <c r="BV8" i="75"/>
  <c r="BU8" i="75"/>
  <c r="BW7" i="75"/>
  <c r="BV7" i="75"/>
  <c r="BU7" i="75"/>
  <c r="BW6" i="75"/>
  <c r="BV6" i="75"/>
  <c r="BU6" i="75"/>
  <c r="BQ8" i="75"/>
  <c r="BP8" i="75"/>
  <c r="BO8" i="75"/>
  <c r="BQ7" i="75"/>
  <c r="BP7" i="75"/>
  <c r="BO7" i="75"/>
  <c r="BQ6" i="75"/>
  <c r="BP6" i="75"/>
  <c r="BO6" i="75"/>
  <c r="BN8" i="75"/>
  <c r="BM8" i="75"/>
  <c r="BL8" i="75"/>
  <c r="BN7" i="75"/>
  <c r="BM7" i="75"/>
  <c r="BL7" i="75"/>
  <c r="BN6" i="75"/>
  <c r="BM6" i="75"/>
  <c r="BL6" i="75"/>
  <c r="BK8" i="75"/>
  <c r="BJ8" i="75"/>
  <c r="BI8" i="75"/>
  <c r="BK7" i="75"/>
  <c r="BJ7" i="75"/>
  <c r="BI7" i="75"/>
  <c r="BK6" i="75"/>
  <c r="BJ6" i="75"/>
  <c r="BI6" i="75"/>
  <c r="BE8" i="75"/>
  <c r="BD8" i="75"/>
  <c r="BC8" i="75"/>
  <c r="BE7" i="75"/>
  <c r="BD7" i="75"/>
  <c r="BC7" i="75"/>
  <c r="BE6" i="75"/>
  <c r="BD6" i="75"/>
  <c r="BC6" i="75"/>
  <c r="BB8" i="75"/>
  <c r="BA8" i="75"/>
  <c r="AZ8" i="75"/>
  <c r="BB7" i="75"/>
  <c r="BA7" i="75"/>
  <c r="AZ7" i="75"/>
  <c r="BB6" i="75"/>
  <c r="BA6" i="75"/>
  <c r="AZ6" i="75"/>
  <c r="AY8" i="75"/>
  <c r="AX8" i="75"/>
  <c r="AW8" i="75"/>
  <c r="AY7" i="75"/>
  <c r="AX7" i="75"/>
  <c r="AW7" i="75"/>
  <c r="AY6" i="75"/>
  <c r="AX6" i="75"/>
  <c r="AW6" i="75"/>
  <c r="AV8" i="75"/>
  <c r="AU8" i="75"/>
  <c r="AT8" i="75"/>
  <c r="AV7" i="75"/>
  <c r="AU7" i="75"/>
  <c r="AT7" i="75"/>
  <c r="AV6" i="75"/>
  <c r="AU6" i="75"/>
  <c r="AT6" i="75"/>
  <c r="AS8" i="75"/>
  <c r="AR8" i="75"/>
  <c r="AQ8" i="75"/>
  <c r="AS7" i="75"/>
  <c r="AR7" i="75"/>
  <c r="AQ7" i="75"/>
  <c r="AS6" i="75"/>
  <c r="AR6" i="75"/>
  <c r="AQ6" i="75"/>
  <c r="AP8" i="75"/>
  <c r="AO8" i="75"/>
  <c r="AN8" i="75"/>
  <c r="AP7" i="75"/>
  <c r="AO7" i="75"/>
  <c r="AN7" i="75"/>
  <c r="AP6" i="75"/>
  <c r="AO6" i="75"/>
  <c r="AN6" i="75"/>
  <c r="AM8" i="75"/>
  <c r="AL8" i="75"/>
  <c r="AK8" i="75"/>
  <c r="AM7" i="75"/>
  <c r="AL7" i="75"/>
  <c r="AK7" i="75"/>
  <c r="AM6" i="75"/>
  <c r="AL6" i="75"/>
  <c r="AK6" i="75"/>
  <c r="AJ8" i="75"/>
  <c r="AI8" i="75"/>
  <c r="AH8" i="75"/>
  <c r="AJ7" i="75"/>
  <c r="AI7" i="75"/>
  <c r="AH7" i="75"/>
  <c r="AJ6" i="75"/>
  <c r="AI6" i="75"/>
  <c r="AH6" i="75"/>
  <c r="AG8" i="75"/>
  <c r="AF8" i="75"/>
  <c r="AE8" i="75"/>
  <c r="AG7" i="75"/>
  <c r="AF7" i="75"/>
  <c r="AE7" i="75"/>
  <c r="AG6" i="75"/>
  <c r="AF6" i="75"/>
  <c r="AE6" i="75"/>
  <c r="AD8" i="75"/>
  <c r="AC8" i="75"/>
  <c r="AB8" i="75"/>
  <c r="AD7" i="75"/>
  <c r="AC7" i="75"/>
  <c r="AB7" i="75"/>
  <c r="AD6" i="75"/>
  <c r="AC6" i="75"/>
  <c r="AB6" i="75"/>
  <c r="AA8" i="75"/>
  <c r="Z8" i="75"/>
  <c r="Y8" i="75"/>
  <c r="AA7" i="75"/>
  <c r="Z7" i="75"/>
  <c r="Y7" i="75"/>
  <c r="AA6" i="75"/>
  <c r="Z6" i="75"/>
  <c r="Y6" i="75"/>
  <c r="X8" i="75"/>
  <c r="W8" i="75"/>
  <c r="V8" i="75"/>
  <c r="X7" i="75"/>
  <c r="W7" i="75"/>
  <c r="V7" i="75"/>
  <c r="X6" i="75"/>
  <c r="W6" i="75"/>
  <c r="V6" i="75"/>
  <c r="U8" i="75"/>
  <c r="T8" i="75"/>
  <c r="S8" i="75"/>
  <c r="U7" i="75"/>
  <c r="T7" i="75"/>
  <c r="S7" i="75"/>
  <c r="U6" i="75"/>
  <c r="T6" i="75"/>
  <c r="S6" i="75"/>
  <c r="R8" i="75"/>
  <c r="Q8" i="75"/>
  <c r="P8" i="75"/>
  <c r="R7" i="75"/>
  <c r="Q7" i="75"/>
  <c r="P7" i="75"/>
  <c r="R6" i="75"/>
  <c r="Q6" i="75"/>
  <c r="P6" i="75"/>
  <c r="O8" i="75"/>
  <c r="N8" i="75"/>
  <c r="M8" i="75"/>
  <c r="O7" i="75"/>
  <c r="N7" i="75"/>
  <c r="M7" i="75"/>
  <c r="O6" i="75"/>
  <c r="N6" i="75"/>
  <c r="M6" i="75"/>
  <c r="L8" i="75"/>
  <c r="K8" i="75"/>
  <c r="J8" i="75"/>
  <c r="L7" i="75"/>
  <c r="K7" i="75"/>
  <c r="J7" i="75"/>
  <c r="L6" i="75"/>
  <c r="K6" i="75"/>
  <c r="J6" i="75"/>
  <c r="I6" i="75"/>
  <c r="H6" i="75"/>
  <c r="G7" i="75"/>
  <c r="H7" i="75"/>
  <c r="I7" i="75"/>
  <c r="G8" i="75"/>
  <c r="H8" i="75"/>
  <c r="I8" i="75"/>
  <c r="J56" i="73" l="1"/>
  <c r="J54" i="73"/>
  <c r="J43" i="73"/>
  <c r="J41" i="73"/>
  <c r="J55" i="73"/>
  <c r="J46" i="73"/>
  <c r="J42" i="73"/>
  <c r="J50" i="73"/>
  <c r="J45" i="73"/>
  <c r="J51" i="73"/>
  <c r="J53" i="73"/>
  <c r="J52" i="73"/>
  <c r="J40" i="73"/>
  <c r="J48" i="73"/>
  <c r="J44" i="73"/>
  <c r="J47" i="73"/>
  <c r="J49" i="73"/>
  <c r="G9" i="73"/>
  <c r="I11" i="73"/>
  <c r="H14" i="73"/>
  <c r="G17" i="73"/>
  <c r="I19" i="73"/>
  <c r="H22" i="73"/>
  <c r="G26" i="73"/>
  <c r="I29" i="73"/>
  <c r="H34" i="73"/>
  <c r="H9" i="73"/>
  <c r="G12" i="73"/>
  <c r="I14" i="73"/>
  <c r="H17" i="73"/>
  <c r="G20" i="73"/>
  <c r="I22" i="73"/>
  <c r="H26" i="73"/>
  <c r="G30" i="73"/>
  <c r="I34" i="73"/>
  <c r="G7" i="73"/>
  <c r="I9" i="73"/>
  <c r="H12" i="73"/>
  <c r="G15" i="73"/>
  <c r="I17" i="73"/>
  <c r="H20" i="73"/>
  <c r="G23" i="73"/>
  <c r="I26" i="73"/>
  <c r="H30" i="73"/>
  <c r="G37" i="73"/>
  <c r="I8" i="73"/>
  <c r="H11" i="73"/>
  <c r="G14" i="73"/>
  <c r="I16" i="73"/>
  <c r="H19" i="73"/>
  <c r="G22" i="73"/>
  <c r="I25" i="73"/>
  <c r="H29" i="73"/>
  <c r="G34" i="73"/>
  <c r="Q38" i="73" s="1"/>
  <c r="G8" i="73"/>
  <c r="I10" i="73"/>
  <c r="H13" i="73"/>
  <c r="G16" i="73"/>
  <c r="I18" i="73"/>
  <c r="H21" i="73"/>
  <c r="G25" i="73"/>
  <c r="I27" i="73"/>
  <c r="H31" i="73"/>
  <c r="H7" i="73"/>
  <c r="G10" i="73"/>
  <c r="I12" i="73"/>
  <c r="H15" i="73"/>
  <c r="G18" i="73"/>
  <c r="I20" i="73"/>
  <c r="H23" i="73"/>
  <c r="G27" i="73"/>
  <c r="I30" i="73"/>
  <c r="H37" i="73"/>
  <c r="I7" i="73"/>
  <c r="H10" i="73"/>
  <c r="G13" i="73"/>
  <c r="I15" i="73"/>
  <c r="H18" i="73"/>
  <c r="G21" i="73"/>
  <c r="I23" i="73"/>
  <c r="H27" i="73"/>
  <c r="G31" i="73"/>
  <c r="I37" i="73"/>
  <c r="H8" i="73"/>
  <c r="G11" i="73"/>
  <c r="I13" i="73"/>
  <c r="H16" i="73"/>
  <c r="G19" i="73"/>
  <c r="I21" i="73"/>
  <c r="H25" i="73"/>
  <c r="G29" i="73"/>
  <c r="I31" i="73"/>
  <c r="J35" i="73"/>
  <c r="J61" i="73"/>
  <c r="J60" i="73"/>
  <c r="J38" i="73"/>
  <c r="J63" i="73"/>
  <c r="J33" i="73"/>
  <c r="J58" i="73"/>
  <c r="J32" i="73"/>
  <c r="J59" i="73"/>
  <c r="J39" i="73"/>
  <c r="J36" i="73"/>
  <c r="J62" i="73"/>
  <c r="J99" i="73"/>
  <c r="U8" i="78"/>
  <c r="Q54" i="73" l="1"/>
  <c r="J22" i="73"/>
  <c r="J29" i="73"/>
  <c r="J23" i="73"/>
  <c r="J16" i="73"/>
  <c r="J20" i="73"/>
  <c r="J25" i="73"/>
  <c r="J18" i="73"/>
  <c r="J21" i="73"/>
  <c r="Q14" i="73"/>
  <c r="Q30" i="73"/>
  <c r="G6" i="73"/>
  <c r="J31" i="73"/>
  <c r="Q22" i="73"/>
  <c r="C82" i="73"/>
  <c r="C83" i="73" s="1"/>
  <c r="C64" i="73"/>
  <c r="C65" i="73" s="1"/>
  <c r="K8" i="85"/>
  <c r="J8" i="85"/>
  <c r="K8" i="84"/>
  <c r="J8" i="84"/>
  <c r="C84" i="73" l="1"/>
  <c r="C66" i="73"/>
  <c r="C85" i="73" l="1"/>
  <c r="C67" i="73"/>
  <c r="C86" i="73" l="1"/>
  <c r="C68" i="73"/>
  <c r="AH6" i="78"/>
  <c r="AM6" i="78" s="1"/>
  <c r="AR6" i="78" s="1"/>
  <c r="AW6" i="78" s="1"/>
  <c r="BB6" i="78" s="1"/>
  <c r="BG6" i="78" s="1"/>
  <c r="J8" i="78"/>
  <c r="K8" i="78"/>
  <c r="O8" i="78"/>
  <c r="P8" i="78"/>
  <c r="T8" i="78"/>
  <c r="Y8" i="78"/>
  <c r="AD8" i="78"/>
  <c r="AE8" i="78"/>
  <c r="AI8" i="78"/>
  <c r="AJ8" i="78"/>
  <c r="AN8" i="78"/>
  <c r="AO8" i="78"/>
  <c r="AS8" i="78"/>
  <c r="AT8" i="78"/>
  <c r="AX8" i="78"/>
  <c r="AY8" i="78"/>
  <c r="BC8" i="78"/>
  <c r="BD8" i="78"/>
  <c r="BH8" i="78"/>
  <c r="BI8" i="78"/>
  <c r="C87" i="73" l="1"/>
  <c r="C69" i="73"/>
  <c r="C88" i="73" l="1"/>
  <c r="C70" i="73"/>
  <c r="C89" i="73" l="1"/>
  <c r="C71" i="73"/>
  <c r="J8" i="81"/>
  <c r="K8" i="81"/>
  <c r="O8" i="81"/>
  <c r="P8" i="81"/>
  <c r="T8" i="81"/>
  <c r="U8" i="81"/>
  <c r="Z8" i="81"/>
  <c r="AD8" i="81"/>
  <c r="AE8" i="81"/>
  <c r="Y8" i="81"/>
  <c r="X2" i="81"/>
  <c r="C90" i="73" l="1"/>
  <c r="C72" i="73"/>
  <c r="BS8" i="78"/>
  <c r="BR8" i="78"/>
  <c r="BN8" i="78"/>
  <c r="BM8" i="78"/>
  <c r="C91" i="73" l="1"/>
  <c r="C73" i="73"/>
  <c r="BL6" i="78"/>
  <c r="C92" i="73" l="1"/>
  <c r="C74" i="73"/>
  <c r="BQ6" i="78"/>
  <c r="X2" i="78"/>
  <c r="C93" i="73" l="1"/>
  <c r="C75" i="73"/>
  <c r="C62" i="73"/>
  <c r="C63" i="73"/>
  <c r="C94" i="73" l="1"/>
  <c r="C76" i="73"/>
  <c r="J27" i="73"/>
  <c r="J28" i="73"/>
  <c r="J26" i="73"/>
  <c r="C9" i="73"/>
  <c r="C10" i="73" s="1"/>
  <c r="C11" i="73" s="1"/>
  <c r="C12" i="73" s="1"/>
  <c r="C13" i="73" s="1"/>
  <c r="C14" i="73" s="1"/>
  <c r="C15" i="73" s="1"/>
  <c r="C16" i="73" s="1"/>
  <c r="C17" i="73" s="1"/>
  <c r="C18" i="73" s="1"/>
  <c r="C19" i="73" s="1"/>
  <c r="C20" i="73" s="1"/>
  <c r="C21" i="73" s="1"/>
  <c r="C22" i="73" s="1"/>
  <c r="C23" i="73" s="1"/>
  <c r="C24" i="73" s="1"/>
  <c r="C25" i="73" s="1"/>
  <c r="C26" i="73" s="1"/>
  <c r="C27" i="73" s="1"/>
  <c r="C28" i="73" s="1"/>
  <c r="C29" i="73" s="1"/>
  <c r="C30" i="73" s="1"/>
  <c r="C31" i="73" s="1"/>
  <c r="C32" i="73" s="1"/>
  <c r="C33" i="73" s="1"/>
  <c r="C34" i="73" s="1"/>
  <c r="C35" i="73" s="1"/>
  <c r="C8" i="73"/>
  <c r="J5" i="75"/>
  <c r="M5" i="75" s="1"/>
  <c r="P5" i="75" s="1"/>
  <c r="S5" i="75" s="1"/>
  <c r="V5" i="75" s="1"/>
  <c r="Y5" i="75" s="1"/>
  <c r="AB5" i="75" s="1"/>
  <c r="AE5" i="75" s="1"/>
  <c r="AH5" i="75" s="1"/>
  <c r="AK5" i="75" s="1"/>
  <c r="AN5" i="75" s="1"/>
  <c r="AQ5" i="75" s="1"/>
  <c r="AT5" i="75" s="1"/>
  <c r="AW5" i="75" s="1"/>
  <c r="AZ5" i="75" s="1"/>
  <c r="BC5" i="75" s="1"/>
  <c r="BF5" i="75" s="1"/>
  <c r="BI5" i="75" s="1"/>
  <c r="BL5" i="75" s="1"/>
  <c r="J82" i="73" l="1"/>
  <c r="J11" i="73"/>
  <c r="J86" i="73"/>
  <c r="J90" i="73"/>
  <c r="J13" i="73"/>
  <c r="J98" i="73"/>
  <c r="J15" i="73"/>
  <c r="J17" i="73"/>
  <c r="J34" i="73"/>
  <c r="J9" i="73"/>
  <c r="J83" i="73"/>
  <c r="J88" i="73"/>
  <c r="J8" i="73"/>
  <c r="J10" i="73"/>
  <c r="J30" i="73"/>
  <c r="J94" i="73"/>
  <c r="J84" i="73"/>
  <c r="J12" i="73"/>
  <c r="J37" i="73"/>
  <c r="J89" i="73"/>
  <c r="J92" i="73"/>
  <c r="J19" i="73"/>
  <c r="J87" i="73"/>
  <c r="J14" i="73"/>
  <c r="J85" i="73"/>
  <c r="Q6" i="73"/>
  <c r="C95" i="73"/>
  <c r="C77" i="73"/>
  <c r="J7" i="73"/>
  <c r="C36" i="73"/>
  <c r="C96" i="73" l="1"/>
  <c r="C78" i="73"/>
  <c r="C37" i="73"/>
  <c r="C38" i="73" s="1"/>
  <c r="C39" i="73" s="1"/>
  <c r="C40" i="73" s="1"/>
  <c r="C41" i="73" s="1"/>
  <c r="C42" i="73" s="1"/>
  <c r="C43" i="73" s="1"/>
  <c r="C44" i="73" s="1"/>
  <c r="C45" i="73" s="1"/>
  <c r="C46" i="73" s="1"/>
  <c r="C47" i="73" s="1"/>
  <c r="C48" i="73" s="1"/>
  <c r="C49" i="73" s="1"/>
  <c r="C50" i="73" s="1"/>
  <c r="C51" i="73" s="1"/>
  <c r="C52" i="73" s="1"/>
  <c r="C53" i="73" s="1"/>
  <c r="C54" i="73" s="1"/>
  <c r="C55" i="73" s="1"/>
  <c r="C56" i="73" s="1"/>
  <c r="C57" i="73" s="1"/>
  <c r="C58" i="73" s="1"/>
  <c r="C59" i="73" s="1"/>
  <c r="C60" i="73" s="1"/>
  <c r="C61" i="73" s="1"/>
  <c r="C97" i="73" l="1"/>
  <c r="C79" i="73"/>
  <c r="C98" i="73" l="1"/>
  <c r="C80" i="73"/>
  <c r="C99" i="73" l="1"/>
  <c r="C81" i="73"/>
  <c r="BO5" i="75"/>
  <c r="BR5" i="75" s="1"/>
  <c r="BU5" i="75" s="1"/>
  <c r="BX5" i="75" s="1"/>
  <c r="CA5" i="75" l="1"/>
  <c r="CD5" i="75" s="1"/>
  <c r="CG5" i="75" s="1"/>
  <c r="CJ5" i="75" s="1"/>
  <c r="CM5" i="75" s="1"/>
  <c r="CP5" i="75" s="1"/>
  <c r="CS5" i="75" s="1"/>
  <c r="CV5" i="75" s="1"/>
  <c r="CY5" i="75" s="1"/>
  <c r="DB5" i="75" s="1"/>
  <c r="DE5" i="75" s="1"/>
  <c r="DH5" i="75" s="1"/>
  <c r="DK5" i="75" s="1"/>
  <c r="DN5" i="75" s="1"/>
  <c r="DQ5" i="75" s="1"/>
  <c r="DT5" i="75" s="1"/>
  <c r="DW5" i="75" s="1"/>
  <c r="DZ5" i="75" s="1"/>
  <c r="EC5" i="75" s="1"/>
  <c r="EF5" i="75" s="1"/>
  <c r="EI5" i="75" s="1"/>
  <c r="EL5" i="75" s="1"/>
  <c r="EO5" i="75" s="1"/>
  <c r="ER5" i="75" s="1"/>
  <c r="EU5" i="75" s="1"/>
  <c r="EX5" i="75" s="1"/>
  <c r="FA5" i="75" s="1"/>
  <c r="FD5" i="75" s="1"/>
  <c r="FG5" i="75" s="1"/>
  <c r="FJ5" i="75" s="1"/>
  <c r="FM5" i="75" s="1"/>
  <c r="FP5" i="75" s="1"/>
  <c r="FS5" i="75" s="1"/>
  <c r="FV5" i="75" s="1"/>
  <c r="FY5" i="75" s="1"/>
  <c r="GB5" i="75" s="1"/>
  <c r="GE5" i="75" s="1"/>
  <c r="GH5" i="75" s="1"/>
  <c r="GK5" i="75" s="1"/>
  <c r="GN5" i="75" s="1"/>
  <c r="GQ5" i="75" s="1"/>
  <c r="GT5" i="75" s="1"/>
  <c r="GW5" i="75" s="1"/>
  <c r="GZ5" i="75" s="1"/>
  <c r="HC5" i="75" s="1"/>
  <c r="HF5" i="75" s="1"/>
  <c r="HI5" i="75" s="1"/>
  <c r="HL5" i="75" s="1"/>
  <c r="HO5" i="75" s="1"/>
  <c r="HR5" i="75" s="1"/>
  <c r="HU5" i="75" s="1"/>
  <c r="HX5" i="75" s="1"/>
  <c r="IA5" i="75" s="1"/>
  <c r="ID5" i="75" s="1"/>
  <c r="IG5" i="75" s="1"/>
  <c r="IJ5" i="75" s="1"/>
  <c r="IM5" i="75" s="1"/>
  <c r="IP5" i="75" s="1"/>
  <c r="IS5" i="75" s="1"/>
  <c r="IV5" i="75" s="1"/>
  <c r="IY5" i="75" s="1"/>
  <c r="JB5" i="75" s="1"/>
  <c r="JE5" i="75" s="1"/>
  <c r="JH5" i="75" s="1"/>
  <c r="JK5" i="75" s="1"/>
  <c r="JN5" i="75" s="1"/>
  <c r="JQ5" i="75" s="1"/>
  <c r="JT5" i="75" s="1"/>
  <c r="JW5" i="75" s="1"/>
  <c r="Q4" i="73"/>
  <c r="V61" i="73" l="1"/>
  <c r="X61" i="73" s="1"/>
  <c r="V60" i="73"/>
  <c r="X60" i="73" s="1"/>
  <c r="V59" i="73"/>
  <c r="X59" i="73" s="1"/>
  <c r="V54" i="73"/>
  <c r="X54" i="73" s="1"/>
  <c r="V56" i="73"/>
  <c r="X56" i="73" s="1"/>
  <c r="V57" i="73"/>
  <c r="X57" i="73" s="1"/>
  <c r="V55" i="73"/>
  <c r="X55" i="73" s="1"/>
  <c r="V58" i="73"/>
  <c r="X58" i="73" s="1"/>
  <c r="V21" i="73"/>
  <c r="V18" i="73"/>
  <c r="V51" i="73"/>
  <c r="X51" i="73" s="1"/>
  <c r="V50" i="73"/>
  <c r="X50" i="73" s="1"/>
  <c r="V48" i="73"/>
  <c r="X48" i="73" s="1"/>
  <c r="V46" i="73"/>
  <c r="X46" i="73" s="1"/>
  <c r="V53" i="73"/>
  <c r="X53" i="73" s="1"/>
  <c r="V47" i="73"/>
  <c r="X47" i="73" s="1"/>
  <c r="V49" i="73"/>
  <c r="X49" i="73" s="1"/>
  <c r="V52" i="73"/>
  <c r="X52" i="73" s="1"/>
  <c r="R54" i="73" l="1"/>
  <c r="S54" i="73" s="1"/>
  <c r="T54" i="73" s="1"/>
  <c r="R46" i="73"/>
  <c r="S46" i="73" s="1"/>
  <c r="T46" i="73" s="1"/>
  <c r="Y54" i="73" l="1"/>
  <c r="Y46" i="73"/>
  <c r="AC24" i="73" l="1"/>
  <c r="AC25" i="73" s="1"/>
  <c r="AB22" i="73"/>
  <c r="AC22" i="73" s="1"/>
  <c r="AB21" i="73" l="1"/>
  <c r="AC21" i="73"/>
  <c r="AC26" i="73"/>
  <c r="AB24" i="73"/>
  <c r="AB23" i="73"/>
  <c r="AC27" i="73" l="1"/>
  <c r="AB25" i="73"/>
  <c r="AB20" i="73"/>
  <c r="AC20" i="73"/>
  <c r="AB19" i="73" l="1"/>
  <c r="AC19" i="73"/>
  <c r="AC28" i="73"/>
  <c r="AB26" i="73"/>
  <c r="AC29" i="73" l="1"/>
  <c r="AB27" i="73"/>
  <c r="AC18" i="73"/>
  <c r="AB18" i="73"/>
  <c r="AB17" i="73" l="1"/>
  <c r="AC17" i="73"/>
  <c r="AB28" i="73"/>
  <c r="AC30" i="73"/>
  <c r="AC31" i="73" l="1"/>
  <c r="AB29" i="73"/>
  <c r="AB16" i="73"/>
  <c r="AC16" i="73"/>
  <c r="AB15" i="73" l="1"/>
  <c r="AC15" i="73"/>
  <c r="AC32" i="73"/>
  <c r="AB30" i="73"/>
  <c r="AC33" i="73" l="1"/>
  <c r="AB31" i="73"/>
  <c r="AB14" i="73"/>
  <c r="AC14" i="73"/>
  <c r="AB13" i="73" l="1"/>
  <c r="AC13" i="73"/>
  <c r="AB32" i="73"/>
  <c r="AC34" i="73"/>
  <c r="AC35" i="73" l="1"/>
  <c r="AB33" i="73"/>
  <c r="AC12" i="73"/>
  <c r="AB12" i="73"/>
  <c r="AB11" i="73" l="1"/>
  <c r="AC11" i="73"/>
  <c r="AC36" i="73"/>
  <c r="AB34" i="73"/>
  <c r="AC37" i="73" l="1"/>
  <c r="AB35" i="73"/>
  <c r="AB10" i="73"/>
  <c r="AC10" i="73"/>
  <c r="AB9" i="73" l="1"/>
  <c r="AC9" i="73"/>
  <c r="AC38" i="73"/>
  <c r="AB36" i="73"/>
  <c r="AC39" i="73" l="1"/>
  <c r="AB37" i="73"/>
  <c r="AC8" i="73"/>
  <c r="AB8" i="73"/>
  <c r="AB7" i="73" l="1"/>
  <c r="AC7" i="73"/>
  <c r="AC40" i="73"/>
  <c r="AB38" i="73"/>
  <c r="AC41" i="73" l="1"/>
  <c r="AB39" i="73"/>
  <c r="AC6" i="73"/>
  <c r="AB6" i="73"/>
  <c r="AB5" i="73" l="1"/>
  <c r="AC5" i="73"/>
  <c r="AC42" i="73"/>
  <c r="AB40" i="73"/>
  <c r="AC43" i="73" l="1"/>
  <c r="AB41" i="73"/>
  <c r="AC4" i="73"/>
  <c r="AB4" i="73"/>
  <c r="AB3" i="73" l="1"/>
  <c r="AC3" i="73"/>
  <c r="AC44" i="73"/>
  <c r="AB42" i="73"/>
  <c r="AC45" i="73" l="1"/>
  <c r="AB43" i="73"/>
  <c r="AB44" i="73" l="1"/>
  <c r="AC46" i="73"/>
  <c r="AC47" i="73" l="1"/>
  <c r="AB45" i="73"/>
  <c r="AC48" i="73" l="1"/>
  <c r="AB46" i="73"/>
  <c r="AC49" i="73" l="1"/>
  <c r="AB47" i="73"/>
  <c r="AC50" i="73" l="1"/>
  <c r="AB48" i="73"/>
  <c r="AC51" i="73" l="1"/>
  <c r="AB49" i="73"/>
  <c r="AB50" i="73" l="1"/>
  <c r="AC52" i="73"/>
  <c r="AB51" i="73" s="1"/>
  <c r="V29" i="73" l="1"/>
  <c r="X29" i="73" s="1"/>
  <c r="V42" i="73" l="1"/>
  <c r="X42" i="73" s="1"/>
  <c r="V38" i="73"/>
  <c r="X38" i="73" s="1"/>
  <c r="V45" i="73"/>
  <c r="X45" i="73" s="1"/>
  <c r="V41" i="73"/>
  <c r="X41" i="73" s="1"/>
  <c r="V44" i="73"/>
  <c r="X44" i="73" s="1"/>
  <c r="V40" i="73"/>
  <c r="X40" i="73" s="1"/>
  <c r="V43" i="73"/>
  <c r="X43" i="73" s="1"/>
  <c r="V39" i="73"/>
  <c r="X39" i="73" s="1"/>
  <c r="V19" i="73"/>
  <c r="X19" i="73" s="1"/>
  <c r="V37" i="73"/>
  <c r="X37" i="73" s="1"/>
  <c r="V34" i="73"/>
  <c r="X34" i="73" s="1"/>
  <c r="V35" i="73"/>
  <c r="X35" i="73" s="1"/>
  <c r="V36" i="73"/>
  <c r="X36" i="73" s="1"/>
  <c r="V31" i="73"/>
  <c r="X31" i="73" s="1"/>
  <c r="V32" i="73"/>
  <c r="X32" i="73" s="1"/>
  <c r="V33" i="73"/>
  <c r="X33" i="73" s="1"/>
  <c r="V30" i="73"/>
  <c r="X30" i="73" s="1"/>
  <c r="V24" i="73"/>
  <c r="X24" i="73" s="1"/>
  <c r="V26" i="73"/>
  <c r="X26" i="73" s="1"/>
  <c r="V22" i="73"/>
  <c r="X22" i="73" s="1"/>
  <c r="V27" i="73"/>
  <c r="X27" i="73" s="1"/>
  <c r="V23" i="73"/>
  <c r="X23" i="73" s="1"/>
  <c r="V28" i="73"/>
  <c r="X28" i="73" s="1"/>
  <c r="V25" i="73"/>
  <c r="X25" i="73" s="1"/>
  <c r="R38" i="73" l="1"/>
  <c r="S38" i="73" s="1"/>
  <c r="T38" i="73" s="1"/>
  <c r="R30" i="73"/>
  <c r="S30" i="73" s="1"/>
  <c r="T30" i="73" s="1"/>
  <c r="R22" i="73"/>
  <c r="S22" i="73" s="1"/>
  <c r="T22" i="73" s="1"/>
  <c r="X18" i="73"/>
  <c r="V16" i="73"/>
  <c r="X16" i="73" s="1"/>
  <c r="V20" i="73"/>
  <c r="X20" i="73" s="1"/>
  <c r="V14" i="73"/>
  <c r="X14" i="73" s="1"/>
  <c r="V17" i="73"/>
  <c r="X17" i="73" s="1"/>
  <c r="V15" i="73"/>
  <c r="X15" i="73" s="1"/>
  <c r="X21" i="73"/>
  <c r="R14" i="73" l="1"/>
  <c r="Y30" i="73"/>
  <c r="Y38" i="73"/>
  <c r="Y22" i="73"/>
  <c r="V12" i="73"/>
  <c r="X12" i="73" s="1"/>
  <c r="V8" i="73"/>
  <c r="X8" i="73" s="1"/>
  <c r="V10" i="73"/>
  <c r="X10" i="73" s="1"/>
  <c r="V6" i="73"/>
  <c r="X6" i="73" s="1"/>
  <c r="V9" i="73"/>
  <c r="X9" i="73" s="1"/>
  <c r="V13" i="73"/>
  <c r="X13" i="73" s="1"/>
  <c r="V7" i="73"/>
  <c r="X7" i="73" s="1"/>
  <c r="V11" i="73"/>
  <c r="X11" i="73" s="1"/>
  <c r="R6" i="73" l="1"/>
  <c r="S6" i="73" s="1"/>
  <c r="T6" i="73" s="1"/>
  <c r="S14" i="73"/>
  <c r="T14" i="73" s="1"/>
  <c r="Y14" i="73"/>
  <c r="T2" i="73" l="1"/>
  <c r="U2" i="73"/>
  <c r="Y6" i="73"/>
  <c r="I4" i="5" l="1"/>
  <c r="J4" i="5"/>
  <c r="K4" i="5"/>
  <c r="L4" i="5"/>
  <c r="H4" i="5"/>
  <c r="G4" i="5"/>
</calcChain>
</file>

<file path=xl/comments1.xml><?xml version="1.0" encoding="utf-8"?>
<comments xmlns="http://schemas.openxmlformats.org/spreadsheetml/2006/main">
  <authors>
    <author>diemhang.nguyen@lge.com</author>
    <author>diemhang.nguyen</author>
  </authors>
  <commentList>
    <comment ref="J16" authorId="0" shapeId="0">
      <text>
        <r>
          <rPr>
            <b/>
            <sz val="9"/>
            <color indexed="81"/>
            <rFont val="Tahoma"/>
            <family val="2"/>
          </rPr>
          <t>diemhang.nguyen@lge.com:</t>
        </r>
        <r>
          <rPr>
            <sz val="9"/>
            <color indexed="81"/>
            <rFont val="Tahoma"/>
            <family val="2"/>
          </rPr>
          <t xml:space="preserve">
change formular (target - actual)</t>
        </r>
      </text>
    </comment>
    <comment ref="J19" authorId="0" shapeId="0">
      <text>
        <r>
          <rPr>
            <b/>
            <sz val="9"/>
            <color indexed="81"/>
            <rFont val="Tahoma"/>
            <family val="2"/>
          </rPr>
          <t>diemhang.nguyen@lge.com:</t>
        </r>
        <r>
          <rPr>
            <sz val="9"/>
            <color indexed="81"/>
            <rFont val="Tahoma"/>
            <family val="2"/>
          </rPr>
          <t xml:space="preserve">
change formular (target - actual)</t>
        </r>
      </text>
    </comment>
    <comment ref="C40" authorId="1" shapeId="0">
      <text>
        <r>
          <rPr>
            <b/>
            <sz val="9"/>
            <color indexed="81"/>
            <rFont val="Tahoma"/>
            <family val="2"/>
          </rPr>
          <t>diemhang.nguyen:</t>
        </r>
        <r>
          <rPr>
            <sz val="9"/>
            <color indexed="81"/>
            <rFont val="Tahoma"/>
            <family val="2"/>
          </rPr>
          <t xml:space="preserve">
Second project</t>
        </r>
      </text>
    </comment>
    <comment ref="C64" authorId="1" shapeId="0">
      <text>
        <r>
          <rPr>
            <b/>
            <sz val="9"/>
            <color indexed="81"/>
            <rFont val="Tahoma"/>
            <family val="2"/>
          </rPr>
          <t>Third project</t>
        </r>
      </text>
    </comment>
    <comment ref="C82" authorId="1" shapeId="0">
      <text>
        <r>
          <rPr>
            <b/>
            <sz val="9"/>
            <color indexed="81"/>
            <rFont val="Tahoma"/>
            <family val="2"/>
          </rPr>
          <t>Forth project</t>
        </r>
      </text>
    </comment>
  </commentList>
</comments>
</file>

<file path=xl/comments2.xml><?xml version="1.0" encoding="utf-8"?>
<comments xmlns="http://schemas.openxmlformats.org/spreadsheetml/2006/main">
  <authors>
    <author>linh.truong</author>
  </authors>
  <commentList>
    <comment ref="J3" authorId="0" shapeId="0">
      <text>
        <r>
          <rPr>
            <b/>
            <sz val="9"/>
            <color indexed="81"/>
            <rFont val="Tahoma"/>
            <family val="2"/>
          </rPr>
          <t>linh.truong:</t>
        </r>
        <r>
          <rPr>
            <sz val="9"/>
            <color indexed="81"/>
            <rFont val="Tahoma"/>
            <family val="2"/>
          </rPr>
          <t xml:space="preserve">
Thay thế bằng : Create TCs productivity (Overall)</t>
        </r>
      </text>
    </comment>
    <comment ref="M3" authorId="0" shapeId="0">
      <text>
        <r>
          <rPr>
            <b/>
            <sz val="9"/>
            <color indexed="81"/>
            <rFont val="Tahoma"/>
            <family val="2"/>
          </rPr>
          <t>linh.truong:</t>
        </r>
        <r>
          <rPr>
            <sz val="9"/>
            <color indexed="81"/>
            <rFont val="Tahoma"/>
            <family val="2"/>
          </rPr>
          <t xml:space="preserve">
Thay thế Bằng : Personal Manual test productivity (Overall)</t>
        </r>
      </text>
    </comment>
    <comment ref="Y3" authorId="0" shapeId="0">
      <text>
        <r>
          <rPr>
            <b/>
            <sz val="9"/>
            <color indexed="81"/>
            <rFont val="Tahoma"/>
            <family val="2"/>
          </rPr>
          <t>linh.truong:
Thay thế bằng: Project Manual test productivity (Overall)</t>
        </r>
      </text>
    </comment>
    <comment ref="AK3" authorId="0" shapeId="0">
      <text>
        <r>
          <rPr>
            <b/>
            <sz val="9"/>
            <color indexed="81"/>
            <rFont val="Tahoma"/>
            <family val="2"/>
          </rPr>
          <t>linh.truong:
Thay bằng Project Process Compliance &amp;  Outcome Quality Score</t>
        </r>
        <r>
          <rPr>
            <sz val="9"/>
            <color indexed="81"/>
            <rFont val="Tahoma"/>
            <family val="2"/>
          </rPr>
          <t xml:space="preserve">
</t>
        </r>
      </text>
    </comment>
    <comment ref="AQ3" authorId="0" shapeId="0">
      <text>
        <r>
          <rPr>
            <b/>
            <sz val="9"/>
            <color indexed="81"/>
            <rFont val="Tahoma"/>
            <family val="2"/>
          </rPr>
          <t>linh.truong:</t>
        </r>
        <r>
          <rPr>
            <sz val="9"/>
            <color indexed="81"/>
            <rFont val="Tahoma"/>
            <family val="2"/>
          </rPr>
          <t xml:space="preserve">
Thay bằng : True Defect Rate</t>
        </r>
      </text>
    </comment>
    <comment ref="BX3" authorId="0" shapeId="0">
      <text>
        <r>
          <rPr>
            <b/>
            <sz val="9"/>
            <color indexed="81"/>
            <rFont val="Tahoma"/>
            <family val="2"/>
          </rPr>
          <t>linh.truong:</t>
        </r>
        <r>
          <rPr>
            <sz val="9"/>
            <color indexed="81"/>
            <rFont val="Tahoma"/>
            <family val="2"/>
          </rPr>
          <t xml:space="preserve">
Thay bằng CBL incrementation Rate</t>
        </r>
      </text>
    </comment>
    <comment ref="DE3" authorId="0" shapeId="0">
      <text>
        <r>
          <rPr>
            <b/>
            <sz val="9"/>
            <color indexed="81"/>
            <rFont val="Tahoma"/>
            <family val="2"/>
          </rPr>
          <t>linh.truong:</t>
        </r>
        <r>
          <rPr>
            <sz val="9"/>
            <color indexed="81"/>
            <rFont val="Tahoma"/>
            <family val="2"/>
          </rPr>
          <t xml:space="preserve">
Thay thế bằng : Create TCs productivity (Overall)</t>
        </r>
      </text>
    </comment>
    <comment ref="DH3" authorId="0" shapeId="0">
      <text>
        <r>
          <rPr>
            <b/>
            <sz val="9"/>
            <color indexed="81"/>
            <rFont val="Tahoma"/>
            <family val="2"/>
          </rPr>
          <t>linh.truong:</t>
        </r>
        <r>
          <rPr>
            <sz val="9"/>
            <color indexed="81"/>
            <rFont val="Tahoma"/>
            <family val="2"/>
          </rPr>
          <t xml:space="preserve">
Thay thế Bằng : Personal Manual test productivity (Overall)</t>
        </r>
      </text>
    </comment>
    <comment ref="DT3" authorId="0" shapeId="0">
      <text>
        <r>
          <rPr>
            <b/>
            <sz val="9"/>
            <color indexed="81"/>
            <rFont val="Tahoma"/>
            <family val="2"/>
          </rPr>
          <t>linh.truong:
Thay thế bằng: Project Manual test productivity (Overall)</t>
        </r>
      </text>
    </comment>
    <comment ref="EL3" authorId="0" shapeId="0">
      <text>
        <r>
          <rPr>
            <b/>
            <sz val="9"/>
            <color indexed="81"/>
            <rFont val="Tahoma"/>
            <family val="2"/>
          </rPr>
          <t>linh.truong:</t>
        </r>
        <r>
          <rPr>
            <sz val="9"/>
            <color indexed="81"/>
            <rFont val="Tahoma"/>
            <family val="2"/>
          </rPr>
          <t xml:space="preserve">
Thay bằng : True Defect Rate</t>
        </r>
      </text>
    </comment>
    <comment ref="FY3" authorId="0" shapeId="0">
      <text>
        <r>
          <rPr>
            <b/>
            <sz val="9"/>
            <color indexed="81"/>
            <rFont val="Tahoma"/>
            <family val="2"/>
          </rPr>
          <t>linh.truong:</t>
        </r>
        <r>
          <rPr>
            <sz val="9"/>
            <color indexed="81"/>
            <rFont val="Tahoma"/>
            <family val="2"/>
          </rPr>
          <t xml:space="preserve">
Thay thế bằng : Create TCs productivity (Overall)</t>
        </r>
      </text>
    </comment>
    <comment ref="GB3" authorId="0" shapeId="0">
      <text>
        <r>
          <rPr>
            <b/>
            <sz val="9"/>
            <color indexed="81"/>
            <rFont val="Tahoma"/>
            <family val="2"/>
          </rPr>
          <t>linh.truong:</t>
        </r>
        <r>
          <rPr>
            <sz val="9"/>
            <color indexed="81"/>
            <rFont val="Tahoma"/>
            <family val="2"/>
          </rPr>
          <t xml:space="preserve">
Thay thế Bằng : Personal Manual test productivity (Overall)</t>
        </r>
      </text>
    </comment>
    <comment ref="GN3" authorId="0" shapeId="0">
      <text>
        <r>
          <rPr>
            <b/>
            <sz val="9"/>
            <color indexed="81"/>
            <rFont val="Tahoma"/>
            <family val="2"/>
          </rPr>
          <t>linh.truong:
Thay thế bằng: Project Manual test productivity (Overall)</t>
        </r>
      </text>
    </comment>
    <comment ref="HF3" authorId="0" shapeId="0">
      <text>
        <r>
          <rPr>
            <b/>
            <sz val="9"/>
            <color indexed="81"/>
            <rFont val="Tahoma"/>
            <family val="2"/>
          </rPr>
          <t>linh.truong:</t>
        </r>
        <r>
          <rPr>
            <sz val="9"/>
            <color indexed="81"/>
            <rFont val="Tahoma"/>
            <family val="2"/>
          </rPr>
          <t xml:space="preserve">
Thay bằng : True Defect Rate</t>
        </r>
      </text>
    </comment>
    <comment ref="IA3" authorId="0" shapeId="0">
      <text>
        <r>
          <rPr>
            <b/>
            <sz val="9"/>
            <color indexed="81"/>
            <rFont val="Tahoma"/>
            <family val="2"/>
          </rPr>
          <t>linh.truong:</t>
        </r>
        <r>
          <rPr>
            <sz val="9"/>
            <color indexed="81"/>
            <rFont val="Tahoma"/>
            <family val="2"/>
          </rPr>
          <t xml:space="preserve">
Thay thế bằng : Create TCs productivity (Overall)</t>
        </r>
      </text>
    </comment>
    <comment ref="ID3" authorId="0" shapeId="0">
      <text>
        <r>
          <rPr>
            <b/>
            <sz val="9"/>
            <color indexed="81"/>
            <rFont val="Tahoma"/>
            <family val="2"/>
          </rPr>
          <t>linh.truong:</t>
        </r>
        <r>
          <rPr>
            <sz val="9"/>
            <color indexed="81"/>
            <rFont val="Tahoma"/>
            <family val="2"/>
          </rPr>
          <t xml:space="preserve">
Thay thế Bằng : Personal Manual test productivity (Overall)</t>
        </r>
      </text>
    </comment>
    <comment ref="IP3" authorId="0" shapeId="0">
      <text>
        <r>
          <rPr>
            <b/>
            <sz val="9"/>
            <color indexed="81"/>
            <rFont val="Tahoma"/>
            <family val="2"/>
          </rPr>
          <t>linh.truong:
Thay thế bằng: Project Manual test productivity (Overall)</t>
        </r>
      </text>
    </comment>
    <comment ref="JH3" authorId="0" shapeId="0">
      <text>
        <r>
          <rPr>
            <b/>
            <sz val="9"/>
            <color indexed="81"/>
            <rFont val="Tahoma"/>
            <family val="2"/>
          </rPr>
          <t>linh.truong:</t>
        </r>
        <r>
          <rPr>
            <sz val="9"/>
            <color indexed="81"/>
            <rFont val="Tahoma"/>
            <family val="2"/>
          </rPr>
          <t xml:space="preserve">
Thay bằng : True Defect Rate</t>
        </r>
      </text>
    </comment>
  </commentList>
</comments>
</file>

<file path=xl/comments3.xml><?xml version="1.0" encoding="utf-8"?>
<comments xmlns="http://schemas.openxmlformats.org/spreadsheetml/2006/main">
  <authors>
    <author>diemhang.nguyen@lge.com</author>
    <author>diemhang.nguyen</author>
  </authors>
  <commentList>
    <comment ref="F1" authorId="0" shapeId="0">
      <text>
        <r>
          <rPr>
            <b/>
            <sz val="9"/>
            <color indexed="81"/>
            <rFont val="Tahoma"/>
            <family val="2"/>
          </rPr>
          <t>diemhang.nguyen@lge.com:</t>
        </r>
        <r>
          <rPr>
            <sz val="9"/>
            <color indexed="81"/>
            <rFont val="Tahoma"/>
            <family val="2"/>
          </rPr>
          <t xml:space="preserve">
2019 target index</t>
        </r>
      </text>
    </comment>
    <comment ref="G1" authorId="0" shapeId="0">
      <text>
        <r>
          <rPr>
            <b/>
            <sz val="9"/>
            <color indexed="81"/>
            <rFont val="Tahoma"/>
            <family val="2"/>
          </rPr>
          <t>diemhang.nguyen@lge.com:</t>
        </r>
        <r>
          <rPr>
            <sz val="9"/>
            <color indexed="81"/>
            <rFont val="Tahoma"/>
            <family val="2"/>
          </rPr>
          <t xml:space="preserve">
2019 actual index</t>
        </r>
      </text>
    </comment>
    <comment ref="S5" authorId="0" shapeId="0">
      <text>
        <r>
          <rPr>
            <b/>
            <sz val="9"/>
            <color indexed="81"/>
            <rFont val="Tahoma"/>
            <family val="2"/>
          </rPr>
          <t>diemhang.nguyen@lge.com:</t>
        </r>
        <r>
          <rPr>
            <sz val="9"/>
            <color indexed="81"/>
            <rFont val="Tahoma"/>
            <family val="2"/>
          </rPr>
          <t xml:space="preserve">
Adjust target from Test Leader to Senior</t>
        </r>
      </text>
    </comment>
    <comment ref="AN11" authorId="1" shapeId="0">
      <text>
        <r>
          <rPr>
            <b/>
            <sz val="9"/>
            <color indexed="81"/>
            <rFont val="Tahoma"/>
            <family val="2"/>
          </rPr>
          <t>diemhang.nguyen:</t>
        </r>
        <r>
          <rPr>
            <sz val="9"/>
            <color indexed="81"/>
            <rFont val="Tahoma"/>
            <family val="2"/>
          </rPr>
          <t xml:space="preserve">
adjust to match goal on SSO (Total personal should be 25%)</t>
        </r>
      </text>
    </comment>
    <comment ref="AO11" authorId="1" shapeId="0">
      <text>
        <r>
          <rPr>
            <b/>
            <sz val="9"/>
            <color indexed="81"/>
            <rFont val="Tahoma"/>
            <family val="2"/>
          </rPr>
          <t>diemhang.nguyen:</t>
        </r>
        <r>
          <rPr>
            <sz val="9"/>
            <color indexed="81"/>
            <rFont val="Tahoma"/>
            <family val="2"/>
          </rPr>
          <t xml:space="preserve">
adjust to match goal on SSO (Total personal should be 25%)</t>
        </r>
      </text>
    </comment>
    <comment ref="E16" authorId="1" shapeId="0">
      <text>
        <r>
          <rPr>
            <b/>
            <sz val="9"/>
            <color indexed="81"/>
            <rFont val="Tahoma"/>
            <family val="2"/>
          </rPr>
          <t>diemhang.nguyen:</t>
        </r>
        <r>
          <rPr>
            <sz val="9"/>
            <color indexed="81"/>
            <rFont val="Tahoma"/>
            <family val="2"/>
          </rPr>
          <t xml:space="preserve">
ST project
</t>
        </r>
      </text>
    </comment>
    <comment ref="E17" authorId="1" shapeId="0">
      <text>
        <r>
          <rPr>
            <b/>
            <sz val="9"/>
            <color indexed="81"/>
            <rFont val="Tahoma"/>
            <family val="2"/>
          </rPr>
          <t>diemhang.nguyen:</t>
        </r>
        <r>
          <rPr>
            <sz val="9"/>
            <color indexed="81"/>
            <rFont val="Tahoma"/>
            <family val="2"/>
          </rPr>
          <t xml:space="preserve">
FIT &amp; SWQT project</t>
        </r>
      </text>
    </comment>
    <comment ref="E26" authorId="0" shapeId="0">
      <text>
        <r>
          <rPr>
            <b/>
            <sz val="9"/>
            <color indexed="81"/>
            <rFont val="Tahoma"/>
            <family val="2"/>
          </rPr>
          <t>diemhang.nguyen@lge.com:</t>
        </r>
        <r>
          <rPr>
            <sz val="9"/>
            <color indexed="81"/>
            <rFont val="Tahoma"/>
            <family val="2"/>
          </rPr>
          <t xml:space="preserve">
Apply for Type 4 project. If Type 1, devide to 3.1 and 3.2</t>
        </r>
      </text>
    </comment>
    <comment ref="BE29" authorId="1" shapeId="0">
      <text>
        <r>
          <rPr>
            <b/>
            <sz val="9"/>
            <color indexed="81"/>
            <rFont val="Tahoma"/>
            <family val="2"/>
          </rPr>
          <t>diemhang.nguyen:</t>
        </r>
        <r>
          <rPr>
            <sz val="9"/>
            <color indexed="81"/>
            <rFont val="Tahoma"/>
            <family val="2"/>
          </rPr>
          <t xml:space="preserve">
CA task</t>
        </r>
      </text>
    </comment>
    <comment ref="BO29" authorId="1" shapeId="0">
      <text>
        <r>
          <rPr>
            <b/>
            <sz val="9"/>
            <color indexed="81"/>
            <rFont val="Tahoma"/>
            <family val="2"/>
          </rPr>
          <t>diemhang.nguyen:</t>
        </r>
        <r>
          <rPr>
            <sz val="9"/>
            <color indexed="81"/>
            <rFont val="Tahoma"/>
            <family val="2"/>
          </rPr>
          <t xml:space="preserve">
Review handbook</t>
        </r>
      </text>
    </comment>
    <comment ref="E30" authorId="0" shapeId="0">
      <text>
        <r>
          <rPr>
            <b/>
            <sz val="9"/>
            <color indexed="81"/>
            <rFont val="Tahoma"/>
            <family val="2"/>
          </rPr>
          <t>diemhang.nguyen@lge.com:</t>
        </r>
        <r>
          <rPr>
            <sz val="9"/>
            <color indexed="81"/>
            <rFont val="Tahoma"/>
            <family val="2"/>
          </rPr>
          <t xml:space="preserve">
If passed, move % to other session of this Group</t>
        </r>
      </text>
    </comment>
    <comment ref="BO30" authorId="1" shapeId="0">
      <text>
        <r>
          <rPr>
            <b/>
            <sz val="9"/>
            <color indexed="81"/>
            <rFont val="Tahoma"/>
            <family val="2"/>
          </rPr>
          <t>diemhang.nguyen:</t>
        </r>
        <r>
          <rPr>
            <sz val="9"/>
            <color indexed="81"/>
            <rFont val="Tahoma"/>
            <family val="2"/>
          </rPr>
          <t xml:space="preserve">
80% passed foundation</t>
        </r>
      </text>
    </comment>
  </commentList>
</comments>
</file>

<file path=xl/comments4.xml><?xml version="1.0" encoding="utf-8"?>
<comments xmlns="http://schemas.openxmlformats.org/spreadsheetml/2006/main">
  <authors>
    <author>diemhang.nguyen@lge.com</author>
    <author>diemhang.nguyen</author>
  </authors>
  <commentList>
    <comment ref="F1" authorId="0" shapeId="0">
      <text>
        <r>
          <rPr>
            <b/>
            <sz val="9"/>
            <color indexed="81"/>
            <rFont val="Tahoma"/>
            <family val="2"/>
          </rPr>
          <t>diemhang.nguyen@lge.com:</t>
        </r>
        <r>
          <rPr>
            <sz val="9"/>
            <color indexed="81"/>
            <rFont val="Tahoma"/>
            <family val="2"/>
          </rPr>
          <t xml:space="preserve">
2019 target index</t>
        </r>
      </text>
    </comment>
    <comment ref="G1" authorId="0" shapeId="0">
      <text>
        <r>
          <rPr>
            <b/>
            <sz val="9"/>
            <color indexed="81"/>
            <rFont val="Tahoma"/>
            <family val="2"/>
          </rPr>
          <t>diemhang.nguyen@lge.com:</t>
        </r>
        <r>
          <rPr>
            <sz val="9"/>
            <color indexed="81"/>
            <rFont val="Tahoma"/>
            <family val="2"/>
          </rPr>
          <t xml:space="preserve">
2019 actual index</t>
        </r>
      </text>
    </comment>
    <comment ref="S5" authorId="0" shapeId="0">
      <text>
        <r>
          <rPr>
            <b/>
            <sz val="9"/>
            <color indexed="81"/>
            <rFont val="Tahoma"/>
            <family val="2"/>
          </rPr>
          <t>diemhang.nguyen@lge.com:</t>
        </r>
        <r>
          <rPr>
            <sz val="9"/>
            <color indexed="81"/>
            <rFont val="Tahoma"/>
            <family val="2"/>
          </rPr>
          <t xml:space="preserve">
Adjust target from Test Leader to Senior</t>
        </r>
      </text>
    </comment>
    <comment ref="AG10" authorId="1" shapeId="0">
      <text>
        <r>
          <rPr>
            <b/>
            <sz val="9"/>
            <color indexed="81"/>
            <rFont val="Tahoma"/>
            <family val="2"/>
          </rPr>
          <t>diemhang.nguyen:</t>
        </r>
        <r>
          <rPr>
            <sz val="9"/>
            <color indexed="81"/>
            <rFont val="Tahoma"/>
            <family val="2"/>
          </rPr>
          <t xml:space="preserve">
Don't have data?</t>
        </r>
      </text>
    </comment>
    <comment ref="E16" authorId="1" shapeId="0">
      <text>
        <r>
          <rPr>
            <b/>
            <sz val="9"/>
            <color indexed="81"/>
            <rFont val="Tahoma"/>
            <family val="2"/>
          </rPr>
          <t>diemhang.nguyen:</t>
        </r>
        <r>
          <rPr>
            <sz val="9"/>
            <color indexed="81"/>
            <rFont val="Tahoma"/>
            <family val="2"/>
          </rPr>
          <t xml:space="preserve">
ST project
</t>
        </r>
      </text>
    </comment>
    <comment ref="E17" authorId="1" shapeId="0">
      <text>
        <r>
          <rPr>
            <b/>
            <sz val="9"/>
            <color indexed="81"/>
            <rFont val="Tahoma"/>
            <family val="2"/>
          </rPr>
          <t>diemhang.nguyen:</t>
        </r>
        <r>
          <rPr>
            <sz val="9"/>
            <color indexed="81"/>
            <rFont val="Tahoma"/>
            <family val="2"/>
          </rPr>
          <t xml:space="preserve">
FIT &amp; SWQT project</t>
        </r>
      </text>
    </comment>
    <comment ref="E28" authorId="0" shapeId="0">
      <text>
        <r>
          <rPr>
            <b/>
            <sz val="9"/>
            <color indexed="81"/>
            <rFont val="Tahoma"/>
            <family val="2"/>
          </rPr>
          <t>diemhang.nguyen@lge.com:</t>
        </r>
        <r>
          <rPr>
            <sz val="9"/>
            <color indexed="81"/>
            <rFont val="Tahoma"/>
            <family val="2"/>
          </rPr>
          <t xml:space="preserve">
Apply for Type 4 project. If Type 1, devide to 3.1 and 3.2</t>
        </r>
      </text>
    </comment>
    <comment ref="E30" authorId="0" shapeId="0">
      <text>
        <r>
          <rPr>
            <b/>
            <sz val="9"/>
            <color indexed="81"/>
            <rFont val="Tahoma"/>
            <family val="2"/>
          </rPr>
          <t>diemhang.nguyen@lge.com:</t>
        </r>
        <r>
          <rPr>
            <sz val="9"/>
            <color indexed="81"/>
            <rFont val="Tahoma"/>
            <family val="2"/>
          </rPr>
          <t xml:space="preserve">
If passed, move % to other session of this Group</t>
        </r>
      </text>
    </comment>
  </commentList>
</comments>
</file>

<file path=xl/comments5.xml><?xml version="1.0" encoding="utf-8"?>
<comments xmlns="http://schemas.openxmlformats.org/spreadsheetml/2006/main">
  <authors>
    <author>diemhang.nguyen@lge.com</author>
    <author>diemhang.nguyen</author>
  </authors>
  <commentList>
    <comment ref="F1" authorId="0" shapeId="0">
      <text>
        <r>
          <rPr>
            <b/>
            <sz val="9"/>
            <color indexed="81"/>
            <rFont val="Tahoma"/>
            <family val="2"/>
          </rPr>
          <t>diemhang.nguyen@lge.com:</t>
        </r>
        <r>
          <rPr>
            <sz val="9"/>
            <color indexed="81"/>
            <rFont val="Tahoma"/>
            <family val="2"/>
          </rPr>
          <t xml:space="preserve">
2019 target index</t>
        </r>
      </text>
    </comment>
    <comment ref="G1" authorId="0" shapeId="0">
      <text>
        <r>
          <rPr>
            <b/>
            <sz val="9"/>
            <color indexed="81"/>
            <rFont val="Tahoma"/>
            <family val="2"/>
          </rPr>
          <t>diemhang.nguyen@lge.com:</t>
        </r>
        <r>
          <rPr>
            <sz val="9"/>
            <color indexed="81"/>
            <rFont val="Tahoma"/>
            <family val="2"/>
          </rPr>
          <t xml:space="preserve">
2019 actual index</t>
        </r>
      </text>
    </comment>
    <comment ref="E16" authorId="1" shapeId="0">
      <text>
        <r>
          <rPr>
            <b/>
            <sz val="9"/>
            <color indexed="81"/>
            <rFont val="Tahoma"/>
            <family val="2"/>
          </rPr>
          <t>diemhang.nguyen:</t>
        </r>
        <r>
          <rPr>
            <sz val="9"/>
            <color indexed="81"/>
            <rFont val="Tahoma"/>
            <family val="2"/>
          </rPr>
          <t xml:space="preserve">
ST project
</t>
        </r>
      </text>
    </comment>
    <comment ref="E17" authorId="1" shapeId="0">
      <text>
        <r>
          <rPr>
            <b/>
            <sz val="9"/>
            <color indexed="81"/>
            <rFont val="Tahoma"/>
            <family val="2"/>
          </rPr>
          <t>diemhang.nguyen:</t>
        </r>
        <r>
          <rPr>
            <sz val="9"/>
            <color indexed="81"/>
            <rFont val="Tahoma"/>
            <family val="2"/>
          </rPr>
          <t xml:space="preserve">
FIT &amp; SWQT project</t>
        </r>
      </text>
    </comment>
    <comment ref="E28" authorId="0" shapeId="0">
      <text>
        <r>
          <rPr>
            <b/>
            <sz val="9"/>
            <color indexed="81"/>
            <rFont val="Tahoma"/>
            <family val="2"/>
          </rPr>
          <t>diemhang.nguyen@lge.com:</t>
        </r>
        <r>
          <rPr>
            <sz val="9"/>
            <color indexed="81"/>
            <rFont val="Tahoma"/>
            <family val="2"/>
          </rPr>
          <t xml:space="preserve">
Apply for Type 4 project. If Type 1, devide to 3.1 and 3.2</t>
        </r>
      </text>
    </comment>
    <comment ref="E30" authorId="0" shapeId="0">
      <text>
        <r>
          <rPr>
            <b/>
            <sz val="9"/>
            <color indexed="81"/>
            <rFont val="Tahoma"/>
            <family val="2"/>
          </rPr>
          <t>diemhang.nguyen@lge.com:</t>
        </r>
        <r>
          <rPr>
            <sz val="9"/>
            <color indexed="81"/>
            <rFont val="Tahoma"/>
            <family val="2"/>
          </rPr>
          <t xml:space="preserve">
If passed, move % to other session of this Group</t>
        </r>
      </text>
    </comment>
  </commentList>
</comments>
</file>

<file path=xl/comments6.xml><?xml version="1.0" encoding="utf-8"?>
<comments xmlns="http://schemas.openxmlformats.org/spreadsheetml/2006/main">
  <authors>
    <author>diemhang.nguyen@lge.com</author>
    <author>diemhang.nguyen</author>
  </authors>
  <commentList>
    <comment ref="F1" authorId="0" shapeId="0">
      <text>
        <r>
          <rPr>
            <b/>
            <sz val="9"/>
            <color indexed="81"/>
            <rFont val="Tahoma"/>
            <family val="2"/>
          </rPr>
          <t>diemhang.nguyen@lge.com:</t>
        </r>
        <r>
          <rPr>
            <sz val="9"/>
            <color indexed="81"/>
            <rFont val="Tahoma"/>
            <family val="2"/>
          </rPr>
          <t xml:space="preserve">
2019 target index</t>
        </r>
      </text>
    </comment>
    <comment ref="G1" authorId="0" shapeId="0">
      <text>
        <r>
          <rPr>
            <b/>
            <sz val="9"/>
            <color indexed="81"/>
            <rFont val="Tahoma"/>
            <family val="2"/>
          </rPr>
          <t>diemhang.nguyen@lge.com:</t>
        </r>
        <r>
          <rPr>
            <sz val="9"/>
            <color indexed="81"/>
            <rFont val="Tahoma"/>
            <family val="2"/>
          </rPr>
          <t xml:space="preserve">
2019 actual index</t>
        </r>
      </text>
    </comment>
    <comment ref="E16" authorId="1" shapeId="0">
      <text>
        <r>
          <rPr>
            <b/>
            <sz val="9"/>
            <color indexed="81"/>
            <rFont val="Tahoma"/>
            <family val="2"/>
          </rPr>
          <t>diemhang.nguyen:</t>
        </r>
        <r>
          <rPr>
            <sz val="9"/>
            <color indexed="81"/>
            <rFont val="Tahoma"/>
            <family val="2"/>
          </rPr>
          <t xml:space="preserve">
ST project
</t>
        </r>
      </text>
    </comment>
    <comment ref="E17" authorId="1" shapeId="0">
      <text>
        <r>
          <rPr>
            <b/>
            <sz val="9"/>
            <color indexed="81"/>
            <rFont val="Tahoma"/>
            <family val="2"/>
          </rPr>
          <t>diemhang.nguyen:</t>
        </r>
        <r>
          <rPr>
            <sz val="9"/>
            <color indexed="81"/>
            <rFont val="Tahoma"/>
            <family val="2"/>
          </rPr>
          <t xml:space="preserve">
FIT &amp; SWQT project</t>
        </r>
      </text>
    </comment>
    <comment ref="E28" authorId="0" shapeId="0">
      <text>
        <r>
          <rPr>
            <b/>
            <sz val="9"/>
            <color indexed="81"/>
            <rFont val="Tahoma"/>
            <family val="2"/>
          </rPr>
          <t>diemhang.nguyen@lge.com:</t>
        </r>
        <r>
          <rPr>
            <sz val="9"/>
            <color indexed="81"/>
            <rFont val="Tahoma"/>
            <family val="2"/>
          </rPr>
          <t xml:space="preserve">
Apply for Type 4 project. If Type 1, devide to 3.1 and 3.2</t>
        </r>
      </text>
    </comment>
    <comment ref="E30" authorId="0" shapeId="0">
      <text>
        <r>
          <rPr>
            <b/>
            <sz val="9"/>
            <color indexed="81"/>
            <rFont val="Tahoma"/>
            <family val="2"/>
          </rPr>
          <t>diemhang.nguyen@lge.com:</t>
        </r>
        <r>
          <rPr>
            <sz val="9"/>
            <color indexed="81"/>
            <rFont val="Tahoma"/>
            <family val="2"/>
          </rPr>
          <t xml:space="preserve">
If passed, move % to other session of this Group</t>
        </r>
      </text>
    </comment>
  </commentList>
</comments>
</file>

<file path=xl/sharedStrings.xml><?xml version="1.0" encoding="utf-8"?>
<sst xmlns="http://schemas.openxmlformats.org/spreadsheetml/2006/main" count="3951" uniqueCount="1100">
  <si>
    <t>No.</t>
  </si>
  <si>
    <t>Target</t>
  </si>
  <si>
    <t>Remark</t>
  </si>
  <si>
    <t>Number of  test cases executed per day</t>
  </si>
  <si>
    <t>Peer review TC productivity</t>
  </si>
  <si>
    <t>Number of peer reviewed test cases executed per day</t>
  </si>
  <si>
    <t>Sampling review TCs</t>
  </si>
  <si>
    <t>Number of  Sampling reviewed test cases executed per day</t>
  </si>
  <si>
    <t>Jan</t>
  </si>
  <si>
    <t>Feb</t>
  </si>
  <si>
    <t>Mar</t>
  </si>
  <si>
    <t>Apr</t>
  </si>
  <si>
    <t>May</t>
  </si>
  <si>
    <t>Jun</t>
  </si>
  <si>
    <t>Aug</t>
  </si>
  <si>
    <t>Sep</t>
  </si>
  <si>
    <t>Oct</t>
  </si>
  <si>
    <t>Nov</t>
  </si>
  <si>
    <t>Dec</t>
  </si>
  <si>
    <t>[VW-MIB3_AVN]</t>
  </si>
  <si>
    <t>Manual test_Focused productivity</t>
  </si>
  <si>
    <t>Manual test_Overall productivity</t>
  </si>
  <si>
    <t>Working day standard</t>
  </si>
  <si>
    <t>Create TCs Focused productivity</t>
  </si>
  <si>
    <t>Create TCs Overall productivity</t>
  </si>
  <si>
    <t>Update TC productivity</t>
  </si>
  <si>
    <t>Number of updated test cases per day</t>
  </si>
  <si>
    <t>Cross review executed TC productivity</t>
  </si>
  <si>
    <t>Number of Cross review executed TC per day</t>
  </si>
  <si>
    <t>Turnover rate</t>
  </si>
  <si>
    <t>Project Name</t>
  </si>
  <si>
    <t>July</t>
  </si>
  <si>
    <t>Company</t>
  </si>
  <si>
    <t>Vietnam(DCV)</t>
  </si>
  <si>
    <t>Common</t>
  </si>
  <si>
    <t>Productivity</t>
  </si>
  <si>
    <t>Item</t>
  </si>
  <si>
    <t>KPI Target by Project</t>
  </si>
  <si>
    <t>Peer review comment rate</t>
  </si>
  <si>
    <t>Sampling review test result comment rate</t>
  </si>
  <si>
    <t>Sampling review TC comment rate</t>
  </si>
  <si>
    <t>Sampling review rate</t>
  </si>
  <si>
    <t>Invalid bug rate</t>
  </si>
  <si>
    <t>Not A Bug rate</t>
  </si>
  <si>
    <t>Member Name</t>
  </si>
  <si>
    <t>Project Label</t>
  </si>
  <si>
    <t>Defect coverage</t>
  </si>
  <si>
    <t>HQ Comment rate</t>
  </si>
  <si>
    <t>On time delivery</t>
  </si>
  <si>
    <t>English skill</t>
  </si>
  <si>
    <t>Communication/Iteamwork skill</t>
  </si>
  <si>
    <t>Problem solving/decision making</t>
  </si>
  <si>
    <t>Responsibility</t>
  </si>
  <si>
    <t>ISTQB</t>
  </si>
  <si>
    <t>Handbook exam</t>
  </si>
  <si>
    <t>Team contribution (V-Task)</t>
  </si>
  <si>
    <t>Part</t>
  </si>
  <si>
    <t>Score</t>
  </si>
  <si>
    <t>nhung2.hoang@lge.com</t>
  </si>
  <si>
    <t>cuong.tran@lge.com</t>
  </si>
  <si>
    <t>bich2.do@lge.com</t>
  </si>
  <si>
    <t>hoangphong.nguyen@lge.com</t>
  </si>
  <si>
    <t>thuynga.nguyen@lge.com</t>
  </si>
  <si>
    <t>anh.to@lge.com</t>
  </si>
  <si>
    <t>trang2.le@lge.com</t>
  </si>
  <si>
    <t>thao.dang@lge.com</t>
  </si>
  <si>
    <t>quyen.nguyen@lge.com</t>
  </si>
  <si>
    <t>kimoanh.nguyen@lge.com</t>
  </si>
  <si>
    <t>nguyet2.nguyen@lge.com</t>
  </si>
  <si>
    <t>thuy1.le@lge.com</t>
  </si>
  <si>
    <t>thuy2.pham@lge.com</t>
  </si>
  <si>
    <t>lan.hoang@lge.com</t>
  </si>
  <si>
    <t>phuong1.nguyen@lge.com</t>
  </si>
  <si>
    <t>y.vu@lge.com</t>
  </si>
  <si>
    <t>lan.nguyen@lge.com</t>
  </si>
  <si>
    <t>Tran Manh Cuong</t>
  </si>
  <si>
    <t>Nguyen Minh Quyen</t>
  </si>
  <si>
    <t>Nguyen Thi Nguyet</t>
  </si>
  <si>
    <t>Nguyen Thi Lan</t>
  </si>
  <si>
    <t>Vu Thi Y</t>
  </si>
  <si>
    <t>Pham Thi Thuy</t>
  </si>
  <si>
    <t>Do Thi Ngoc Bich</t>
  </si>
  <si>
    <t>Nguyen Thi Phuong</t>
  </si>
  <si>
    <t>Le Thi Trang</t>
  </si>
  <si>
    <t>Nguyen Kim Oanh</t>
  </si>
  <si>
    <t>Dang Phuong Thao</t>
  </si>
  <si>
    <t>Le Thu Thuy</t>
  </si>
  <si>
    <t>Nguyen Thuy Nga</t>
  </si>
  <si>
    <t>Nguyen Hoang Phong</t>
  </si>
  <si>
    <t>Hoang Thi Lan</t>
  </si>
  <si>
    <t>To Thi Van Anh</t>
  </si>
  <si>
    <t>Hoang Thi Nhung</t>
  </si>
  <si>
    <t>Cuong.tran@lge.com</t>
  </si>
  <si>
    <t>Thuy1.le@lge.com</t>
  </si>
  <si>
    <t>Lan.nguyen@lge.com</t>
  </si>
  <si>
    <t>Trang2.le@lge.com</t>
  </si>
  <si>
    <t>Phuong1.nguyen@lge.com</t>
  </si>
  <si>
    <t>Lan.hoang@lge.com</t>
  </si>
  <si>
    <t>Kimoanh.nguyen@lge.com</t>
  </si>
  <si>
    <t>Name of evaluee</t>
  </si>
  <si>
    <t>Access code</t>
  </si>
  <si>
    <t xml:space="preserve">Link </t>
  </si>
  <si>
    <t>Name of evaluator</t>
  </si>
  <si>
    <t>Evaluator's Email</t>
  </si>
  <si>
    <t>Evaluator Role</t>
  </si>
  <si>
    <t>Picked by</t>
  </si>
  <si>
    <t>ANH TO</t>
  </si>
  <si>
    <t>vt2_anhtovan</t>
  </si>
  <si>
    <t>https://www.ksvpro.vn/c/vt2-VAnh.html</t>
  </si>
  <si>
    <t>Same Project</t>
  </si>
  <si>
    <t>Evaluee</t>
  </si>
  <si>
    <t>BICH DO</t>
  </si>
  <si>
    <t>vt2_bngocdo</t>
  </si>
  <si>
    <t>https://www.ksvpro.vn/c/vt2_bichdo.html</t>
  </si>
  <si>
    <t>Diff Project</t>
  </si>
  <si>
    <t>CUONG TRAN</t>
  </si>
  <si>
    <t>vt2_cgmanh</t>
  </si>
  <si>
    <t>https://www.ksvpro.vn/c/cuongtran.html</t>
  </si>
  <si>
    <t>LAN HOANG</t>
  </si>
  <si>
    <t>vt2_lanh</t>
  </si>
  <si>
    <t>https://www.ksvpro.vn/c/lanhoang.html</t>
  </si>
  <si>
    <t>LAN NGUYEN</t>
  </si>
  <si>
    <t>vt2</t>
  </si>
  <si>
    <t>vt2_lanng</t>
  </si>
  <si>
    <t>NGA THUY NGUYEN</t>
  </si>
  <si>
    <t>NGUYET NGUYEN</t>
  </si>
  <si>
    <t>NHUNG HOANG</t>
  </si>
  <si>
    <t>OANH NGUYEN</t>
  </si>
  <si>
    <t>Thuy2.pham@lge.com</t>
  </si>
  <si>
    <t>PHONG NGUYEN</t>
  </si>
  <si>
    <t>Nguyen Thuy Vi</t>
  </si>
  <si>
    <t>vi2.nguyen@lge.com</t>
  </si>
  <si>
    <t>PHUC TRUONG</t>
  </si>
  <si>
    <t>PHUONG NGUYEN</t>
  </si>
  <si>
    <t>QUYEN NGUYEN</t>
  </si>
  <si>
    <t>THAO DANG</t>
  </si>
  <si>
    <t>LE THU THUY</t>
  </si>
  <si>
    <t>Thuynga.nguyen@lge.com</t>
  </si>
  <si>
    <t>THUY PHAM</t>
  </si>
  <si>
    <t>TRANG LE</t>
  </si>
  <si>
    <t>Y VU</t>
  </si>
  <si>
    <t>Test Leader</t>
  </si>
  <si>
    <t xml:space="preserve">Thuy2.pham@lge.com </t>
  </si>
  <si>
    <t>Anh.to@lge.com</t>
  </si>
  <si>
    <t>Part Leader</t>
  </si>
  <si>
    <t>Actual</t>
  </si>
  <si>
    <t>Quality</t>
  </si>
  <si>
    <t>% scale</t>
  </si>
  <si>
    <t>Mark scale</t>
  </si>
  <si>
    <t>Min</t>
  </si>
  <si>
    <t>Max</t>
  </si>
  <si>
    <t>Final Performance</t>
  </si>
  <si>
    <t>%Passed</t>
  </si>
  <si>
    <t># Actual=Target</t>
  </si>
  <si>
    <t># Actual&gt;Target (&lt;=10%)</t>
  </si>
  <si>
    <t># Actual&gt;Target (&gt;10% &lt;= 20%)</t>
  </si>
  <si>
    <t># Actual&gt;Target (&gt;20  &lt;= 30%)</t>
  </si>
  <si>
    <t># Actual&gt;Target (30%)</t>
  </si>
  <si>
    <t># Failed (&gt;30%)</t>
  </si>
  <si>
    <t>Task type</t>
  </si>
  <si>
    <t>Deviation</t>
  </si>
  <si>
    <t>*Removed Test Leader</t>
  </si>
  <si>
    <t>No. Activity</t>
  </si>
  <si>
    <t>Weight</t>
  </si>
  <si>
    <t>Activities</t>
  </si>
  <si>
    <t># Failed (&lt;=10%)</t>
  </si>
  <si>
    <t># Failed (&gt;10 &lt;=30%)</t>
  </si>
  <si>
    <t>Task Type Category</t>
  </si>
  <si>
    <r>
      <t xml:space="preserve">Explaination </t>
    </r>
    <r>
      <rPr>
        <sz val="11"/>
        <color theme="1"/>
        <rFont val="Calibri"/>
        <family val="2"/>
        <scheme val="minor"/>
      </rPr>
      <t>(if any)</t>
    </r>
  </si>
  <si>
    <t xml:space="preserve">Number of test cases created per day ( exclude investigate, peer review and update test case) </t>
  </si>
  <si>
    <t>SW Coverage</t>
  </si>
  <si>
    <t>Sampling review TCs productivity</t>
  </si>
  <si>
    <t>Sampling review TC rate</t>
  </si>
  <si>
    <t>Sampling test result rate</t>
  </si>
  <si>
    <t>Defect comments rate</t>
  </si>
  <si>
    <t>Test result comments rate</t>
  </si>
  <si>
    <t>Number of sampling reviewed TC/ Total TC</t>
  </si>
  <si>
    <t>Number of sampling reviewed test result/ Total executed TC</t>
  </si>
  <si>
    <t>Column Index</t>
  </si>
  <si>
    <t>Test Leader's Project Productivity</t>
  </si>
  <si>
    <t>TL_P_Sampling review TCs productivity</t>
  </si>
  <si>
    <t>Ontime Delivery</t>
  </si>
  <si>
    <t>Apply to VT team</t>
  </si>
  <si>
    <t>Team contribution (V-Task): Ontime Delivery</t>
  </si>
  <si>
    <t>Team contribution (V-Task): Apply to VT</t>
  </si>
  <si>
    <t>Test Leader's productivity</t>
  </si>
  <si>
    <t>Sampling review test result productivity</t>
  </si>
  <si>
    <t>Second Project</t>
  </si>
  <si>
    <t>TL_P_Sampling review test result productivity</t>
  </si>
  <si>
    <t>Second project</t>
  </si>
  <si>
    <t>Others (IT/Security/GA…)</t>
  </si>
  <si>
    <t>Monitor turn off electrical status</t>
  </si>
  <si>
    <t>Support VLM system</t>
  </si>
  <si>
    <t>Create and manage ACC lgepartner</t>
  </si>
  <si>
    <t>Create and update IT guideline documents</t>
  </si>
  <si>
    <t>Exact Score</t>
  </si>
  <si>
    <t>Round_up(Score)</t>
  </si>
  <si>
    <t xml:space="preserve">Members pass ISTQB foundation certificate </t>
  </si>
  <si>
    <t>Training for new member</t>
  </si>
  <si>
    <t>Support HR and GA, Labor task</t>
  </si>
  <si>
    <t>Record</t>
  </si>
  <si>
    <t>Work responsibility</t>
  </si>
  <si>
    <t>Problem solving</t>
  </si>
  <si>
    <t>Teamwork &amp; contribution for company</t>
  </si>
  <si>
    <t>Diff</t>
  </si>
  <si>
    <t>How does he/she attend group meetings regularly and arrives on time and well prepared</t>
  </si>
  <si>
    <t>How does he/she ready to contribute meaningful to discussions and team work</t>
  </si>
  <si>
    <t>How does he/she complete group assignments on time</t>
  </si>
  <si>
    <t>How does he/she prepare work in a quality manner</t>
  </si>
  <si>
    <t>How does he/she demonstrate a cooperative and supportive attitude</t>
  </si>
  <si>
    <t>How does he/she contribute significantly to the success of the project</t>
  </si>
  <si>
    <t>Final Mark</t>
  </si>
  <si>
    <t xml:space="preserve"> How important are his/her contributions to the team's work</t>
  </si>
  <si>
    <t>Competitive productivity</t>
  </si>
  <si>
    <t>SW Test Coverage</t>
  </si>
  <si>
    <t>First Project</t>
  </si>
  <si>
    <t>Member Data</t>
  </si>
  <si>
    <t>ST AVN</t>
  </si>
  <si>
    <t>Junior</t>
  </si>
  <si>
    <t>Senior</t>
  </si>
  <si>
    <t>Group</t>
  </si>
  <si>
    <t>Type</t>
  </si>
  <si>
    <t>Goal Name</t>
  </si>
  <si>
    <t>KPI Name</t>
  </si>
  <si>
    <t>2018' VT average</t>
  </si>
  <si>
    <t>2019' Project Target</t>
  </si>
  <si>
    <t>2019' Project Actual</t>
  </si>
  <si>
    <t>weight</t>
  </si>
  <si>
    <t>Commited weight</t>
  </si>
  <si>
    <t>Commited data</t>
  </si>
  <si>
    <t>Actual data</t>
  </si>
  <si>
    <t>Personal</t>
  </si>
  <si>
    <t>1.1 Writing TC performance</t>
  </si>
  <si>
    <t>1.2 Test execution performance</t>
  </si>
  <si>
    <t>2.1 Writing TC quality</t>
  </si>
  <si>
    <t>Sampling Review TC Rate</t>
  </si>
  <si>
    <t>2.2 Test quality</t>
  </si>
  <si>
    <t>Software Test Coverage</t>
  </si>
  <si>
    <t>Project</t>
  </si>
  <si>
    <t>Delivery</t>
  </si>
  <si>
    <t>2.3 Delivery on-time</t>
  </si>
  <si>
    <t>3.1. Writing TC performance</t>
  </si>
  <si>
    <t>Project_Create TCs productivity</t>
  </si>
  <si>
    <t>3.2 Test execution performance</t>
  </si>
  <si>
    <t>Project_Manual test productivity</t>
  </si>
  <si>
    <t xml:space="preserve">3.3 Test quality </t>
  </si>
  <si>
    <t>Project_Software Test Coverage</t>
  </si>
  <si>
    <t>Project_Invalid bug rate</t>
  </si>
  <si>
    <t>Work Effeciency</t>
  </si>
  <si>
    <t>3.4 Work Effeciency</t>
  </si>
  <si>
    <t>DCV TC Coverage</t>
  </si>
  <si>
    <t>Other</t>
  </si>
  <si>
    <t>Team contribution (V-Task/Extra Task such as GA/CA/IT...)</t>
  </si>
  <si>
    <t>4.1/4/2…</t>
  </si>
  <si>
    <t>Team contribution</t>
  </si>
  <si>
    <t>5.2 ISTQB</t>
  </si>
  <si>
    <t>5.3 Handbook exam</t>
  </si>
  <si>
    <t>360 Degree</t>
  </si>
  <si>
    <t xml:space="preserve">6.1 Work Responsibility </t>
  </si>
  <si>
    <t xml:space="preserve">Work Responsibility </t>
  </si>
  <si>
    <t>6.2 Problem Solving</t>
  </si>
  <si>
    <t>Problem Solving</t>
  </si>
  <si>
    <t>6.3 Team Work and Company Contribution</t>
  </si>
  <si>
    <t>Team Work and Company Contribution</t>
  </si>
  <si>
    <t>N/A</t>
  </si>
  <si>
    <t>Have contribution activity, ontime delivery</t>
  </si>
  <si>
    <t>85% passed foundation</t>
  </si>
  <si>
    <t>80% Passed in the 1st round</t>
  </si>
  <si>
    <t/>
  </si>
  <si>
    <t>Defect Comment Rate</t>
  </si>
  <si>
    <t>360 Degree Review</t>
  </si>
  <si>
    <t>Other supporting activities</t>
  </si>
  <si>
    <t>I -</t>
  </si>
  <si>
    <t>Document Information</t>
  </si>
  <si>
    <t>Issuing authority</t>
    <phoneticPr fontId="0" type="noConversion"/>
  </si>
  <si>
    <t>Purpose</t>
  </si>
  <si>
    <t>Status of document</t>
    <phoneticPr fontId="0" type="noConversion"/>
  </si>
  <si>
    <r>
      <rPr>
        <b/>
        <sz val="10"/>
        <color theme="1"/>
        <rFont val="Arial"/>
        <family val="2"/>
      </rPr>
      <t>Making</t>
    </r>
    <r>
      <rPr>
        <sz val="10"/>
        <color theme="1"/>
        <rFont val="Arial"/>
        <family val="2"/>
      </rPr>
      <t>/ Approved / Released</t>
    </r>
  </si>
  <si>
    <t>II -</t>
  </si>
  <si>
    <t>Revision History</t>
  </si>
  <si>
    <t>Verion</t>
  </si>
  <si>
    <t>Date</t>
  </si>
  <si>
    <t>Comment</t>
  </si>
  <si>
    <t>Author</t>
  </si>
  <si>
    <t>v1.1</t>
  </si>
  <si>
    <r>
      <rPr>
        <b/>
        <i/>
        <u/>
        <sz val="10"/>
        <color indexed="8"/>
        <rFont val="Arial"/>
        <family val="2"/>
      </rPr>
      <t xml:space="preserve">NOTICE: </t>
    </r>
    <r>
      <rPr>
        <i/>
        <sz val="10"/>
        <color indexed="8"/>
        <rFont val="Arial"/>
        <family val="2"/>
      </rPr>
      <t xml:space="preserve">
Information contained in this document is classified LG Confidential Proprietary. No person outside the LG Group shall have access to the information contained in this document unless business needs dictate, otherwise. It is the responsibility of the person knowing the information contained in this document to ensure confidentiality of information contained in it and preventing unauthorized access to this document at all times.</t>
    </r>
  </si>
  <si>
    <t>diemhang.nguyen</t>
  </si>
  <si>
    <t>Initial version</t>
  </si>
  <si>
    <t>v2.0</t>
  </si>
  <si>
    <t>Update for 2019 KPI indexes</t>
  </si>
  <si>
    <t>Evaluation Calculation Fomular</t>
  </si>
  <si>
    <t>- Manage member Goals (KPI indexes, weight)
- Manage actual data
- Using fomular for checking final perfomence of the year for member</t>
  </si>
  <si>
    <t>Personal Manual test productivity (Overall)</t>
  </si>
  <si>
    <t>Create TCs productivity (Overall)</t>
  </si>
  <si>
    <t>Project Manual test productivity (Overall)</t>
  </si>
  <si>
    <t>Process Compliance &amp;  Outcome Quality Score</t>
  </si>
  <si>
    <t>Project Index_Leader</t>
  </si>
  <si>
    <t>True Defect Rate</t>
  </si>
  <si>
    <t>CBL Score Incremental Rate</t>
  </si>
  <si>
    <t>3.3.1 Test quality</t>
  </si>
  <si>
    <t>3.5.Process Compliance</t>
  </si>
  <si>
    <t>Project Create TC productivity (Overall)</t>
  </si>
  <si>
    <t>DCV_VT2_Part3</t>
  </si>
  <si>
    <t>IVI DCV - Validation Team 2 - Part3</t>
  </si>
  <si>
    <t>[Radio_Precertification]</t>
  </si>
  <si>
    <t>[Cluster_FCT]</t>
  </si>
  <si>
    <t>[Bluetooth_Wifi]</t>
  </si>
  <si>
    <t>[FCT_AACPML]</t>
  </si>
  <si>
    <t>[FCT_Update]</t>
  </si>
  <si>
    <t>ANH THI VAN TO anh.to</t>
  </si>
  <si>
    <t>ANH THI VAN TRAN anh2.tran</t>
  </si>
  <si>
    <t>HUYEN THU NGUYEN huyen2.nguyen</t>
  </si>
  <si>
    <t>MAI THI PHUONG LE mai.le</t>
  </si>
  <si>
    <t>CHINH THI HA TRAN chinh.tran</t>
  </si>
  <si>
    <t>PHUONG THI NGUYEN phuong1.nguyen</t>
  </si>
  <si>
    <t>NA THI THANH NGUYEN thanhna.nguyen</t>
  </si>
  <si>
    <t>THANH DINH NGUYEN thanh5.nguyen</t>
  </si>
  <si>
    <t>KHANH THI MAI HA khanh.ha</t>
  </si>
  <si>
    <t>HIEN THI TRAN hien.tran</t>
  </si>
  <si>
    <t>CUONG KHANH TRUONG cuong.truong</t>
  </si>
  <si>
    <t>THUY BICH DANG thuy1.dang</t>
  </si>
  <si>
    <t>DUONG VAN NGUYEN duong4.nguyen</t>
  </si>
  <si>
    <t>SWT AVN</t>
  </si>
  <si>
    <t>2020' Project Actual</t>
  </si>
  <si>
    <t>2020' Project Target</t>
  </si>
  <si>
    <t>2019' VT average</t>
  </si>
  <si>
    <t>Anh Tran</t>
  </si>
  <si>
    <t>Huyen Nguyen</t>
  </si>
  <si>
    <t>Mai Le</t>
  </si>
  <si>
    <t>Anh To</t>
  </si>
  <si>
    <t>Hien Tran</t>
  </si>
  <si>
    <t>Khanh Ha</t>
  </si>
  <si>
    <t>Na Nguyen</t>
  </si>
  <si>
    <t>Chinh Tran</t>
  </si>
  <si>
    <t>Phuong Nguyen</t>
  </si>
  <si>
    <t>Cuong Truong</t>
  </si>
  <si>
    <t>Thuy Dang</t>
  </si>
  <si>
    <t>Duong Nguyen</t>
  </si>
  <si>
    <t>Thanh Nguyen</t>
  </si>
  <si>
    <t>English</t>
  </si>
  <si>
    <t>RADIO</t>
  </si>
  <si>
    <t>BTWIFI</t>
  </si>
  <si>
    <t>Cluster</t>
  </si>
  <si>
    <t>AACP</t>
  </si>
  <si>
    <t>UPDATE</t>
  </si>
  <si>
    <t>Official coverage: 5%</t>
  </si>
  <si>
    <t>Pass rate coverage 5%</t>
  </si>
  <si>
    <t xml:space="preserve">Na Nguyen </t>
  </si>
  <si>
    <t>1% pass rate</t>
  </si>
  <si>
    <t>Third Project</t>
  </si>
  <si>
    <t>Na</t>
  </si>
  <si>
    <t>Phuong</t>
  </si>
  <si>
    <t>Chinh</t>
  </si>
  <si>
    <t>Cuong</t>
  </si>
  <si>
    <t>project 1</t>
  </si>
  <si>
    <t>project 3</t>
  </si>
  <si>
    <t>project 4</t>
  </si>
  <si>
    <t>project 2</t>
  </si>
  <si>
    <t>English Skill</t>
  </si>
  <si>
    <t>Forth Project</t>
  </si>
  <si>
    <t>ISTQB_xxx</t>
  </si>
  <si>
    <t>e</t>
  </si>
  <si>
    <t>c</t>
  </si>
  <si>
    <r>
      <t> </t>
    </r>
    <r>
      <rPr>
        <sz val="11"/>
        <color rgb="FF1F497D"/>
        <rFont val="Calibri"/>
        <family val="2"/>
      </rPr>
      <t>4</t>
    </r>
  </si>
  <si>
    <t> 4</t>
  </si>
  <si>
    <t> 3</t>
  </si>
  <si>
    <t>Name</t>
  </si>
  <si>
    <t>Test leader input</t>
  </si>
  <si>
    <t>Score from 1 ~5:While facing with problem, he/she does not ignore it and willing to look for different multiple solutions /ideas:Problem Solving Capability</t>
  </si>
  <si>
    <t>Score from 1 ~5:While facing with problem he/she tries to investigate root cause before asking for support:Problem Solving Capability</t>
  </si>
  <si>
    <t>Score from 1 ~5:After solving problem, he/she has plan to prevent the same problem in the future:Problem Solving Capability</t>
  </si>
  <si>
    <t>Final mark</t>
  </si>
  <si>
    <t>Score from 1 ~5:How does he/she contribute for sharing technical knowledge for others effectively:Teamwork &amp; contribution for company</t>
  </si>
  <si>
    <t>Score from 1 ~5:How enthusiastic does he/she in join common company activities:Teamwork &amp; contribution for company</t>
  </si>
  <si>
    <t>Score from 1 ~5:How does he/she give out idea (creative and can apply to practical work):Teamwork &amp; contribution for company</t>
  </si>
  <si>
    <t>Score from 1 ~5:How does he/she listen to the suggestions of others ( respectfully and open minded, willing to consider other approaches):Teamwork &amp; contribution for company</t>
  </si>
  <si>
    <t>Score from 1 ~5:How enthusiatically does he/she support other members (not only internal team/project but whole company):Teamwork &amp; contribution for company</t>
  </si>
  <si>
    <t>Score from 1 ~5:How friendly does he/she treat with other members:Teamwork &amp; contribution for company</t>
  </si>
  <si>
    <t>Bui Thi Quynh Nga</t>
  </si>
  <si>
    <t>Chu Gia Khanh Toan</t>
  </si>
  <si>
    <t>DANG BICH THUY</t>
  </si>
  <si>
    <t>Dien Kim Thoa</t>
  </si>
  <si>
    <t>Dinh Ngoc Hien</t>
  </si>
  <si>
    <t>Do Thi Hong Nhung</t>
  </si>
  <si>
    <t>Do Thi Hue</t>
  </si>
  <si>
    <t>HA THI MAI KHANH</t>
  </si>
  <si>
    <t>Hoang Hong Nhung</t>
  </si>
  <si>
    <t>Hoang Thi Thanh</t>
  </si>
  <si>
    <t>Le Thi Nga</t>
  </si>
  <si>
    <t>Le Thi Phuong</t>
  </si>
  <si>
    <t>LE THI PHUONG MAI</t>
  </si>
  <si>
    <t>Ngo Thi Phuong</t>
  </si>
  <si>
    <t>NGUYEN DINH THANH</t>
  </si>
  <si>
    <t>Nguyen Hong Kien</t>
  </si>
  <si>
    <t>Nguyen Hong Nhung</t>
  </si>
  <si>
    <t>Nguyen Minh Tuan</t>
  </si>
  <si>
    <t>Nguyen Thi An</t>
  </si>
  <si>
    <t>Nguyen Thi Huong</t>
  </si>
  <si>
    <t>Nguyen Thi Huyen</t>
  </si>
  <si>
    <t>NGUYEN THI PHUONG</t>
  </si>
  <si>
    <t>Nguyen Thi Thanh</t>
  </si>
  <si>
    <t>NGUYEN THI THANH NA</t>
  </si>
  <si>
    <t>Nguyen Thi Vinh</t>
  </si>
  <si>
    <t>Nguyen Thu Huong</t>
  </si>
  <si>
    <t>NGUYEN THU HUYEN</t>
  </si>
  <si>
    <t>NGUYEN VAN DUONG</t>
  </si>
  <si>
    <t>Pham Thi Duyen</t>
  </si>
  <si>
    <t>Than Thi Men</t>
  </si>
  <si>
    <t>To Thi Ha</t>
  </si>
  <si>
    <t>Tran Thi Ha Chinh</t>
  </si>
  <si>
    <t>Tran Thi Hien</t>
  </si>
  <si>
    <t>Tran Thi Huyen Trang</t>
  </si>
  <si>
    <t>Tran Thi Kim Duyen</t>
  </si>
  <si>
    <t>Tran Thi Thuy</t>
  </si>
  <si>
    <t>TRAN THI VAN ANH</t>
  </si>
  <si>
    <t>Tran Van Tung</t>
  </si>
  <si>
    <t>Trinh Thi Hai</t>
  </si>
  <si>
    <t>Trinh Thi Tam</t>
  </si>
  <si>
    <t>Truong Khanh Cuong</t>
  </si>
  <si>
    <t>Truong Thi Hanh Phuc</t>
  </si>
  <si>
    <t>Vu Dinh Thang</t>
  </si>
  <si>
    <t>Vu Thi Hang</t>
  </si>
  <si>
    <t>Vu Thi Thanh Hang</t>
  </si>
  <si>
    <t>Access code of survey</t>
  </si>
  <si>
    <t>Name of team member under evaluation</t>
  </si>
  <si>
    <t>Role of member under evaluation</t>
  </si>
  <si>
    <t>Your relationship with member under evaluation</t>
  </si>
  <si>
    <t>Score from 1 ~5:How does he/she attend group meetings regularly and arrives on time and well prepared:Working Resposibility</t>
  </si>
  <si>
    <t>Score from 1 ~5:How does he/she ready to contribute meaningful to discussions and team work:Working Resposibility</t>
  </si>
  <si>
    <t>Score from 1 ~5:How does he/she complete group assignments on time:Working Resposibility</t>
  </si>
  <si>
    <t>Score from 1 ~5:How does he/she prepare work in a quality manner:Working Resposibility</t>
  </si>
  <si>
    <t>Score from 1 ~5:How does he/she demonstrate a cooperative and supportive attitude:Working Resposibility</t>
  </si>
  <si>
    <t>Score from 1 ~5:How does he/she contribute significantly to the success of the project:Working Resposibility</t>
  </si>
  <si>
    <t>Working Resposibility: Other opinions</t>
  </si>
  <si>
    <t xml:space="preserve"> How important are his/her contributions to the team's work: Other opinions</t>
  </si>
  <si>
    <t>Which option would you rate he/she being in this role as follows</t>
  </si>
  <si>
    <t>Which option would you rate he/she being in this role as follows: Other opinion</t>
  </si>
  <si>
    <t>Problem Solving Capability: Other opinions</t>
  </si>
  <si>
    <t>Personality characteristics:What are the strengths of team member in his/her role?</t>
  </si>
  <si>
    <t xml:space="preserve"> Work accomplished:What are the strengths of team member in his/her role?</t>
  </si>
  <si>
    <t xml:space="preserve"> Work attitude:What are the strengths of team member in his/her role?</t>
  </si>
  <si>
    <t xml:space="preserve"> Creativity:What are the strengths of team member in his/her role?</t>
  </si>
  <si>
    <t xml:space="preserve">To improve effectiveness on the team, what the things do you think he/she  should do LESS? </t>
  </si>
  <si>
    <t>To improve effectiveness on the team, what the things do you think he/she  should do MORE</t>
  </si>
  <si>
    <t>Teamwork &amp; contribution for company: Other opinions</t>
  </si>
  <si>
    <t>Provide any other additional comments on he/she</t>
  </si>
  <si>
    <t>ngathiquynh</t>
  </si>
  <si>
    <t>Member</t>
  </si>
  <si>
    <t>Same project</t>
  </si>
  <si>
    <t>Important</t>
  </si>
  <si>
    <t>Only work adequately as assignment</t>
  </si>
  <si>
    <t>Enthusiasm  responsibility</t>
  </si>
  <si>
    <t>work adequately as assignment</t>
  </si>
  <si>
    <t>responsibility  willing to support others</t>
  </si>
  <si>
    <t>Good</t>
  </si>
  <si>
    <t>- N/A</t>
  </si>
  <si>
    <t>- Need to cultivate more knowledge about other functions</t>
  </si>
  <si>
    <t>ok</t>
  </si>
  <si>
    <t>normal</t>
  </si>
  <si>
    <t>Now, I do not the idea</t>
  </si>
  <si>
    <t>toas20</t>
  </si>
  <si>
    <t>Different project</t>
  </si>
  <si>
    <t>No comment</t>
  </si>
  <si>
    <t>Excellent to work with  achieve outstanding work  and willing to support others</t>
  </si>
  <si>
    <t>honestly</t>
  </si>
  <si>
    <t>good</t>
  </si>
  <si>
    <t>He should open and share more with other member.</t>
  </si>
  <si>
    <t>he is quiet, rarely shares with everyone</t>
  </si>
  <si>
    <t>should focus on meeting when you join</t>
  </si>
  <si>
    <t>Friendly and supportive</t>
  </si>
  <si>
    <t>Keep commitment</t>
  </si>
  <si>
    <t>willing to get challenge tasks and support other members</t>
  </si>
  <si>
    <t>Should give more questions in each seminar</t>
  </si>
  <si>
    <t>He is good at technical skill and should study more about AVN</t>
  </si>
  <si>
    <t>bichdthuy</t>
  </si>
  <si>
    <t>Dang Bich Thuy</t>
  </si>
  <si>
    <t>Friendly with everyone</t>
  </si>
  <si>
    <t>No need</t>
  </si>
  <si>
    <t>Friendly</t>
  </si>
  <si>
    <t>Positive</t>
  </si>
  <si>
    <t>Creative</t>
  </si>
  <si>
    <t>Nothing</t>
  </si>
  <si>
    <t>She is friendly and willing to help people</t>
  </si>
  <si>
    <t>thos20</t>
  </si>
  <si>
    <t>Open  good communication</t>
  </si>
  <si>
    <t>Should improve time management for better results</t>
  </si>
  <si>
    <t>Hard working  supportive</t>
  </si>
  <si>
    <t>Found improvements after have work experience</t>
  </si>
  <si>
    <t xml:space="preserve">She should not take too much time to support others and stay late to complete her work. Should know task priority and arrange time effectively. </t>
  </si>
  <si>
    <t>She should improve problem solving skills, should know task priority</t>
  </si>
  <si>
    <t>She should improve the way of express her idea, problem solving skill, task priority, time management</t>
  </si>
  <si>
    <t>happy  enthussian</t>
  </si>
  <si>
    <t>- The ability to present the problem is NOT good so she need to practice more</t>
  </si>
  <si>
    <t xml:space="preserve">- when listen or read information she need more careful to understand correctly and answer correct content.
They are some her problems but she has good knowledge about Cluster and good work attitude. </t>
  </si>
  <si>
    <t>enthusiasm</t>
  </si>
  <si>
    <t>NA</t>
  </si>
  <si>
    <t>hiendinhngoc</t>
  </si>
  <si>
    <t>Extremely important</t>
  </si>
  <si>
    <t>Excellent to work but NOT willing support others</t>
  </si>
  <si>
    <t>Rebellious</t>
  </si>
  <si>
    <t>Talk</t>
  </si>
  <si>
    <t>Focus on his work</t>
  </si>
  <si>
    <t>He fulfilled all assigned tasks well but his manner is a minus</t>
  </si>
  <si>
    <t>should open when having suggestions</t>
  </si>
  <si>
    <t>good man  good knowledge</t>
  </si>
  <si>
    <t>talk</t>
  </si>
  <si>
    <t>nothing</t>
  </si>
  <si>
    <t>nhus20</t>
  </si>
  <si>
    <t>Should be more active in the joint activities of DCV</t>
  </si>
  <si>
    <t>Not very important</t>
  </si>
  <si>
    <t>Thân thiện  dễ gần  ngoan</t>
  </si>
  <si>
    <t>Tốt</t>
  </si>
  <si>
    <t xml:space="preserve">Bớt hiền </t>
  </si>
  <si>
    <t>Mạnh dạn hơn 1 chút</t>
  </si>
  <si>
    <t>She is new member however she is very hard working, self study and learn from many people. She has a liter NOT good about plan for her task</t>
  </si>
  <si>
    <t>huedt</t>
  </si>
  <si>
    <t>Leader</t>
  </si>
  <si>
    <t>Helpful  willing to support</t>
  </si>
  <si>
    <t>focus on target</t>
  </si>
  <si>
    <t>Enthusiastic</t>
  </si>
  <si>
    <t>Proactive</t>
  </si>
  <si>
    <t>understand well all issues or read email carefully before sending any feedbacks</t>
  </si>
  <si>
    <t>She needs more willing to consider other approaches from all members</t>
  </si>
  <si>
    <t>create working environment friendly between team members</t>
  </si>
  <si>
    <t>She should build team activity because she has capability</t>
  </si>
  <si>
    <t>Hardworking  focus on work</t>
  </si>
  <si>
    <t>focus on work</t>
  </si>
  <si>
    <t>Nornal</t>
  </si>
  <si>
    <t>work independently without idea from members</t>
  </si>
  <si>
    <t>Communicate, Support members and build a strong team</t>
  </si>
  <si>
    <t>should listen to members more</t>
  </si>
  <si>
    <t>Happy and Enthusiasm</t>
  </si>
  <si>
    <t>positive and confident</t>
  </si>
  <si>
    <t>Normally</t>
  </si>
  <si>
    <t>Should discuss to final decision to get for member</t>
  </si>
  <si>
    <t>Listen and understand the problem of member in the team</t>
  </si>
  <si>
    <t>Listen from others to improve on the team/ or support if other need</t>
  </si>
  <si>
    <t>Mạnh mẽ</t>
  </si>
  <si>
    <t>Đúng hẹn</t>
  </si>
  <si>
    <t>Tích cực</t>
  </si>
  <si>
    <t>Có nhiều ý tưởng hợp lý. Nhiều cái không</t>
  </si>
  <si>
    <t>No</t>
  </si>
  <si>
    <t>lắng nghe mọi người hơn</t>
  </si>
  <si>
    <t>NO</t>
  </si>
  <si>
    <t>bichvt2</t>
  </si>
  <si>
    <t>Adequate working and contribution to fulfill her tasks</t>
  </si>
  <si>
    <t>no comment</t>
  </si>
  <si>
    <t>She is quite smart &amp; quick to learn new things but not really willing</t>
  </si>
  <si>
    <t>khas20</t>
  </si>
  <si>
    <t>Ha Thi Mai Khanh</t>
  </si>
  <si>
    <t>need to impove the spirit of cooperation, listen to the suggestions of others. Need to actively investigate the system you do Should not focus too on achievements, should focus on improving the quality of work</t>
  </si>
  <si>
    <t xml:space="preserve">Excellent </t>
  </si>
  <si>
    <t xml:space="preserve">Openness, Conscientiousness and Proactive </t>
  </si>
  <si>
    <t>nhunghong</t>
  </si>
  <si>
    <t>Somewhat important</t>
  </si>
  <si>
    <t>Enthusiastic  easy to work with</t>
  </si>
  <si>
    <t>Complete work on time</t>
  </si>
  <si>
    <t>Seriously  ready to share issues with members</t>
  </si>
  <si>
    <t>Got many good solutions for members</t>
  </si>
  <si>
    <t>- Need to discuss with the HQ before making decisions for members</t>
  </si>
  <si>
    <t>- Need evaluate the right nature of the project to make decisions suitable for the team</t>
  </si>
  <si>
    <t>- Build a better team work environment</t>
  </si>
  <si>
    <t>She need more active in team activity.</t>
  </si>
  <si>
    <t>Friendly and always enthusiastic about helping people</t>
  </si>
  <si>
    <t>Has high spirit and responsibility at work</t>
  </si>
  <si>
    <t>Has many good solutions and ideas to solve problems</t>
  </si>
  <si>
    <t>should limit evaluation and give perspectives based on other projects</t>
  </si>
  <si>
    <t>should evaluate the nature of the project in order to make a better decision</t>
  </si>
  <si>
    <t>she has a beautiful smile, she should more smile</t>
  </si>
  <si>
    <t>Enthusiatic</t>
  </si>
  <si>
    <t>So so</t>
  </si>
  <si>
    <t>- She should be more active and creative
- She should interact with team member more -&gt; connect member togethers more</t>
  </si>
  <si>
    <t>transparent   straigh</t>
  </si>
  <si>
    <t>more open</t>
  </si>
  <si>
    <t xml:space="preserve">Shes kind  nice  hard working </t>
  </si>
  <si>
    <t>On time</t>
  </si>
  <si>
    <t>High resposibility in work</t>
  </si>
  <si>
    <t>Creativity in work</t>
  </si>
  <si>
    <t>taciturn</t>
  </si>
  <si>
    <t>enthusiasm  hardworking</t>
  </si>
  <si>
    <t xml:space="preserve">good excel </t>
  </si>
  <si>
    <t>rigid</t>
  </si>
  <si>
    <t xml:space="preserve">talk more to team member, smile </t>
  </si>
  <si>
    <t xml:space="preserve">smile more and more </t>
  </si>
  <si>
    <t>lanhthi</t>
  </si>
  <si>
    <t>Next time, I hope she will has a boyfriend.</t>
  </si>
  <si>
    <t>Sometime join meeting so late
Sometime depend on emotion to support others</t>
  </si>
  <si>
    <t>Sometime depend on emotion to support others</t>
  </si>
  <si>
    <t>Sometime ignore problem if she don't know or don't relate to her task</t>
  </si>
  <si>
    <t>Happy and quite Enthusiasm</t>
  </si>
  <si>
    <t>positive and quite confident</t>
  </si>
  <si>
    <t>I think that she should focus more</t>
  </si>
  <si>
    <t xml:space="preserve">listen others, improve herself, support others </t>
  </si>
  <si>
    <t>Write guide more detail and listen other to improve guideline</t>
  </si>
  <si>
    <t>Self- study  Good team work and proactive</t>
  </si>
  <si>
    <t>Proactive and willing support members</t>
  </si>
  <si>
    <t>Willing support members</t>
  </si>
  <si>
    <t xml:space="preserve">Less speaking out loud </t>
  </si>
  <si>
    <t>Communicate, creative and support news members more</t>
  </si>
  <si>
    <t>increase creativity further more</t>
  </si>
  <si>
    <t>thas20</t>
  </si>
  <si>
    <t>She's good at all</t>
  </si>
  <si>
    <t>word hard  smart</t>
  </si>
  <si>
    <t>on time</t>
  </si>
  <si>
    <t>Test method</t>
  </si>
  <si>
    <t>She's good</t>
  </si>
  <si>
    <t>Perfect</t>
  </si>
  <si>
    <t>she is very friendly</t>
  </si>
  <si>
    <t>ngas20</t>
  </si>
  <si>
    <t>Hard working, Friendly.</t>
  </si>
  <si>
    <t>Not really friendly</t>
  </si>
  <si>
    <t>Adequate</t>
  </si>
  <si>
    <t>Average</t>
  </si>
  <si>
    <t>Improve English &amp; technical skills</t>
  </si>
  <si>
    <t>Work hard enough to fulfill all assignments</t>
  </si>
  <si>
    <t>Friendly  willing to support others</t>
  </si>
  <si>
    <t xml:space="preserve">Always finish her task ontime </t>
  </si>
  <si>
    <t>High reponsibilty in her task</t>
  </si>
  <si>
    <t>Just do as assginment. I didnt see any innovation from her</t>
  </si>
  <si>
    <t>Willing to take the task</t>
  </si>
  <si>
    <t>Need more carefully</t>
  </si>
  <si>
    <t>Self-study more regularly to overcome issues and new technologies</t>
  </si>
  <si>
    <t>phuong1le</t>
  </si>
  <si>
    <t>I have no idea</t>
  </si>
  <si>
    <t xml:space="preserve">Always be kind to support others </t>
  </si>
  <si>
    <t>Kind</t>
  </si>
  <si>
    <t xml:space="preserve">be shy </t>
  </si>
  <si>
    <t xml:space="preserve">Give her idea to public </t>
  </si>
  <si>
    <t>dont be shy</t>
  </si>
  <si>
    <t>mais20</t>
  </si>
  <si>
    <t>Le Thi Phuong Mai</t>
  </si>
  <si>
    <t xml:space="preserve">good listener and take care everybody </t>
  </si>
  <si>
    <t>friendly  hardworking</t>
  </si>
  <si>
    <t>Excellent to work with her</t>
  </si>
  <si>
    <t>Cởi mở  cẩn thận và tận tâm với công việc</t>
  </si>
  <si>
    <t>Luôn luôn thấy cố gắng để hoàn thành công việc</t>
  </si>
  <si>
    <t xml:space="preserve">Tích cực xây dựng và luôn hướng tới sự chính xác </t>
  </si>
  <si>
    <t xml:space="preserve">Chưa được sử dụng nhiều  đa số là đang sử dụng những kinh nghiệm vốn có để làm việc </t>
  </si>
  <si>
    <t>Không có</t>
  </si>
  <si>
    <t xml:space="preserve">Hi vọng các member trong team gắn kết hơn và chia sẻ nhiều hơn với nhau về các công việc đang làm cũng như các thông tin liên quan đến dự án </t>
  </si>
  <si>
    <t xml:space="preserve">1 người dễ mến, có thế hòa đồng và gắn kết được mọi người tốt hơn. </t>
  </si>
  <si>
    <t>tras20</t>
  </si>
  <si>
    <t>Sometime support base on emotion</t>
  </si>
  <si>
    <t>Some tips aren't share to others to prevent the same problem</t>
  </si>
  <si>
    <t>Sometime don't want to discuss with others</t>
  </si>
  <si>
    <t>unfocus on working</t>
  </si>
  <si>
    <t>sharing knowledge and willing to support other team member</t>
  </si>
  <si>
    <t xml:space="preserve">need to improve soft skill </t>
  </si>
  <si>
    <t>thuylethu</t>
  </si>
  <si>
    <t>she does many contribution for teamwork</t>
  </si>
  <si>
    <t>phuongthi19</t>
  </si>
  <si>
    <t>She is high responsibilty in her tasks. Friendly and willing to support others</t>
  </si>
  <si>
    <t>Easy to work with</t>
  </si>
  <si>
    <t>Complete work on time and proactively remind other members</t>
  </si>
  <si>
    <t>Enthusiastic  proactive sharing and support for members</t>
  </si>
  <si>
    <t>Proactively offer optimal solutions at work</t>
  </si>
  <si>
    <t>- As a member, I see her doing her job well, so I think she just keep doing as of now</t>
  </si>
  <si>
    <t>- Sharing more knowledge for all member in and out team</t>
  </si>
  <si>
    <t>She is good tester</t>
  </si>
  <si>
    <t>thans20</t>
  </si>
  <si>
    <t>Nguyen Dinh Thanh</t>
  </si>
  <si>
    <t>He is friendly and willing to help people</t>
  </si>
  <si>
    <t>after nearly 3 months work with him, I think he is a good colleague and doesn't need to do less anything.</t>
  </si>
  <si>
    <t>He should be more carefully when using documents on SVN to save time of team.</t>
  </si>
  <si>
    <t>He is friendly and good colleague</t>
  </si>
  <si>
    <t>phong2019</t>
  </si>
  <si>
    <t>He's nice, friendly, humility, humorous, very intelligent and creative. Hope he could contribute more for VT as well as DCV.</t>
  </si>
  <si>
    <t xml:space="preserve">Always research document more to clarify requirement </t>
  </si>
  <si>
    <t xml:space="preserve">Always complete effective work and on time </t>
  </si>
  <si>
    <t>Willing to support others</t>
  </si>
  <si>
    <t>kienhong</t>
  </si>
  <si>
    <t xml:space="preserve">Anh Kiên rất nhiệt tình trong việc tổ chức team work. Anh còn mời mng về nhà ăn cơm và hay mang đồ đi mời mng
 </t>
  </si>
  <si>
    <t>anh Kiên  có tính cách cẩn thận tỉ mỉ  quản lý Test case tốt. Những khi Dev gửi guide set up test  anh luôn thử tỉ mỉ các trường hợp</t>
  </si>
  <si>
    <t>Anh luôn luôn hoàn thành công việc trước deadline và còn support các đồng nghiệp khác</t>
  </si>
  <si>
    <t>Không nản lòng mỗi khi dự án gặp vấn đề  anh còn thường xuyên động viên ng khác</t>
  </si>
  <si>
    <t>anh sáng tạo các phương pháp làm việc  giúp tăng năng suất hơn và share cho mng</t>
  </si>
  <si>
    <t>Anh Kiên có thể tổ chức thêm các buổi chia sẻ kiến thức hơn. Em thấy anh biết nhiều thứ, nhiều module ạ</t>
  </si>
  <si>
    <t xml:space="preserve">Tiếp tục nhắc nhở mng để có thể hoàn thành công việc của dự án. </t>
  </si>
  <si>
    <t xml:space="preserve">Anh Kiên rất nhiệt tình và tốt bụng. Khi bọn em hỏi dù anh đang bận vẫn trả lời một cách nhiệt huyết </t>
  </si>
  <si>
    <t>None</t>
  </si>
  <si>
    <t>Leader Skill</t>
  </si>
  <si>
    <t>No Comment</t>
  </si>
  <si>
    <t>She is careful and hard working and always support other member internal/external team.</t>
  </si>
  <si>
    <t>she should be listened more</t>
  </si>
  <si>
    <t>knowlege</t>
  </si>
  <si>
    <t>proactive  hard-working</t>
  </si>
  <si>
    <t>creative</t>
  </si>
  <si>
    <t>hardworking</t>
  </si>
  <si>
    <t>her eyes should be kindly</t>
  </si>
  <si>
    <t>no, she is good</t>
  </si>
  <si>
    <t>she is very good</t>
  </si>
  <si>
    <t>koanh</t>
  </si>
  <si>
    <t>She is positive in her work, have many suggestions in task. Good communication with other team.</t>
  </si>
  <si>
    <t>Her communication with other members of VT is very nice</t>
  </si>
  <si>
    <t>straightforwardness</t>
  </si>
  <si>
    <t xml:space="preserve">Have clearly plan for members </t>
  </si>
  <si>
    <t>Always support team members</t>
  </si>
  <si>
    <t xml:space="preserve">Have creative idea to solve problem </t>
  </si>
  <si>
    <t xml:space="preserve">I think she has been good to work with.
 For others, she should have less grumpy. </t>
  </si>
  <si>
    <t>Have more connection activities</t>
  </si>
  <si>
    <t xml:space="preserve">Outstanding and always solve problem effectively </t>
  </si>
  <si>
    <t>qminh</t>
  </si>
  <si>
    <t>sociable</t>
  </si>
  <si>
    <t>support other members</t>
  </si>
  <si>
    <t>many good ideas</t>
  </si>
  <si>
    <t>I don't know.</t>
  </si>
  <si>
    <t>Sharing expierience about project to other members.</t>
  </si>
  <si>
    <t>Willing support others</t>
  </si>
  <si>
    <t>Complete group assignments on time</t>
  </si>
  <si>
    <t>Normal</t>
  </si>
  <si>
    <t>Attention to employee's life</t>
  </si>
  <si>
    <t>Responsible at work but not yet interested in employee life</t>
  </si>
  <si>
    <t>Open  friendly  and approachable</t>
  </si>
  <si>
    <t>She always gets the job done in the best way</t>
  </si>
  <si>
    <t>Diligent  responsible for the job</t>
  </si>
  <si>
    <t>She has many very good new changes in the management team</t>
  </si>
  <si>
    <t>responsibility</t>
  </si>
  <si>
    <t>- Teambuilding should be organized more often to bring members together</t>
  </si>
  <si>
    <t>Organize more teambuilding to bring members together</t>
  </si>
  <si>
    <t>Friendly and ready to support other members</t>
  </si>
  <si>
    <t>Good job</t>
  </si>
  <si>
    <t>She is responsible for her work</t>
  </si>
  <si>
    <t>She always knows how to resolve the issue of the project</t>
  </si>
  <si>
    <t>She should speak more slowly ^_^</t>
  </si>
  <si>
    <t>She is good colleague from whom I can learn many things</t>
  </si>
  <si>
    <t>nhiệt tình</t>
  </si>
  <si>
    <t>hoàn thành tốt công việc</t>
  </si>
  <si>
    <t>tò mò với những kiến thức mới</t>
  </si>
  <si>
    <t>không sáng tạo lắm</t>
  </si>
  <si>
    <t>tổ chức cuộc retrospective thường xuyên hơn</t>
  </si>
  <si>
    <t>Nên lead các hoạt động để gắn kết các thành viên trong team</t>
  </si>
  <si>
    <t>Open-minded</t>
  </si>
  <si>
    <t>Think carefully before making any decision</t>
  </si>
  <si>
    <t>She sometimes made mistakes or misunderstood, so please be more careful in the future</t>
  </si>
  <si>
    <t>- Thân thiện nhưng đôi khi hơi ít nói</t>
  </si>
  <si>
    <t xml:space="preserve">Bớt ít nói </t>
  </si>
  <si>
    <t>Cần sôi nổi hơn, quan tâm tới đời sống của member hơn.</t>
  </si>
  <si>
    <t xml:space="preserve">- Biết lắng nghe member và cởi mở trong việc trong đổi các vấn đề trong công việc. </t>
  </si>
  <si>
    <t>She is enthusiasm and patient. Proactively comment with her member when has problem both at work and in life however, they have not followed closely to solve it completely</t>
  </si>
  <si>
    <t>good attitude</t>
  </si>
  <si>
    <t>Requires training  but learns well and cooperates well generally</t>
  </si>
  <si>
    <t>Now, I don't think</t>
  </si>
  <si>
    <t>Need share simple issues to other member (subleader) -&gt; have time to think new idea for the project.</t>
  </si>
  <si>
    <t>Need to set the role power for issue simplely to avoid repeat.</t>
  </si>
  <si>
    <t>Very good</t>
  </si>
  <si>
    <t>I think she should not do less</t>
  </si>
  <si>
    <t>Keep support member and performance as right now</t>
  </si>
  <si>
    <t>Hans20</t>
  </si>
  <si>
    <t>tuas20</t>
  </si>
  <si>
    <t>He needs more confident</t>
  </si>
  <si>
    <t>He always listen the suggestion from others and proactive in working</t>
  </si>
  <si>
    <t>Finish assigment on time</t>
  </si>
  <si>
    <t>sometime not focus on the job</t>
  </si>
  <si>
    <t xml:space="preserve">Need to improve </t>
  </si>
  <si>
    <t xml:space="preserve">Using cell phone on working time </t>
  </si>
  <si>
    <t>More focus on the job and communicate with other members ( the same project and another project as well)</t>
  </si>
  <si>
    <t xml:space="preserve">shouldn't complicate things. Should be open, share ideas and communicate with members </t>
  </si>
  <si>
    <t>None, Keep support member</t>
  </si>
  <si>
    <t>Keep support member</t>
  </si>
  <si>
    <t>annguyen20</t>
  </si>
  <si>
    <t xml:space="preserve">decisive  meticulous </t>
  </si>
  <si>
    <t xml:space="preserve">always on time </t>
  </si>
  <si>
    <t xml:space="preserve">Good </t>
  </si>
  <si>
    <t xml:space="preserve">Enough for work </t>
  </si>
  <si>
    <t xml:space="preserve">- Keep calm down when resolving the problem </t>
  </si>
  <si>
    <t xml:space="preserve">- Keep enthusiasm at work </t>
  </si>
  <si>
    <t>Always be ready if she gets an offer</t>
  </si>
  <si>
    <t>Angry</t>
  </si>
  <si>
    <t>Happy</t>
  </si>
  <si>
    <t>Chị An có tính cách vui vẻ hòa đồng  cẩn thận  chăm chỉ</t>
  </si>
  <si>
    <t>Chị luôn hoàn thành công việc xong mới về nhà. Trên cương vị Leader luôn đảm bảo dự án haofn thàn</t>
  </si>
  <si>
    <t xml:space="preserve"> Làm việc đặt dự án lên hàng đầu  luôn cố gắng tự làm trước khi phải đi nhờ mng support a</t>
  </si>
  <si>
    <t xml:space="preserve"> chị hay suy nghĩ làm cách nào để giúp mng tăng hiệu quả công việc  chị cố gắng đi mượn thiết bị để dự án có đủ thiết bị test </t>
  </si>
  <si>
    <t>Mong rằng dự án sẽ ít khó khăn và issue hơn để chị có thể về nhà sớm.</t>
  </si>
  <si>
    <t>Học hỏi thêm các kinh nghiệm từ các chị leader dự án khác ạ</t>
  </si>
  <si>
    <t xml:space="preserve">Chị An là 1 leader biết lắng nghe ý kiến của các member, lo lắng và quan tâm cho từng member. </t>
  </si>
  <si>
    <t>high</t>
  </si>
  <si>
    <t>hot-tempered</t>
  </si>
  <si>
    <t>curb</t>
  </si>
  <si>
    <t>Sometimes hot-tempered but she's still good</t>
  </si>
  <si>
    <t>Sometime due to project workload, she just try to solve issue with a work around, not really willing to look for more complete solution in future.</t>
  </si>
  <si>
    <t>have well connection with other member in her team</t>
  </si>
  <si>
    <t>accomplished good result</t>
  </si>
  <si>
    <t>high responsibility  always try to complete work on time</t>
  </si>
  <si>
    <t>Almost solution based on her experience  not so creative</t>
  </si>
  <si>
    <t>- do more delegation but with more supervision
- try to learn more experience from other test leader
- communicate more with other teams</t>
  </si>
  <si>
    <t>she should communicate more with other test leader</t>
  </si>
  <si>
    <t>Her communication with others is very nice. She always open minded to give comments from others.</t>
  </si>
  <si>
    <t>huos20</t>
  </si>
  <si>
    <t>bạn chăm chỉ và tiến bộ nhanh, trong vòng 4 tháng (từ khi kết thúc training fresher và chính thức vào dự án tới giờ) Hương đã tiến bộ từ 1 bạn mới chưa biết execute test, đến giờ Hương có thể tự hoàn thành scope của test được giao trong thời gian ngắn và support các bạn.</t>
  </si>
  <si>
    <t>trầm tính  tập trung và thẳng thắn</t>
  </si>
  <si>
    <t>sớm</t>
  </si>
  <si>
    <t>chăm chỉ  tinh thần làm việc tốt</t>
  </si>
  <si>
    <t>Hương đang trong giai đoạn học hỏi và làm đúng  chưa sáng tạo</t>
  </si>
  <si>
    <t>n/a</t>
  </si>
  <si>
    <t>1. Cần mạnh dạn hơn đưa ra câu hỏi và ý kiến của mình
2. Cần tracking vấn đề mình đang gặp, có thể ping push leader nếu leader chưa đưa ra giải pháp cho vấn đề của mình</t>
  </si>
  <si>
    <t>Hương hòa đồng và thân thiện với các member  cùng dự án nhưng ít khi nói chuyện hay giao lưu với các member khác dự án</t>
  </si>
  <si>
    <t>friendly</t>
  </si>
  <si>
    <t xml:space="preserve">She is a meek girl </t>
  </si>
  <si>
    <t>huyen3nguyen</t>
  </si>
  <si>
    <t>She is a friendly colleage</t>
  </si>
  <si>
    <t>She has good manners but her technical skills are just average, especially in computer troubleshooting.</t>
  </si>
  <si>
    <t>She has active working manners but her English &amp; technical skills need to be improved</t>
  </si>
  <si>
    <t>huyen3.nguyen</t>
  </si>
  <si>
    <t xml:space="preserve">
</t>
  </si>
  <si>
    <t>She has good knowledge about testing AVN . Study quickly</t>
  </si>
  <si>
    <t>lannt89</t>
  </si>
  <si>
    <t>nhanh nhẹn  hòa đồng</t>
  </si>
  <si>
    <t>có trách nhiệm với công việc  cố gắng hoàn thành với kết quả tốt nhất</t>
  </si>
  <si>
    <t>có cố gắng tìm nguyên nhân gốc rễ của vấn đề</t>
  </si>
  <si>
    <t>bình thường</t>
  </si>
  <si>
    <t>i have no idea</t>
  </si>
  <si>
    <t xml:space="preserve">- Về mặt công việc: Khá tốt
</t>
  </si>
  <si>
    <t>- Đôi khi còn hơi tự tin thái quá về bản thân nên dẫn tới việc không đánh giá và nhìn nhận khách quan về quan điểm  khả năng của đồng nghiệp trong team. Chưa thực sự biết lắng nghe ý kiến của đồng nghiệp.</t>
  </si>
  <si>
    <t>Ok</t>
  </si>
  <si>
    <t>OK</t>
  </si>
  <si>
    <t>- Đừng quá tự tin vào khả năng của bản thân mình.</t>
  </si>
  <si>
    <t>- Biết lắng nghe đồng nghiệp hơn</t>
  </si>
  <si>
    <t>- Cần biết lắng nghe hơn</t>
  </si>
  <si>
    <t>carefully</t>
  </si>
  <si>
    <t>phuongthi</t>
  </si>
  <si>
    <t>Nhiệt tình  ham tìm hiểu  support tốt</t>
  </si>
  <si>
    <t>tốt</t>
  </si>
  <si>
    <t>Sáng tạo, thích ứng nhanh với dự án mới</t>
  </si>
  <si>
    <t>Friendly  she have ability of connecting between members in project (make good team work)</t>
  </si>
  <si>
    <t>Good assigment skills and summary result. Write email skills is quite clear.</t>
  </si>
  <si>
    <t>Sometime  she should more calm down.</t>
  </si>
  <si>
    <t>Should think the way to do her job more quickly</t>
  </si>
  <si>
    <t>Should listen difficulties of others</t>
  </si>
  <si>
    <t>More creative in her job and more contribute on any tasks of VT (not only internal project)</t>
  </si>
  <si>
    <t>Conclusion, her management skills is quite good. She has problem solving skills.</t>
  </si>
  <si>
    <t xml:space="preserve">Outstanding </t>
  </si>
  <si>
    <t>Cẩn thận trong công việc  nhiệt tình support</t>
  </si>
  <si>
    <t>có trách nhiệm cao với công việc</t>
  </si>
  <si>
    <t>Now  it is not clear</t>
  </si>
  <si>
    <t>Now, I am not idea</t>
  </si>
  <si>
    <t>tngs20</t>
  </si>
  <si>
    <t>Nguyen Thi Thanh Na</t>
  </si>
  <si>
    <t>She has spent her mind on her work with very high responsibility. However, if she can delegate some tasks to the right members of the team, she will have more time for herself to improve management skills, time management, to share her knowledge, and support members.</t>
  </si>
  <si>
    <t>She is working so hard, she need to be rest sometimes</t>
  </si>
  <si>
    <t>She is very good, just need to talk louder</t>
  </si>
  <si>
    <t xml:space="preserve">very friendly </t>
  </si>
  <si>
    <t>hard-working</t>
  </si>
  <si>
    <t>no need</t>
  </si>
  <si>
    <t>enthusiastic</t>
  </si>
  <si>
    <t>Conscientious  enthusiastic to the job</t>
  </si>
  <si>
    <t>Enthusiastic to the job</t>
  </si>
  <si>
    <t>No Need</t>
  </si>
  <si>
    <t>Focus on more management tasks</t>
  </si>
  <si>
    <t>Need to improve management skill</t>
  </si>
  <si>
    <t>Excellent</t>
  </si>
  <si>
    <t xml:space="preserve">Be less working </t>
  </si>
  <si>
    <t>Rest more</t>
  </si>
  <si>
    <t>She is good listener and always willing to help each other</t>
  </si>
  <si>
    <t>Openness</t>
  </si>
  <si>
    <t>A Strong Work Ethic</t>
  </si>
  <si>
    <t>Making connections</t>
  </si>
  <si>
    <t>take less validation task</t>
  </si>
  <si>
    <t>focus on management</t>
  </si>
  <si>
    <t>good listener and always willing to help each other</t>
  </si>
  <si>
    <t>Yes</t>
  </si>
  <si>
    <t>More stronger</t>
  </si>
  <si>
    <t>vinhthi</t>
  </si>
  <si>
    <t>She needs to be proactive and creative at work</t>
  </si>
  <si>
    <t>Should more focus in each seminar and improve in AVN testing</t>
  </si>
  <si>
    <t>Should willing to take new tasks instead of doing the same tasks</t>
  </si>
  <si>
    <t>thus20</t>
  </si>
  <si>
    <t>She is willing to learn new thing, good attitude</t>
  </si>
  <si>
    <t>listen and activated</t>
  </si>
  <si>
    <t>ontime</t>
  </si>
  <si>
    <t>positive</t>
  </si>
  <si>
    <t>work to the end</t>
  </si>
  <si>
    <t>depend on mentor</t>
  </si>
  <si>
    <t>positive to take new knowledge in project</t>
  </si>
  <si>
    <t>need communicate strongly inside and outside team</t>
  </si>
  <si>
    <t>need more proactive</t>
  </si>
  <si>
    <t>huyentn20</t>
  </si>
  <si>
    <t>Nguyen Thu Huyen</t>
  </si>
  <si>
    <t>Sociable</t>
  </si>
  <si>
    <t>Completion time often takes longer than plan</t>
  </si>
  <si>
    <t>Only work as assignment</t>
  </si>
  <si>
    <t>Not really good</t>
  </si>
  <si>
    <t>Reduce distractions</t>
  </si>
  <si>
    <t>She needs to focus more on her work to keep up the schedule</t>
  </si>
  <si>
    <t>Cởi mở  hiền lành  dễ mến  dễ chia sẻ và tích cực trong cả công việc lẫn cuộc sống</t>
  </si>
  <si>
    <t>Tích cực xây dựng và hoàn thành công việc</t>
  </si>
  <si>
    <t xml:space="preserve">Chăm chỉ  nhiệt tình và có cố gắng </t>
  </si>
  <si>
    <t xml:space="preserve">Không có </t>
  </si>
  <si>
    <t xml:space="preserve">Tích cực gắn kết mọi người trong team hơn để có thể tạo được 1 môi trường làm việc năng động hơn, nhiều thông tin hơn được chia sẻ, kết quả làm việc sẽ được nâng cao hơn về mặt số lượng cũng như chất lượng. </t>
  </si>
  <si>
    <t>không có</t>
  </si>
  <si>
    <t>duos20</t>
  </si>
  <si>
    <t>Nguyen Van Duong</t>
  </si>
  <si>
    <t>Anh Đường là một người nhiệt tình và quan tâm đến đồng nghiệp. Anh rất hay giúp đỡ mọi người từ công việc như giải thích cho em những điều chưa hiểu về function wifi  rất có tâm (mặc dù khác dự án) đến những điều nhỏ nhặt khác như dán kính cường lực cho em. Anh chuẩn là một người anh tốt ạ</t>
  </si>
  <si>
    <t>team work very good, enthusiastic</t>
  </si>
  <si>
    <t>pduyen21</t>
  </si>
  <si>
    <t xml:space="preserve">good and sometimes she support other member </t>
  </si>
  <si>
    <t>pduyen22</t>
  </si>
  <si>
    <t>Thân thiện, hòa đồng, supportive</t>
  </si>
  <si>
    <t>pduyen23</t>
  </si>
  <si>
    <t>Hard working  has responsibility</t>
  </si>
  <si>
    <t>pduyen20</t>
  </si>
  <si>
    <t>She is friendly  responsible and hard working</t>
  </si>
  <si>
    <t>She is always try to accomplish her task ontime</t>
  </si>
  <si>
    <t>Work hard and support other members enthusiastically</t>
  </si>
  <si>
    <t>She works well and has good idea to resolve issue</t>
  </si>
  <si>
    <t>She should improve the management skill</t>
  </si>
  <si>
    <t>thuypham19</t>
  </si>
  <si>
    <t>Enthusiastic  carefully</t>
  </si>
  <si>
    <t>Sharing knowledge and advice after she understood well other members and their issue</t>
  </si>
  <si>
    <t>She is a good co-worker, good leader</t>
  </si>
  <si>
    <t>She seems to be not ready for management tasks</t>
  </si>
  <si>
    <t>mthan</t>
  </si>
  <si>
    <t>She always complete assignments on time</t>
  </si>
  <si>
    <t>I don't have idea</t>
  </si>
  <si>
    <t>communicate with other member more</t>
  </si>
  <si>
    <t>Shes very kind</t>
  </si>
  <si>
    <t>Complete task on time</t>
  </si>
  <si>
    <t>need strongly communication</t>
  </si>
  <si>
    <t>she is very hardworking</t>
  </si>
  <si>
    <t>hato20</t>
  </si>
  <si>
    <t>open-minded</t>
  </si>
  <si>
    <t>Think and find effective method</t>
  </si>
  <si>
    <t>More delicate</t>
  </si>
  <si>
    <t>Support other members</t>
  </si>
  <si>
    <t xml:space="preserve"> Sociable and fun for everyone</t>
  </si>
  <si>
    <t>Well done</t>
  </si>
  <si>
    <t>be straightforward and express personal opinions</t>
  </si>
  <si>
    <t>There are quite a few ideas</t>
  </si>
  <si>
    <t>reduce frankness when talking to people</t>
  </si>
  <si>
    <t>increased humor</t>
  </si>
  <si>
    <t>reduce bluntness when talking</t>
  </si>
  <si>
    <t>vanato</t>
  </si>
  <si>
    <t>Intelligent  Logical</t>
  </si>
  <si>
    <t>have good idea</t>
  </si>
  <si>
    <t xml:space="preserve">she should more open </t>
  </si>
  <si>
    <t>She is good at all</t>
  </si>
  <si>
    <t>Sáng tạo  cẩn thận và trách nhiệm cao trong công việc</t>
  </si>
  <si>
    <t>Sáng tạo, cẩn thận và trách nhiệm cao trong công việc</t>
  </si>
  <si>
    <t>Lạnh lùng và nghiêm nghị  cứng nhắc  thẳng tính</t>
  </si>
  <si>
    <t>Luôn luôn thấy cố gắng để hoàn thành công việc một cách hoàn hảo nhất</t>
  </si>
  <si>
    <t>Tập trung  quyết đoán  luôn hướng tới sự hoàn mĩ</t>
  </si>
  <si>
    <t xml:space="preserve">Bớt nghiêm khắc vì nó khiến người đối diện cảm thấy khó gấn, khó chia sẻ và tạo áp lực khi làm việc </t>
  </si>
  <si>
    <t xml:space="preserve">Năng nổ giao tiếp và chia sẻ nhiều hơn để các member và team có thể gắn bó với nhau hơn, vì người leader trong team rất là quan trọng, 
bên cạnh việc hoàn thành các công việc của project 1 cách tốt nhất thì vẫn cần việc thúc đẩy giao tiếp chia sẻ các thông tin về dự án cũng như kinh nghiệm giữa các thành viên. 
Hạn chế được việc mỗi ng làm 1 một việc, k liên quan gì đến nhau, cũng không chia sẻ, nói chuyện để trao đổi những vấn đề, khó khăn và cách giải quyết chúng,.... 
Hi vọng c có thể làm cho team gắn kết như một thể thống nhất hơn. 
Bên cạnh đó nó cũng khá tốt cho các bạn mới vào để các bạn đỡ thấy lạc lõng và xa lạ với team. Việc training và truyền tải thông tin cũng tốt hơn. </t>
  </si>
  <si>
    <t>cuongmanh</t>
  </si>
  <si>
    <t>He is open-minded  sociable  funny</t>
  </si>
  <si>
    <t>He always completes work on time</t>
  </si>
  <si>
    <t>He is always serious at work</t>
  </si>
  <si>
    <t>He has creativity</t>
  </si>
  <si>
    <t>tốt bụng  luôn support  giúp đỡ mọi người</t>
  </si>
  <si>
    <t>có ý thức hoàn thành tốt và có trách nhiệm với công việc  nhưng thỉnh thoàng bị miss task</t>
  </si>
  <si>
    <t>luôn tìm tòi kiến thức mới  tư duy  logic tốt  đôi khi thờ ơ với công việc</t>
  </si>
  <si>
    <t>không linh hoạt lắm</t>
  </si>
  <si>
    <t>have no idea</t>
  </si>
  <si>
    <t>nhiệt huyết với công việc hơn</t>
  </si>
  <si>
    <t>nên nhiệt huyết với công việc hơn, tự tin đưa ra ý kiến của mình</t>
  </si>
  <si>
    <t>need strongly communication, more proactive</t>
  </si>
  <si>
    <t>chinhtranthi</t>
  </si>
  <si>
    <t>optimistic</t>
  </si>
  <si>
    <t xml:space="preserve">work adequately as assignment  </t>
  </si>
  <si>
    <t>have idea resolve problem</t>
  </si>
  <si>
    <t>hies20</t>
  </si>
  <si>
    <t>Chưa làm việc cùng nên rất khó đánh giá (nên hầu hết để ở 4*), tuy nhiên có 1 vài ý kiến đóng góp từ những người đã làm việc cùng nên có 3*</t>
  </si>
  <si>
    <t>keep up</t>
  </si>
  <si>
    <t>she is good listener and always willing to help each other</t>
  </si>
  <si>
    <t>trangth</t>
  </si>
  <si>
    <t>Very Good</t>
  </si>
  <si>
    <t xml:space="preserve">less (unimportant) meeting </t>
  </si>
  <si>
    <t>more (project technical) meeting</t>
  </si>
  <si>
    <t>Her kids got sicks frequently, should prevent that better</t>
  </si>
  <si>
    <t>friendly  agressive</t>
  </si>
  <si>
    <t>complete on time</t>
  </si>
  <si>
    <t>serious  very good</t>
  </si>
  <si>
    <t>nhiệt tình  trách nhiệm cao</t>
  </si>
  <si>
    <t>hoàn thành công việc được giao</t>
  </si>
  <si>
    <t>có</t>
  </si>
  <si>
    <t>She's doing good</t>
  </si>
  <si>
    <t>responsbility</t>
  </si>
  <si>
    <t>none</t>
  </si>
  <si>
    <t xml:space="preserve">She has a lot of experience that I can learn from. </t>
  </si>
  <si>
    <t>She is also a good listener and always willing to support others</t>
  </si>
  <si>
    <t>Should be make meetings/ via mail to sharing issue &amp; how to resolve it to all member in team</t>
  </si>
  <si>
    <t>Duys20</t>
  </si>
  <si>
    <t xml:space="preserve"> She is a person responsible for the job, always fulfilling the assigned tasks well, being sociable and willing to help colleagues at work</t>
  </si>
  <si>
    <t>- No</t>
  </si>
  <si>
    <t>very friendly, enthusiastic</t>
  </si>
  <si>
    <t>serious</t>
  </si>
  <si>
    <t>trananhvan</t>
  </si>
  <si>
    <t>Tran Thi Van Anh</t>
  </si>
  <si>
    <t>Friendly, funny</t>
  </si>
  <si>
    <t>Get angry easily  like to help others</t>
  </si>
  <si>
    <t>Slower than the plan</t>
  </si>
  <si>
    <t>Quite creative</t>
  </si>
  <si>
    <t>She needs to work with a more cooperative and focused attitude</t>
  </si>
  <si>
    <t>Support others more</t>
  </si>
  <si>
    <t>Friendly  Kind  Active</t>
  </si>
  <si>
    <t xml:space="preserve">Friendly with colleage </t>
  </si>
  <si>
    <t xml:space="preserve">no comment </t>
  </si>
  <si>
    <t>phuctth19</t>
  </si>
  <si>
    <t>anh Tùng là người nhiệt tình, hòa đồng, có tinh thần làm việc và học tập tốt, luôn ở lại OT để học tiếng Hàn, tuy nhiên người anh nhiều lúc giữ đồ hơi lâu</t>
  </si>
  <si>
    <t xml:space="preserve">Friendly with colleage. </t>
  </si>
  <si>
    <t xml:space="preserve">Friendly with colleage and support effectively </t>
  </si>
  <si>
    <t xml:space="preserve">resolved problem very quickly </t>
  </si>
  <si>
    <t xml:space="preserve">she is very high work resposibility. </t>
  </si>
  <si>
    <t xml:space="preserve">She is good test leader </t>
  </si>
  <si>
    <t xml:space="preserve">Very good </t>
  </si>
  <si>
    <t xml:space="preserve">To be honest, i think don't have should do less. </t>
  </si>
  <si>
    <t xml:space="preserve">To be honest, i think she should connect member more than. </t>
  </si>
  <si>
    <t>tungtv2019</t>
  </si>
  <si>
    <t>should open when having suggestions/ comments from another members</t>
  </si>
  <si>
    <t xml:space="preserve">funny </t>
  </si>
  <si>
    <t xml:space="preserve">complete on time </t>
  </si>
  <si>
    <t xml:space="preserve">normal </t>
  </si>
  <si>
    <t xml:space="preserve">work smart and have technical knowledge </t>
  </si>
  <si>
    <t xml:space="preserve">less complaining and less mutitasking </t>
  </si>
  <si>
    <t xml:space="preserve">More well prepare to manage quality and have good supportive attitude </t>
  </si>
  <si>
    <t>More willing to listen to others and try to keep working better and self quality management</t>
  </si>
  <si>
    <t xml:space="preserve">nothing </t>
  </si>
  <si>
    <t xml:space="preserve">I think She need improve more than technical skill </t>
  </si>
  <si>
    <t xml:space="preserve">She is good colleage </t>
  </si>
  <si>
    <t>hais20</t>
  </si>
  <si>
    <t>enthusiastic and creative</t>
  </si>
  <si>
    <t>Has high spirit  responsibility at work and complete task carefully</t>
  </si>
  <si>
    <t>Has many good  ideas to solve problems</t>
  </si>
  <si>
    <t>She does well as a member</t>
  </si>
  <si>
    <t>She did well as a member, keep going</t>
  </si>
  <si>
    <t>tams20</t>
  </si>
  <si>
    <t>need to investigate deeply SyRS, flexible thinking</t>
  </si>
  <si>
    <t>need more creative and flexible thinking</t>
  </si>
  <si>
    <t>Not in the same project, so it is impossible to evaluate the nature of the work</t>
  </si>
  <si>
    <t>proactive</t>
  </si>
  <si>
    <t>cuos20</t>
  </si>
  <si>
    <t>Very friendly</t>
  </si>
  <si>
    <t>high responsibility</t>
  </si>
  <si>
    <t>enthusiasm, friendly</t>
  </si>
  <si>
    <t>More careful</t>
  </si>
  <si>
    <t>He gets along well with colleagues and willing to support each other</t>
  </si>
  <si>
    <t>open-minded  Friendly  activated</t>
  </si>
  <si>
    <t>always find the effective way to complete task</t>
  </si>
  <si>
    <t>Send only focus email</t>
  </si>
  <si>
    <t>actively engage the team</t>
  </si>
  <si>
    <t>She is a good leader</t>
  </si>
  <si>
    <t>Chị Phúc là người rất nhiệt tình  hòa đồng  rất quan tâm đến vấn đề của các thành viên trong team</t>
  </si>
  <si>
    <t>Chị Phúc rất nhiệt tình giúp đỡ mọi người về các vấn đề trong cũng như ngoài dự án</t>
  </si>
  <si>
    <t>Chị Phúc rất nghiêm túc trong công việc</t>
  </si>
  <si>
    <t>Chị Phúc luôn sẵn lòng tiếp thu các ý tưởng mới của member để cải thiện tiến độ dự án</t>
  </si>
  <si>
    <t>Đôi khi chị Phúc hơi nóng tính và cuống trong việc sắp xếp task với cường độ cao</t>
  </si>
  <si>
    <t>Chị Phúc có thể tăng cường tổ chức các buổi team meeting khi dự án có thời gian để giúp mọi người cởi mở với nhau hơn</t>
  </si>
  <si>
    <t>Chị Phúc là người hòa đồng, dễ gần, nhiệt tình support về các vấn đề chung của dự án cũng như vấn đề cá nhân của member</t>
  </si>
  <si>
    <t>Sociable and very caring for everyone</t>
  </si>
  <si>
    <t>In some cases a decrease in respect</t>
  </si>
  <si>
    <t>In some cases increased determination</t>
  </si>
  <si>
    <t xml:space="preserve">Good management skills but sometime, need more calm down. </t>
  </si>
  <si>
    <t>Her management skills is quite good (monitoring test progress, test result, performance of project members). I think she can share this point to other project.</t>
  </si>
  <si>
    <t>She is very important</t>
  </si>
  <si>
    <t>hardworking  kindly  maner</t>
  </si>
  <si>
    <t>she is very accomplished with leader role</t>
  </si>
  <si>
    <t>maner  good attitute</t>
  </si>
  <si>
    <t>Creativity in assignment and resolve problem</t>
  </si>
  <si>
    <t>conservative</t>
  </si>
  <si>
    <t>she is good enough to lead this team</t>
  </si>
  <si>
    <t>Keep going on to lead our team</t>
  </si>
  <si>
    <t>believe more in member in personal tasks.</t>
  </si>
  <si>
    <t>care for other</t>
  </si>
  <si>
    <t xml:space="preserve">
Her personality is somewhat conservative and 
slightly self-interested</t>
  </si>
  <si>
    <t>Her personality is somewhat conservative and 
slightly self-interested</t>
  </si>
  <si>
    <t>Knowledge is good but should improve leader skill</t>
  </si>
  <si>
    <t>thangdinh</t>
  </si>
  <si>
    <t>Smart  Study fast</t>
  </si>
  <si>
    <t>Fast</t>
  </si>
  <si>
    <t>High</t>
  </si>
  <si>
    <t>go out side</t>
  </si>
  <si>
    <t>More focus on job</t>
  </si>
  <si>
    <t>He's good</t>
  </si>
  <si>
    <t xml:space="preserve">  </t>
  </si>
  <si>
    <t>He is funny guy and always eager to learn new knowledge</t>
  </si>
  <si>
    <t>hang20</t>
  </si>
  <si>
    <t>chăm chỉ  cẩn thận</t>
  </si>
  <si>
    <t>Deeply investigate  about system architecture</t>
  </si>
  <si>
    <t>we are not same project so I can not evaluate her</t>
  </si>
  <si>
    <t>She is funny, support other member very enthusiasm</t>
  </si>
  <si>
    <t>Enthusiastic and proactive at work</t>
  </si>
  <si>
    <t>Excellent to work with and willing to support others</t>
  </si>
  <si>
    <t>friendly  enthusiatic</t>
  </si>
  <si>
    <t>so so</t>
  </si>
  <si>
    <t>Should not be too meek. I mean that she should be more determined</t>
  </si>
  <si>
    <t>She should be more creative.</t>
  </si>
  <si>
    <t>ythivu</t>
  </si>
  <si>
    <t>straightforward</t>
  </si>
  <si>
    <t xml:space="preserve">Complete work on time </t>
  </si>
  <si>
    <t>She has a focused attitude at work  but not actively find out</t>
  </si>
  <si>
    <t>She has creativity and innovation</t>
  </si>
  <si>
    <t>She is going improve this year (including working and non-working)</t>
  </si>
  <si>
    <t>she is good</t>
  </si>
  <si>
    <t>ID</t>
  </si>
  <si>
    <t>Position</t>
  </si>
  <si>
    <t>Final score</t>
  </si>
  <si>
    <t xml:space="preserve">Connectivity </t>
  </si>
  <si>
    <t>Phone Projection</t>
  </si>
  <si>
    <t xml:space="preserve">Nguyen Dinh Thanh </t>
  </si>
  <si>
    <t>Update (FOTA  &amp; USB)</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</si>
</sst>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
    <numFmt numFmtId="166" formatCode="0.0_ "/>
  </numFmts>
  <fonts count="69">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0"/>
      <color theme="1"/>
      <name val="Arial"/>
      <family val="2"/>
    </font>
    <font>
      <sz val="10"/>
      <color theme="1"/>
      <name val="Arial"/>
      <family val="2"/>
    </font>
    <font>
      <i/>
      <sz val="10"/>
      <color rgb="FF000000"/>
      <name val="Arial"/>
      <family val="2"/>
    </font>
    <font>
      <sz val="10"/>
      <color rgb="FF000000"/>
      <name val="Arial"/>
      <family val="2"/>
    </font>
    <font>
      <sz val="11"/>
      <color rgb="FF000000"/>
      <name val="Arial"/>
      <family val="2"/>
    </font>
    <font>
      <b/>
      <sz val="11"/>
      <color rgb="FF000000"/>
      <name val="Arial"/>
      <family val="2"/>
    </font>
    <font>
      <sz val="11"/>
      <color theme="1"/>
      <name val="Calibri"/>
      <family val="2"/>
      <charset val="129"/>
      <scheme val="minor"/>
    </font>
    <font>
      <sz val="10"/>
      <name val="Arial"/>
      <family val="2"/>
    </font>
    <font>
      <sz val="11"/>
      <name val="돋움"/>
      <family val="3"/>
      <charset val="129"/>
    </font>
    <font>
      <sz val="10"/>
      <color theme="5" tint="-0.249977111117893"/>
      <name val="Arial"/>
      <family val="2"/>
    </font>
    <font>
      <b/>
      <sz val="9"/>
      <color theme="1"/>
      <name val="Arial"/>
      <family val="2"/>
    </font>
    <font>
      <sz val="11"/>
      <color indexed="8"/>
      <name val="Calibri"/>
      <family val="2"/>
      <scheme val="minor"/>
    </font>
    <font>
      <b/>
      <sz val="11"/>
      <name val="Calibri"/>
      <family val="2"/>
      <scheme val="minor"/>
    </font>
    <font>
      <b/>
      <sz val="10"/>
      <color rgb="FF000000"/>
      <name val="Arial"/>
      <family val="2"/>
    </font>
    <font>
      <b/>
      <sz val="9"/>
      <color indexed="81"/>
      <name val="Tahoma"/>
      <family val="2"/>
    </font>
    <font>
      <sz val="9"/>
      <color indexed="81"/>
      <name val="Tahoma"/>
      <family val="2"/>
    </font>
    <font>
      <sz val="11"/>
      <color rgb="FF000000"/>
      <name val="Calibri"/>
      <family val="2"/>
    </font>
    <font>
      <b/>
      <sz val="11"/>
      <color indexed="8"/>
      <name val="Calibri"/>
      <family val="2"/>
      <scheme val="minor"/>
    </font>
    <font>
      <sz val="11"/>
      <name val="Calibri"/>
      <family val="2"/>
      <scheme val="minor"/>
    </font>
    <font>
      <b/>
      <sz val="14"/>
      <color theme="1"/>
      <name val="Calibri"/>
      <family val="2"/>
      <scheme val="minor"/>
    </font>
    <font>
      <b/>
      <sz val="14"/>
      <color rgb="FFC00000"/>
      <name val="Calibri"/>
      <family val="2"/>
      <scheme val="minor"/>
    </font>
    <font>
      <sz val="9"/>
      <color theme="1"/>
      <name val="Calibri"/>
      <family val="2"/>
      <scheme val="minor"/>
    </font>
    <font>
      <b/>
      <sz val="15"/>
      <color theme="1"/>
      <name val="Calibri"/>
      <family val="2"/>
      <scheme val="minor"/>
    </font>
    <font>
      <b/>
      <sz val="12"/>
      <color rgb="FF000000"/>
      <name val="Calibri"/>
      <family val="2"/>
    </font>
    <font>
      <b/>
      <sz val="11"/>
      <color rgb="FF000000"/>
      <name val="Calibri"/>
      <family val="2"/>
    </font>
    <font>
      <b/>
      <sz val="13"/>
      <color rgb="FF000000"/>
      <name val="Calibri"/>
      <family val="2"/>
    </font>
    <font>
      <b/>
      <sz val="11"/>
      <color rgb="FFC00000"/>
      <name val="Calibri"/>
      <family val="2"/>
      <scheme val="minor"/>
    </font>
    <font>
      <b/>
      <sz val="12"/>
      <color theme="0"/>
      <name val="Calibri"/>
      <family val="2"/>
      <scheme val="minor"/>
    </font>
    <font>
      <b/>
      <sz val="8"/>
      <color theme="1"/>
      <name val="Arial"/>
      <family val="2"/>
    </font>
    <font>
      <sz val="8"/>
      <color theme="1"/>
      <name val="Calibri"/>
      <family val="2"/>
      <scheme val="minor"/>
    </font>
    <font>
      <sz val="10"/>
      <color rgb="FF0070C0"/>
      <name val="Arial"/>
      <family val="2"/>
    </font>
    <font>
      <sz val="10"/>
      <color rgb="FFFF0000"/>
      <name val="Arial"/>
      <family val="2"/>
    </font>
    <font>
      <b/>
      <sz val="10"/>
      <color theme="0" tint="-0.34998626667073579"/>
      <name val="Arial"/>
      <family val="2"/>
    </font>
    <font>
      <b/>
      <sz val="9"/>
      <color theme="0" tint="-0.34998626667073579"/>
      <name val="Arial"/>
      <family val="2"/>
    </font>
    <font>
      <sz val="11"/>
      <color theme="1"/>
      <name val="Arial"/>
      <family val="2"/>
    </font>
    <font>
      <sz val="11"/>
      <name val="Arial"/>
      <family val="2"/>
    </font>
    <font>
      <b/>
      <sz val="10"/>
      <name val="Arial"/>
      <family val="2"/>
    </font>
    <font>
      <b/>
      <sz val="9"/>
      <name val="Arial"/>
      <family val="2"/>
    </font>
    <font>
      <sz val="11"/>
      <color theme="1"/>
      <name val="Calibri"/>
      <family val="3"/>
      <charset val="129"/>
      <scheme val="minor"/>
    </font>
    <font>
      <b/>
      <sz val="24"/>
      <color theme="1" tint="0.34998626667073579"/>
      <name val="Arial"/>
      <family val="2"/>
    </font>
    <font>
      <sz val="11"/>
      <color theme="1" tint="0.34998626667073579"/>
      <name val="Arial"/>
      <family val="2"/>
    </font>
    <font>
      <b/>
      <sz val="14"/>
      <color theme="1" tint="0.34998626667073579"/>
      <name val="Arial"/>
      <family val="2"/>
    </font>
    <font>
      <sz val="14"/>
      <color theme="1" tint="0.34998626667073579"/>
      <name val="Arial"/>
      <family val="2"/>
    </font>
    <font>
      <b/>
      <sz val="13"/>
      <color theme="1"/>
      <name val="Arial"/>
      <family val="2"/>
    </font>
    <font>
      <i/>
      <sz val="10"/>
      <color theme="1"/>
      <name val="Arial"/>
      <family val="2"/>
    </font>
    <font>
      <b/>
      <i/>
      <u/>
      <sz val="10"/>
      <color indexed="8"/>
      <name val="Arial"/>
      <family val="2"/>
    </font>
    <font>
      <i/>
      <sz val="10"/>
      <color indexed="8"/>
      <name val="Arial"/>
      <family val="2"/>
    </font>
    <font>
      <i/>
      <sz val="10"/>
      <name val="Arial"/>
      <family val="2"/>
    </font>
    <font>
      <sz val="11"/>
      <color rgb="FF1F497D"/>
      <name val="Calibri"/>
      <family val="2"/>
    </font>
    <font>
      <sz val="11"/>
      <color rgb="FF000000"/>
      <name val="Calibri"/>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rgb="FFFFC000"/>
        <bgColor indexed="64"/>
      </patternFill>
    </fill>
    <fill>
      <patternFill patternType="solid">
        <fgColor rgb="FF00B0F0"/>
        <bgColor indexed="64"/>
      </patternFill>
    </fill>
    <fill>
      <patternFill patternType="solid">
        <fgColor theme="9"/>
        <bgColor indexed="64"/>
      </patternFill>
    </fill>
    <fill>
      <patternFill patternType="solid">
        <fgColor theme="4"/>
        <bgColor indexed="64"/>
      </patternFill>
    </fill>
    <fill>
      <patternFill patternType="solid">
        <fgColor theme="4" tint="0.79998168889431442"/>
        <bgColor indexed="64"/>
      </patternFill>
    </fill>
  </fills>
  <borders count="3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tted">
        <color indexed="64"/>
      </left>
      <right style="dotted">
        <color indexed="64"/>
      </right>
      <top style="dotted">
        <color indexed="64"/>
      </top>
      <bottom style="dotted">
        <color indexed="64"/>
      </bottom>
      <diagonal/>
    </border>
    <border>
      <left/>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top style="dashed">
        <color indexed="64"/>
      </top>
      <bottom style="dashed">
        <color indexed="64"/>
      </bottom>
      <diagonal/>
    </border>
    <border>
      <left/>
      <right style="dashed">
        <color indexed="64"/>
      </right>
      <top style="dashed">
        <color indexed="64"/>
      </top>
      <bottom style="dashed">
        <color indexed="64"/>
      </bottom>
      <diagonal/>
    </border>
    <border>
      <left/>
      <right style="thin">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thin">
        <color rgb="FF333333"/>
      </right>
      <top/>
      <bottom style="dotted">
        <color indexed="64"/>
      </bottom>
      <diagonal/>
    </border>
    <border>
      <left style="thin">
        <color rgb="FF333333"/>
      </left>
      <right style="thin">
        <color rgb="FF333333"/>
      </right>
      <top/>
      <bottom style="dotted">
        <color indexed="64"/>
      </bottom>
      <diagonal/>
    </border>
    <border>
      <left style="thin">
        <color rgb="FF333333"/>
      </left>
      <right/>
      <top/>
      <bottom style="dotted">
        <color indexed="64"/>
      </bottom>
      <diagonal/>
    </border>
    <border>
      <left/>
      <right style="thin">
        <color rgb="FF333333"/>
      </right>
      <top/>
      <bottom style="thin">
        <color rgb="FF333333"/>
      </bottom>
      <diagonal/>
    </border>
    <border>
      <left style="thin">
        <color rgb="FF333333"/>
      </left>
      <right style="thin">
        <color rgb="FF333333"/>
      </right>
      <top/>
      <bottom style="thin">
        <color rgb="FF333333"/>
      </bottom>
      <diagonal/>
    </border>
    <border>
      <left style="thin">
        <color rgb="FF333333"/>
      </left>
      <right/>
      <top/>
      <bottom style="thin">
        <color rgb="FF333333"/>
      </bottom>
      <diagonal/>
    </border>
    <border>
      <left/>
      <right style="medium">
        <color indexed="64"/>
      </right>
      <top/>
      <bottom style="medium">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9" fontId="1" fillId="0" borderId="0" applyFont="0" applyFill="0" applyBorder="0" applyAlignment="0" applyProtection="0"/>
    <xf numFmtId="0" fontId="25" fillId="0" borderId="0">
      <alignment vertical="center"/>
    </xf>
    <xf numFmtId="0" fontId="27" fillId="0" borderId="0">
      <alignment vertical="center"/>
    </xf>
    <xf numFmtId="0" fontId="27" fillId="0" borderId="0">
      <alignment vertical="center"/>
    </xf>
    <xf numFmtId="0" fontId="30" fillId="0" borderId="0"/>
    <xf numFmtId="0" fontId="57" fillId="0" borderId="0">
      <alignment vertical="center"/>
    </xf>
    <xf numFmtId="0" fontId="68" fillId="0" borderId="0"/>
  </cellStyleXfs>
  <cellXfs count="428">
    <xf numFmtId="0" fontId="0" fillId="0" borderId="0" xfId="0"/>
    <xf numFmtId="0" fontId="19" fillId="0" borderId="0" xfId="0" applyFont="1" applyBorder="1" applyAlignment="1">
      <alignment vertical="center"/>
    </xf>
    <xf numFmtId="0" fontId="20" fillId="0" borderId="0" xfId="0" applyFont="1" applyBorder="1" applyAlignment="1">
      <alignment vertical="center"/>
    </xf>
    <xf numFmtId="0" fontId="20" fillId="0" borderId="0" xfId="0" applyFont="1" applyBorder="1" applyAlignment="1">
      <alignment horizontal="center" vertical="center"/>
    </xf>
    <xf numFmtId="0" fontId="20" fillId="0" borderId="10" xfId="0" applyFont="1" applyBorder="1" applyAlignment="1">
      <alignment horizontal="center" vertical="center"/>
    </xf>
    <xf numFmtId="0" fontId="0" fillId="0" borderId="10" xfId="0" applyBorder="1"/>
    <xf numFmtId="0" fontId="0" fillId="0" borderId="10" xfId="0" applyBorder="1" applyAlignment="1">
      <alignment horizontal="center"/>
    </xf>
    <xf numFmtId="165" fontId="0" fillId="0" borderId="10" xfId="0" applyNumberFormat="1" applyBorder="1"/>
    <xf numFmtId="0" fontId="20" fillId="0" borderId="10" xfId="0" applyFont="1" applyBorder="1" applyAlignment="1">
      <alignment vertical="center"/>
    </xf>
    <xf numFmtId="0" fontId="20" fillId="38" borderId="10" xfId="0" applyFont="1" applyFill="1" applyBorder="1" applyAlignment="1">
      <alignment horizontal="center" vertical="center"/>
    </xf>
    <xf numFmtId="0" fontId="20" fillId="38" borderId="10" xfId="0" applyFont="1" applyFill="1" applyBorder="1" applyAlignment="1">
      <alignment vertical="center"/>
    </xf>
    <xf numFmtId="0" fontId="21" fillId="0" borderId="10" xfId="0" applyFont="1" applyFill="1" applyBorder="1" applyAlignment="1">
      <alignment vertical="center" wrapText="1"/>
    </xf>
    <xf numFmtId="2" fontId="21" fillId="0" borderId="10" xfId="0" applyNumberFormat="1" applyFont="1" applyFill="1" applyBorder="1" applyAlignment="1">
      <alignment vertical="center" wrapText="1"/>
    </xf>
    <xf numFmtId="0" fontId="19" fillId="38" borderId="10" xfId="0" applyFont="1" applyFill="1" applyBorder="1" applyAlignment="1">
      <alignment horizontal="center"/>
    </xf>
    <xf numFmtId="0" fontId="20" fillId="35" borderId="10" xfId="0" applyFont="1" applyFill="1" applyBorder="1" applyAlignment="1">
      <alignment vertical="center"/>
    </xf>
    <xf numFmtId="0" fontId="20" fillId="39" borderId="10" xfId="0" applyFont="1" applyFill="1" applyBorder="1" applyAlignment="1">
      <alignment vertical="center"/>
    </xf>
    <xf numFmtId="0" fontId="24" fillId="0" borderId="0" xfId="0" applyFont="1" applyFill="1" applyBorder="1" applyAlignment="1">
      <alignment horizontal="center" vertical="top" wrapText="1"/>
    </xf>
    <xf numFmtId="0" fontId="19" fillId="0" borderId="0" xfId="0" applyFont="1" applyFill="1" applyBorder="1" applyAlignment="1">
      <alignment horizontal="center"/>
    </xf>
    <xf numFmtId="0" fontId="0" fillId="0" borderId="0" xfId="0" applyAlignment="1">
      <alignment horizontal="center"/>
    </xf>
    <xf numFmtId="0" fontId="0" fillId="0" borderId="10" xfId="0" applyBorder="1" applyAlignment="1">
      <alignment horizontal="center" vertical="center"/>
    </xf>
    <xf numFmtId="0" fontId="19" fillId="0" borderId="17" xfId="0" applyFont="1" applyBorder="1" applyAlignment="1">
      <alignment horizontal="center" vertical="center"/>
    </xf>
    <xf numFmtId="0" fontId="19" fillId="38" borderId="10" xfId="0" applyFont="1" applyFill="1" applyBorder="1" applyAlignment="1">
      <alignment horizontal="center" vertical="center"/>
    </xf>
    <xf numFmtId="0" fontId="19" fillId="38" borderId="10" xfId="0" applyFont="1" applyFill="1" applyBorder="1" applyAlignment="1">
      <alignment horizontal="center" vertical="center"/>
    </xf>
    <xf numFmtId="0" fontId="22" fillId="0" borderId="10" xfId="0" applyFont="1" applyFill="1" applyBorder="1" applyAlignment="1">
      <alignment horizontal="center" vertical="top" wrapText="1"/>
    </xf>
    <xf numFmtId="0" fontId="20" fillId="0" borderId="10" xfId="0" applyFont="1" applyFill="1" applyBorder="1" applyAlignment="1">
      <alignment horizontal="center"/>
    </xf>
    <xf numFmtId="0" fontId="36" fillId="34" borderId="10" xfId="47" applyFont="1" applyFill="1" applyBorder="1" applyAlignment="1">
      <alignment horizontal="center"/>
    </xf>
    <xf numFmtId="49" fontId="36" fillId="34" borderId="10" xfId="47" applyNumberFormat="1" applyFont="1" applyFill="1" applyBorder="1" applyAlignment="1">
      <alignment horizontal="center"/>
    </xf>
    <xf numFmtId="0" fontId="36" fillId="34" borderId="10" xfId="47" applyFont="1" applyFill="1" applyBorder="1" applyAlignment="1">
      <alignment horizontal="center" vertical="center"/>
    </xf>
    <xf numFmtId="0" fontId="30" fillId="0" borderId="0" xfId="47"/>
    <xf numFmtId="0" fontId="30" fillId="0" borderId="10" xfId="47" applyBorder="1" applyAlignment="1">
      <alignment horizontal="center" vertical="center"/>
    </xf>
    <xf numFmtId="0" fontId="30" fillId="0" borderId="10" xfId="47" applyBorder="1"/>
    <xf numFmtId="49" fontId="30" fillId="0" borderId="10" xfId="47" applyNumberFormat="1" applyBorder="1"/>
    <xf numFmtId="0" fontId="37" fillId="0" borderId="10" xfId="42" applyFont="1" applyBorder="1" applyAlignment="1">
      <alignment horizontal="center" vertical="center" wrapText="1"/>
    </xf>
    <xf numFmtId="49" fontId="18" fillId="0" borderId="10" xfId="42" applyNumberFormat="1" applyBorder="1"/>
    <xf numFmtId="49" fontId="30" fillId="0" borderId="0" xfId="47" applyNumberFormat="1"/>
    <xf numFmtId="0" fontId="30" fillId="0" borderId="0" xfId="47" applyAlignment="1">
      <alignment horizontal="center" vertical="center"/>
    </xf>
    <xf numFmtId="0" fontId="31" fillId="34" borderId="10" xfId="47" applyFont="1" applyFill="1" applyBorder="1" applyAlignment="1">
      <alignment horizontal="center"/>
    </xf>
    <xf numFmtId="0" fontId="37" fillId="0" borderId="0" xfId="47" applyFont="1"/>
    <xf numFmtId="0" fontId="0" fillId="0" borderId="0" xfId="0" applyAlignment="1">
      <alignment wrapText="1"/>
    </xf>
    <xf numFmtId="0" fontId="0" fillId="35" borderId="10" xfId="0" applyFill="1" applyBorder="1"/>
    <xf numFmtId="0" fontId="19" fillId="38" borderId="10" xfId="0" applyFont="1" applyFill="1" applyBorder="1" applyAlignment="1">
      <alignment horizontal="center" vertical="center"/>
    </xf>
    <xf numFmtId="0" fontId="20" fillId="0" borderId="0" xfId="0" applyFont="1"/>
    <xf numFmtId="10" fontId="19" fillId="38" borderId="10" xfId="0" applyNumberFormat="1" applyFont="1" applyFill="1" applyBorder="1" applyAlignment="1">
      <alignment horizontal="center" vertical="center"/>
    </xf>
    <xf numFmtId="10" fontId="20" fillId="41" borderId="10" xfId="0" applyNumberFormat="1" applyFont="1" applyFill="1" applyBorder="1"/>
    <xf numFmtId="165" fontId="20" fillId="41" borderId="10" xfId="0" applyNumberFormat="1" applyFont="1" applyFill="1" applyBorder="1" applyAlignment="1">
      <alignment horizontal="center" vertical="center"/>
    </xf>
    <xf numFmtId="10" fontId="20" fillId="0" borderId="10" xfId="0" applyNumberFormat="1" applyFont="1" applyBorder="1" applyAlignment="1">
      <alignment wrapText="1"/>
    </xf>
    <xf numFmtId="165" fontId="20" fillId="0" borderId="10" xfId="0" applyNumberFormat="1" applyFont="1" applyBorder="1" applyAlignment="1">
      <alignment horizontal="center" vertical="center" wrapText="1"/>
    </xf>
    <xf numFmtId="10" fontId="20" fillId="0" borderId="10" xfId="0" applyNumberFormat="1" applyFont="1" applyBorder="1"/>
    <xf numFmtId="165" fontId="20" fillId="0" borderId="10" xfId="0" applyNumberFormat="1" applyFont="1" applyBorder="1" applyAlignment="1">
      <alignment horizontal="center" vertical="center"/>
    </xf>
    <xf numFmtId="0" fontId="0" fillId="0" borderId="0" xfId="0" applyBorder="1"/>
    <xf numFmtId="10" fontId="0" fillId="0" borderId="0" xfId="0" applyNumberFormat="1" applyBorder="1"/>
    <xf numFmtId="10" fontId="20" fillId="40" borderId="10" xfId="0" applyNumberFormat="1" applyFont="1" applyFill="1" applyBorder="1"/>
    <xf numFmtId="165" fontId="20" fillId="40" borderId="10" xfId="0" applyNumberFormat="1" applyFont="1" applyFill="1" applyBorder="1" applyAlignment="1">
      <alignment horizontal="center" vertical="center"/>
    </xf>
    <xf numFmtId="0" fontId="14" fillId="0" borderId="0" xfId="47" applyFont="1"/>
    <xf numFmtId="0" fontId="19" fillId="37" borderId="10" xfId="0" applyFont="1" applyFill="1" applyBorder="1" applyAlignment="1">
      <alignment horizontal="left" vertical="center"/>
    </xf>
    <xf numFmtId="0" fontId="16" fillId="0" borderId="0" xfId="0" applyFont="1" applyFill="1" applyBorder="1"/>
    <xf numFmtId="10" fontId="16" fillId="0" borderId="0" xfId="0" applyNumberFormat="1" applyFont="1" applyFill="1" applyBorder="1"/>
    <xf numFmtId="0" fontId="16" fillId="42" borderId="10" xfId="0" applyFont="1" applyFill="1" applyBorder="1" applyAlignment="1">
      <alignment horizontal="center"/>
    </xf>
    <xf numFmtId="10" fontId="16" fillId="42" borderId="10" xfId="0" applyNumberFormat="1" applyFont="1" applyFill="1" applyBorder="1" applyAlignment="1">
      <alignment horizontal="center"/>
    </xf>
    <xf numFmtId="0" fontId="0" fillId="0" borderId="0" xfId="0" applyBorder="1" applyAlignment="1">
      <alignment wrapText="1"/>
    </xf>
    <xf numFmtId="0" fontId="19" fillId="40" borderId="17" xfId="0" applyFont="1" applyFill="1" applyBorder="1" applyAlignment="1">
      <alignment horizontal="center" vertical="center"/>
    </xf>
    <xf numFmtId="0" fontId="0" fillId="43" borderId="10" xfId="0" applyFill="1" applyBorder="1"/>
    <xf numFmtId="0" fontId="0" fillId="43" borderId="10" xfId="0" applyFill="1" applyBorder="1" applyAlignment="1">
      <alignment wrapText="1"/>
    </xf>
    <xf numFmtId="10" fontId="0" fillId="43" borderId="10" xfId="0" applyNumberFormat="1" applyFill="1" applyBorder="1"/>
    <xf numFmtId="0" fontId="0" fillId="37" borderId="10" xfId="0" applyFill="1" applyBorder="1"/>
    <xf numFmtId="9" fontId="0" fillId="43" borderId="10" xfId="43" applyFont="1" applyFill="1" applyBorder="1" applyAlignment="1">
      <alignment horizontal="center"/>
    </xf>
    <xf numFmtId="0" fontId="19" fillId="40" borderId="10" xfId="0" applyFont="1" applyFill="1" applyBorder="1" applyAlignment="1">
      <alignment horizontal="left" vertical="center"/>
    </xf>
    <xf numFmtId="0" fontId="0" fillId="40" borderId="10" xfId="0" applyFill="1" applyBorder="1"/>
    <xf numFmtId="0" fontId="19" fillId="35" borderId="10" xfId="0" applyFont="1" applyFill="1" applyBorder="1" applyAlignment="1">
      <alignment horizontal="left" vertical="center"/>
    </xf>
    <xf numFmtId="0" fontId="19" fillId="44" borderId="10" xfId="0" applyFont="1" applyFill="1" applyBorder="1" applyAlignment="1">
      <alignment horizontal="left" vertical="center"/>
    </xf>
    <xf numFmtId="0" fontId="0" fillId="44" borderId="10" xfId="0" applyFill="1" applyBorder="1"/>
    <xf numFmtId="0" fontId="20" fillId="0" borderId="10" xfId="0" applyFont="1" applyBorder="1"/>
    <xf numFmtId="0" fontId="20" fillId="0" borderId="10" xfId="0" applyFont="1" applyBorder="1" applyAlignment="1">
      <alignment wrapText="1"/>
    </xf>
    <xf numFmtId="0" fontId="16" fillId="38" borderId="10" xfId="0" applyFont="1" applyFill="1" applyBorder="1" applyAlignment="1">
      <alignment horizontal="center" vertical="center"/>
    </xf>
    <xf numFmtId="9" fontId="0" fillId="0" borderId="0" xfId="0" applyNumberFormat="1"/>
    <xf numFmtId="2" fontId="16" fillId="38" borderId="10" xfId="0" applyNumberFormat="1" applyFont="1" applyFill="1" applyBorder="1" applyAlignment="1">
      <alignment horizontal="center" vertical="center"/>
    </xf>
    <xf numFmtId="2" fontId="0" fillId="0" borderId="0" xfId="0" applyNumberFormat="1"/>
    <xf numFmtId="0" fontId="40" fillId="0" borderId="0" xfId="0" applyFont="1"/>
    <xf numFmtId="0" fontId="29" fillId="35" borderId="10" xfId="0" applyFont="1" applyFill="1" applyBorder="1" applyAlignment="1">
      <alignment horizontal="center" vertical="center" wrapText="1"/>
    </xf>
    <xf numFmtId="2" fontId="29" fillId="35" borderId="10" xfId="0" applyNumberFormat="1" applyFont="1" applyFill="1" applyBorder="1" applyAlignment="1">
      <alignment horizontal="center" vertical="center" wrapText="1"/>
    </xf>
    <xf numFmtId="0" fontId="29" fillId="40" borderId="10" xfId="0" applyFont="1" applyFill="1" applyBorder="1" applyAlignment="1">
      <alignment horizontal="center" vertical="center" wrapText="1"/>
    </xf>
    <xf numFmtId="0" fontId="29" fillId="37" borderId="10" xfId="0" applyFont="1" applyFill="1" applyBorder="1" applyAlignment="1">
      <alignment horizontal="center" vertical="center" wrapText="1"/>
    </xf>
    <xf numFmtId="0" fontId="29" fillId="45" borderId="10" xfId="0" applyFont="1" applyFill="1" applyBorder="1" applyAlignment="1">
      <alignment horizontal="center" vertical="center" wrapText="1"/>
    </xf>
    <xf numFmtId="2" fontId="29" fillId="45" borderId="10" xfId="0" applyNumberFormat="1" applyFont="1" applyFill="1" applyBorder="1" applyAlignment="1">
      <alignment horizontal="center" vertical="center" wrapText="1"/>
    </xf>
    <xf numFmtId="0" fontId="20" fillId="44" borderId="10" xfId="0" applyFont="1" applyFill="1" applyBorder="1" applyAlignment="1">
      <alignment wrapText="1"/>
    </xf>
    <xf numFmtId="0" fontId="20" fillId="44" borderId="10" xfId="0" applyFont="1" applyFill="1" applyBorder="1"/>
    <xf numFmtId="0" fontId="20" fillId="0" borderId="10" xfId="0" applyFont="1" applyFill="1" applyBorder="1" applyAlignment="1">
      <alignment wrapText="1"/>
    </xf>
    <xf numFmtId="0" fontId="20" fillId="0" borderId="10" xfId="0" applyFont="1" applyFill="1" applyBorder="1"/>
    <xf numFmtId="10" fontId="20" fillId="0" borderId="10" xfId="43" applyNumberFormat="1" applyFont="1" applyFill="1" applyBorder="1"/>
    <xf numFmtId="2" fontId="20" fillId="0" borderId="10" xfId="43" applyNumberFormat="1" applyFont="1" applyFill="1" applyBorder="1"/>
    <xf numFmtId="9" fontId="20" fillId="0" borderId="10" xfId="43" applyFont="1" applyFill="1" applyBorder="1" applyAlignment="1">
      <alignment horizontal="center"/>
    </xf>
    <xf numFmtId="0" fontId="29" fillId="43" borderId="10" xfId="0" applyFont="1" applyFill="1" applyBorder="1" applyAlignment="1">
      <alignment horizontal="center" vertical="center" wrapText="1"/>
    </xf>
    <xf numFmtId="0" fontId="0" fillId="0" borderId="10" xfId="0" applyBorder="1" applyAlignment="1">
      <alignment wrapText="1"/>
    </xf>
    <xf numFmtId="9" fontId="0" fillId="0" borderId="10" xfId="43" applyNumberFormat="1" applyFont="1" applyFill="1" applyBorder="1"/>
    <xf numFmtId="2" fontId="0" fillId="0" borderId="10" xfId="43" applyNumberFormat="1" applyFont="1" applyFill="1" applyBorder="1"/>
    <xf numFmtId="9" fontId="0" fillId="0" borderId="10" xfId="0" applyNumberFormat="1" applyFill="1" applyBorder="1"/>
    <xf numFmtId="3" fontId="0" fillId="0" borderId="10" xfId="0" applyNumberFormat="1" applyFill="1" applyBorder="1"/>
    <xf numFmtId="0" fontId="26" fillId="44" borderId="10" xfId="0" applyFont="1" applyFill="1" applyBorder="1" applyAlignment="1">
      <alignment wrapText="1"/>
    </xf>
    <xf numFmtId="9" fontId="0" fillId="0" borderId="0" xfId="0" applyNumberFormat="1" applyAlignment="1">
      <alignment horizontal="center"/>
    </xf>
    <xf numFmtId="0" fontId="35" fillId="37" borderId="10" xfId="0" applyFont="1" applyFill="1" applyBorder="1" applyAlignment="1">
      <alignment horizontal="center" vertical="center"/>
    </xf>
    <xf numFmtId="0" fontId="35" fillId="37" borderId="10" xfId="0" applyFont="1" applyFill="1" applyBorder="1" applyAlignment="1">
      <alignment horizontal="center" vertical="center" wrapText="1"/>
    </xf>
    <xf numFmtId="0" fontId="0" fillId="43" borderId="10" xfId="0" applyFill="1" applyBorder="1" applyAlignment="1">
      <alignment horizontal="left" vertical="center" wrapText="1"/>
    </xf>
    <xf numFmtId="0" fontId="43" fillId="43" borderId="10" xfId="0" applyFont="1" applyFill="1" applyBorder="1" applyAlignment="1">
      <alignment horizontal="center" vertical="center" wrapText="1"/>
    </xf>
    <xf numFmtId="0" fontId="0" fillId="33" borderId="10" xfId="0" applyFill="1" applyBorder="1" applyAlignment="1">
      <alignment horizontal="left" vertical="center" wrapText="1"/>
    </xf>
    <xf numFmtId="0" fontId="43" fillId="33" borderId="10" xfId="0" applyFont="1" applyFill="1" applyBorder="1" applyAlignment="1">
      <alignment horizontal="center" vertical="center" wrapText="1"/>
    </xf>
    <xf numFmtId="0" fontId="0" fillId="47" borderId="10" xfId="0" applyFill="1" applyBorder="1" applyAlignment="1">
      <alignment horizontal="left" vertical="center" wrapText="1"/>
    </xf>
    <xf numFmtId="0" fontId="43" fillId="47" borderId="10" xfId="0" applyFont="1" applyFill="1" applyBorder="1" applyAlignment="1">
      <alignment horizontal="left" vertical="center" wrapText="1"/>
    </xf>
    <xf numFmtId="0" fontId="37" fillId="0" borderId="10" xfId="47" applyFont="1" applyFill="1" applyBorder="1" applyAlignment="1">
      <alignment horizontal="center" vertical="center"/>
    </xf>
    <xf numFmtId="0" fontId="37" fillId="0" borderId="10" xfId="47" applyFont="1" applyFill="1" applyBorder="1" applyAlignment="1">
      <alignment horizontal="center" vertical="center" wrapText="1"/>
    </xf>
    <xf numFmtId="165" fontId="0" fillId="0" borderId="10" xfId="0" applyNumberFormat="1" applyBorder="1" applyAlignment="1">
      <alignment horizontal="center"/>
    </xf>
    <xf numFmtId="165" fontId="43" fillId="43" borderId="10" xfId="0" applyNumberFormat="1" applyFont="1" applyFill="1" applyBorder="1" applyAlignment="1">
      <alignment horizontal="center"/>
    </xf>
    <xf numFmtId="165" fontId="43" fillId="33" borderId="10" xfId="0" applyNumberFormat="1" applyFont="1" applyFill="1" applyBorder="1" applyAlignment="1">
      <alignment horizontal="center"/>
    </xf>
    <xf numFmtId="165" fontId="0" fillId="47" borderId="10" xfId="0" applyNumberFormat="1" applyFill="1" applyBorder="1" applyAlignment="1">
      <alignment horizontal="center"/>
    </xf>
    <xf numFmtId="9" fontId="0" fillId="0" borderId="0" xfId="43" applyFont="1"/>
    <xf numFmtId="0" fontId="19" fillId="48" borderId="10" xfId="0" applyFont="1" applyFill="1" applyBorder="1" applyAlignment="1">
      <alignment horizontal="left" vertical="center"/>
    </xf>
    <xf numFmtId="0" fontId="0" fillId="48" borderId="10" xfId="0" applyFill="1" applyBorder="1"/>
    <xf numFmtId="10" fontId="20" fillId="44" borderId="10" xfId="43" applyNumberFormat="1" applyFont="1" applyFill="1" applyBorder="1"/>
    <xf numFmtId="2" fontId="20" fillId="44" borderId="10" xfId="43" applyNumberFormat="1" applyFont="1" applyFill="1" applyBorder="1"/>
    <xf numFmtId="9" fontId="0" fillId="0" borderId="10" xfId="43" applyFont="1" applyFill="1" applyBorder="1"/>
    <xf numFmtId="0" fontId="38" fillId="0" borderId="22" xfId="0" applyFont="1" applyBorder="1" applyAlignment="1">
      <alignment horizontal="center"/>
    </xf>
    <xf numFmtId="2" fontId="39" fillId="0" borderId="19" xfId="0" applyNumberFormat="1" applyFont="1" applyBorder="1"/>
    <xf numFmtId="0" fontId="19" fillId="38" borderId="10" xfId="0" applyFont="1" applyFill="1" applyBorder="1" applyAlignment="1">
      <alignment horizontal="center" vertical="center"/>
    </xf>
    <xf numFmtId="0" fontId="19" fillId="38" borderId="10" xfId="0" applyFont="1" applyFill="1" applyBorder="1" applyAlignment="1">
      <alignment horizontal="center" vertical="center"/>
    </xf>
    <xf numFmtId="2" fontId="21" fillId="37" borderId="10" xfId="0" applyNumberFormat="1" applyFont="1" applyFill="1" applyBorder="1" applyAlignment="1">
      <alignment vertical="center" wrapText="1"/>
    </xf>
    <xf numFmtId="0" fontId="20" fillId="37" borderId="10" xfId="0" applyFont="1" applyFill="1" applyBorder="1" applyAlignment="1">
      <alignment vertical="center"/>
    </xf>
    <xf numFmtId="0" fontId="20" fillId="37" borderId="10" xfId="0" applyFont="1" applyFill="1" applyBorder="1" applyAlignment="1">
      <alignment horizontal="center" vertical="center"/>
    </xf>
    <xf numFmtId="0" fontId="21" fillId="37" borderId="10" xfId="0" applyFont="1" applyFill="1" applyBorder="1" applyAlignment="1">
      <alignment vertical="center" wrapText="1"/>
    </xf>
    <xf numFmtId="0" fontId="20" fillId="0" borderId="10" xfId="0" applyFont="1" applyFill="1" applyBorder="1" applyAlignment="1">
      <alignment horizontal="center" vertical="center"/>
    </xf>
    <xf numFmtId="9" fontId="20" fillId="39" borderId="10" xfId="43" applyFont="1" applyFill="1" applyBorder="1" applyAlignment="1">
      <alignment horizontal="center" vertical="center"/>
    </xf>
    <xf numFmtId="9" fontId="20" fillId="35" borderId="10" xfId="43" applyFont="1" applyFill="1" applyBorder="1" applyAlignment="1">
      <alignment horizontal="center" vertical="center"/>
    </xf>
    <xf numFmtId="9" fontId="28" fillId="35" borderId="10" xfId="43" applyFont="1" applyFill="1" applyBorder="1" applyAlignment="1">
      <alignment horizontal="center" vertical="center"/>
    </xf>
    <xf numFmtId="9" fontId="20" fillId="37" borderId="10" xfId="43" applyFont="1" applyFill="1" applyBorder="1" applyAlignment="1">
      <alignment horizontal="center" vertical="center"/>
    </xf>
    <xf numFmtId="0" fontId="45" fillId="0" borderId="19" xfId="0" applyFont="1" applyBorder="1"/>
    <xf numFmtId="0" fontId="47" fillId="34" borderId="10" xfId="0" applyFont="1" applyFill="1" applyBorder="1" applyAlignment="1">
      <alignment horizontal="center" vertical="center"/>
    </xf>
    <xf numFmtId="0" fontId="48" fillId="42" borderId="10" xfId="0" applyFont="1" applyFill="1" applyBorder="1" applyAlignment="1">
      <alignment horizontal="center" vertical="center"/>
    </xf>
    <xf numFmtId="0" fontId="48" fillId="42" borderId="10" xfId="0" applyFont="1" applyFill="1" applyBorder="1" applyAlignment="1">
      <alignment horizontal="center" vertical="center" wrapText="1"/>
    </xf>
    <xf numFmtId="0" fontId="19" fillId="34" borderId="10" xfId="0" applyFont="1" applyFill="1" applyBorder="1" applyAlignment="1">
      <alignment horizontal="center" vertical="center"/>
    </xf>
    <xf numFmtId="0" fontId="19" fillId="35" borderId="10" xfId="0" applyFont="1" applyFill="1" applyBorder="1" applyAlignment="1">
      <alignment horizontal="center" vertical="center"/>
    </xf>
    <xf numFmtId="9" fontId="16" fillId="42" borderId="10" xfId="43" applyFont="1" applyFill="1" applyBorder="1" applyAlignment="1">
      <alignment horizontal="center"/>
    </xf>
    <xf numFmtId="9" fontId="31" fillId="42" borderId="10" xfId="43" applyFont="1" applyFill="1" applyBorder="1" applyAlignment="1">
      <alignment horizontal="center"/>
    </xf>
    <xf numFmtId="1" fontId="20" fillId="0" borderId="10" xfId="0" applyNumberFormat="1" applyFont="1" applyBorder="1" applyAlignment="1">
      <alignment horizontal="center" vertical="center" wrapText="1"/>
    </xf>
    <xf numFmtId="3" fontId="0" fillId="38" borderId="10" xfId="0" applyNumberFormat="1" applyFill="1" applyBorder="1" applyAlignment="1">
      <alignment horizontal="center"/>
    </xf>
    <xf numFmtId="9" fontId="0" fillId="38" borderId="10" xfId="43" applyFont="1" applyFill="1" applyBorder="1" applyAlignment="1">
      <alignment horizontal="center"/>
    </xf>
    <xf numFmtId="3" fontId="0" fillId="39" borderId="10" xfId="0" applyNumberFormat="1" applyFill="1" applyBorder="1" applyAlignment="1">
      <alignment horizontal="center"/>
    </xf>
    <xf numFmtId="3" fontId="0" fillId="0" borderId="10" xfId="0" applyNumberFormat="1" applyFill="1" applyBorder="1" applyAlignment="1">
      <alignment horizontal="center"/>
    </xf>
    <xf numFmtId="0" fontId="20" fillId="37" borderId="10" xfId="0" applyFont="1" applyFill="1" applyBorder="1" applyAlignment="1">
      <alignment horizontal="left" vertical="center"/>
    </xf>
    <xf numFmtId="0" fontId="22" fillId="37" borderId="10" xfId="0" applyFont="1" applyFill="1" applyBorder="1" applyAlignment="1">
      <alignment vertical="center" wrapText="1"/>
    </xf>
    <xf numFmtId="9" fontId="0" fillId="39" borderId="10" xfId="43" applyFont="1" applyFill="1" applyBorder="1" applyAlignment="1">
      <alignment horizontal="center"/>
    </xf>
    <xf numFmtId="0" fontId="20" fillId="37" borderId="12" xfId="0" applyFont="1" applyFill="1" applyBorder="1" applyAlignment="1">
      <alignment horizontal="left" vertical="center"/>
    </xf>
    <xf numFmtId="0" fontId="49" fillId="37" borderId="10" xfId="0" applyFont="1" applyFill="1" applyBorder="1" applyAlignment="1">
      <alignment horizontal="left"/>
    </xf>
    <xf numFmtId="0" fontId="20" fillId="35" borderId="10" xfId="0" applyFont="1" applyFill="1" applyBorder="1" applyAlignment="1">
      <alignment horizontal="center" vertical="center" wrapText="1"/>
    </xf>
    <xf numFmtId="0" fontId="20" fillId="35" borderId="10" xfId="0" applyFont="1" applyFill="1" applyBorder="1" applyAlignment="1">
      <alignment horizontal="left" vertical="center"/>
    </xf>
    <xf numFmtId="9" fontId="1" fillId="38" borderId="10" xfId="43" applyFont="1" applyFill="1" applyBorder="1" applyAlignment="1">
      <alignment horizontal="center"/>
    </xf>
    <xf numFmtId="9" fontId="1" fillId="39" borderId="10" xfId="43" applyFont="1" applyFill="1" applyBorder="1" applyAlignment="1">
      <alignment horizontal="center"/>
    </xf>
    <xf numFmtId="3" fontId="1" fillId="39" borderId="10" xfId="0" applyNumberFormat="1" applyFont="1" applyFill="1" applyBorder="1" applyAlignment="1">
      <alignment horizontal="center"/>
    </xf>
    <xf numFmtId="0" fontId="49" fillId="35" borderId="10" xfId="0" applyFont="1" applyFill="1" applyBorder="1" applyAlignment="1">
      <alignment horizontal="left" vertical="center"/>
    </xf>
    <xf numFmtId="9" fontId="20" fillId="0" borderId="10" xfId="43" applyFont="1" applyBorder="1" applyAlignment="1">
      <alignment horizontal="center" vertical="center"/>
    </xf>
    <xf numFmtId="9" fontId="20" fillId="0" borderId="10" xfId="43" applyFont="1" applyBorder="1" applyAlignment="1">
      <alignment horizontal="center" vertical="center" wrapText="1"/>
    </xf>
    <xf numFmtId="0" fontId="20" fillId="44" borderId="10" xfId="0" applyFont="1" applyFill="1" applyBorder="1" applyAlignment="1">
      <alignment horizontal="center" vertical="center" wrapText="1"/>
    </xf>
    <xf numFmtId="0" fontId="20" fillId="44" borderId="10" xfId="0" applyFont="1" applyFill="1" applyBorder="1" applyAlignment="1">
      <alignment horizontal="left" vertical="center" wrapText="1"/>
    </xf>
    <xf numFmtId="0" fontId="20" fillId="44" borderId="10" xfId="0" applyFont="1" applyFill="1" applyBorder="1" applyAlignment="1">
      <alignment vertical="center" wrapText="1"/>
    </xf>
    <xf numFmtId="3" fontId="0" fillId="39" borderId="16" xfId="0" applyNumberFormat="1" applyFill="1" applyBorder="1" applyAlignment="1">
      <alignment horizontal="center"/>
    </xf>
    <xf numFmtId="3" fontId="0" fillId="39" borderId="16" xfId="0" applyNumberFormat="1" applyFill="1" applyBorder="1" applyAlignment="1">
      <alignment horizontal="center" wrapText="1"/>
    </xf>
    <xf numFmtId="3" fontId="0" fillId="38" borderId="10" xfId="0" applyNumberFormat="1" applyFill="1" applyBorder="1" applyAlignment="1">
      <alignment horizontal="center" vertical="center"/>
    </xf>
    <xf numFmtId="9" fontId="0" fillId="38" borderId="10" xfId="43" applyFont="1" applyFill="1" applyBorder="1" applyAlignment="1">
      <alignment horizontal="center" vertical="center"/>
    </xf>
    <xf numFmtId="3" fontId="0" fillId="0" borderId="10" xfId="0" applyNumberFormat="1" applyFill="1" applyBorder="1" applyAlignment="1">
      <alignment horizontal="center" vertical="center"/>
    </xf>
    <xf numFmtId="3" fontId="0" fillId="39" borderId="10" xfId="0" applyNumberFormat="1" applyFill="1" applyBorder="1" applyAlignment="1">
      <alignment horizontal="center" vertical="center"/>
    </xf>
    <xf numFmtId="0" fontId="35" fillId="50" borderId="10" xfId="0" applyFont="1" applyFill="1" applyBorder="1" applyAlignment="1">
      <alignment horizontal="center" vertical="center"/>
    </xf>
    <xf numFmtId="3" fontId="0" fillId="39" borderId="16" xfId="0" applyNumberFormat="1" applyFill="1" applyBorder="1" applyAlignment="1">
      <alignment horizontal="center" vertical="center"/>
    </xf>
    <xf numFmtId="0" fontId="20" fillId="44" borderId="10" xfId="0" applyFont="1" applyFill="1" applyBorder="1" applyAlignment="1">
      <alignment horizontal="left" vertical="center"/>
    </xf>
    <xf numFmtId="0" fontId="20" fillId="37" borderId="10" xfId="0" applyFont="1" applyFill="1" applyBorder="1" applyAlignment="1">
      <alignment horizontal="center"/>
    </xf>
    <xf numFmtId="0" fontId="20" fillId="39" borderId="10" xfId="0" applyFont="1" applyFill="1" applyBorder="1" applyAlignment="1">
      <alignment horizontal="center"/>
    </xf>
    <xf numFmtId="10" fontId="16" fillId="40" borderId="10" xfId="0" applyNumberFormat="1" applyFont="1" applyFill="1" applyBorder="1" applyAlignment="1">
      <alignment horizontal="center"/>
    </xf>
    <xf numFmtId="0" fontId="19" fillId="34" borderId="10" xfId="0" applyFont="1" applyFill="1" applyBorder="1" applyAlignment="1">
      <alignment horizontal="center" vertical="center"/>
    </xf>
    <xf numFmtId="0" fontId="20" fillId="44" borderId="10" xfId="0" applyFont="1" applyFill="1" applyBorder="1" applyAlignment="1">
      <alignment horizontal="center" vertical="center" wrapText="1"/>
    </xf>
    <xf numFmtId="0" fontId="20" fillId="37" borderId="10" xfId="0" applyFont="1" applyFill="1" applyBorder="1" applyAlignment="1">
      <alignment horizontal="left" vertical="center"/>
    </xf>
    <xf numFmtId="0" fontId="0" fillId="0" borderId="0" xfId="0" applyBorder="1" applyAlignment="1">
      <alignment horizontal="center"/>
    </xf>
    <xf numFmtId="0" fontId="16" fillId="38" borderId="0" xfId="0" applyFont="1" applyFill="1" applyBorder="1" applyAlignment="1">
      <alignment horizontal="center" vertical="center"/>
    </xf>
    <xf numFmtId="9" fontId="0" fillId="0" borderId="0" xfId="0" applyNumberFormat="1" applyBorder="1"/>
    <xf numFmtId="0" fontId="0" fillId="36" borderId="10" xfId="0" applyFill="1" applyBorder="1"/>
    <xf numFmtId="0" fontId="50" fillId="37" borderId="10" xfId="0" applyFont="1" applyFill="1" applyBorder="1" applyAlignment="1">
      <alignment horizontal="left"/>
    </xf>
    <xf numFmtId="1" fontId="0" fillId="0" borderId="10" xfId="43" applyNumberFormat="1" applyFont="1" applyFill="1" applyBorder="1" applyAlignment="1">
      <alignment horizontal="center"/>
    </xf>
    <xf numFmtId="0" fontId="52" fillId="35" borderId="10" xfId="0" applyFont="1" applyFill="1" applyBorder="1" applyAlignment="1">
      <alignment horizontal="center" vertical="center" wrapText="1"/>
    </xf>
    <xf numFmtId="2" fontId="52" fillId="35" borderId="10" xfId="0" applyNumberFormat="1" applyFont="1" applyFill="1" applyBorder="1" applyAlignment="1">
      <alignment horizontal="center" vertical="center" wrapText="1"/>
    </xf>
    <xf numFmtId="0" fontId="52" fillId="40" borderId="10" xfId="0" applyFont="1" applyFill="1" applyBorder="1" applyAlignment="1">
      <alignment horizontal="center" vertical="center" wrapText="1"/>
    </xf>
    <xf numFmtId="9" fontId="0" fillId="0" borderId="10" xfId="43" applyFont="1" applyFill="1" applyBorder="1" applyAlignment="1">
      <alignment horizontal="center"/>
    </xf>
    <xf numFmtId="0" fontId="54" fillId="0" borderId="10" xfId="0" applyFont="1" applyBorder="1" applyAlignment="1">
      <alignment vertical="top" wrapText="1"/>
    </xf>
    <xf numFmtId="3" fontId="1" fillId="0" borderId="10" xfId="0" applyNumberFormat="1" applyFont="1" applyFill="1" applyBorder="1" applyAlignment="1">
      <alignment horizontal="center"/>
    </xf>
    <xf numFmtId="9" fontId="1" fillId="0" borderId="10" xfId="43" applyFont="1" applyFill="1" applyBorder="1" applyAlignment="1">
      <alignment horizontal="center"/>
    </xf>
    <xf numFmtId="1" fontId="0" fillId="0" borderId="0" xfId="0" applyNumberFormat="1" applyBorder="1"/>
    <xf numFmtId="0" fontId="56" fillId="35" borderId="10" xfId="0" applyFont="1" applyFill="1" applyBorder="1" applyAlignment="1">
      <alignment horizontal="center" vertical="center" wrapText="1"/>
    </xf>
    <xf numFmtId="2" fontId="56" fillId="35" borderId="10" xfId="0" applyNumberFormat="1" applyFont="1" applyFill="1" applyBorder="1" applyAlignment="1">
      <alignment horizontal="center" vertical="center" wrapText="1"/>
    </xf>
    <xf numFmtId="0" fontId="53" fillId="0" borderId="0" xfId="48" applyFont="1">
      <alignment vertical="center"/>
    </xf>
    <xf numFmtId="166" fontId="62" fillId="0" borderId="0" xfId="48" applyNumberFormat="1" applyFont="1">
      <alignment vertical="center"/>
    </xf>
    <xf numFmtId="14" fontId="53" fillId="0" borderId="0" xfId="48" applyNumberFormat="1" applyFont="1">
      <alignment vertical="center"/>
    </xf>
    <xf numFmtId="166" fontId="32" fillId="52" borderId="23" xfId="48" applyNumberFormat="1" applyFont="1" applyFill="1" applyBorder="1" applyAlignment="1">
      <alignment horizontal="center" vertical="center" wrapText="1"/>
    </xf>
    <xf numFmtId="14" fontId="32" fillId="52" borderId="23" xfId="48" applyNumberFormat="1" applyFont="1" applyFill="1" applyBorder="1" applyAlignment="1">
      <alignment horizontal="center" vertical="center" wrapText="1"/>
    </xf>
    <xf numFmtId="0" fontId="32" fillId="52" borderId="24" xfId="48" applyFont="1" applyFill="1" applyBorder="1" applyAlignment="1">
      <alignment horizontal="center" vertical="center" wrapText="1"/>
    </xf>
    <xf numFmtId="0" fontId="32" fillId="52" borderId="25" xfId="48" applyFont="1" applyFill="1" applyBorder="1" applyAlignment="1">
      <alignment horizontal="center" vertical="center" wrapText="1"/>
    </xf>
    <xf numFmtId="166" fontId="26" fillId="0" borderId="26" xfId="48" applyNumberFormat="1" applyFont="1" applyBorder="1" applyAlignment="1">
      <alignment horizontal="center" vertical="center" wrapText="1"/>
    </xf>
    <xf numFmtId="14" fontId="26" fillId="0" borderId="26" xfId="48" applyNumberFormat="1" applyFont="1" applyBorder="1" applyAlignment="1">
      <alignment horizontal="center" vertical="center" wrapText="1"/>
    </xf>
    <xf numFmtId="0" fontId="26" fillId="0" borderId="27" xfId="48" applyFont="1" applyBorder="1" applyAlignment="1">
      <alignment horizontal="left" vertical="center" wrapText="1"/>
    </xf>
    <xf numFmtId="0" fontId="26" fillId="0" borderId="28" xfId="48" applyFont="1" applyBorder="1" applyAlignment="1">
      <alignment horizontal="center" vertical="center" wrapText="1"/>
    </xf>
    <xf numFmtId="166" fontId="22" fillId="0" borderId="26" xfId="48" applyNumberFormat="1" applyFont="1" applyBorder="1" applyAlignment="1">
      <alignment horizontal="center" vertical="center" wrapText="1"/>
    </xf>
    <xf numFmtId="14" fontId="22" fillId="0" borderId="26" xfId="48" applyNumberFormat="1" applyFont="1" applyBorder="1" applyAlignment="1">
      <alignment horizontal="center" vertical="center" wrapText="1"/>
    </xf>
    <xf numFmtId="0" fontId="22" fillId="0" borderId="27" xfId="48" applyFont="1" applyBorder="1" applyAlignment="1">
      <alignment horizontal="left" vertical="center" wrapText="1"/>
    </xf>
    <xf numFmtId="0" fontId="22" fillId="0" borderId="28" xfId="48" applyFont="1" applyBorder="1" applyAlignment="1">
      <alignment horizontal="center" vertical="center" wrapText="1"/>
    </xf>
    <xf numFmtId="14" fontId="22" fillId="0" borderId="26" xfId="48" applyNumberFormat="1" applyFont="1" applyBorder="1" applyAlignment="1">
      <alignment horizontal="center" vertical="top" wrapText="1"/>
    </xf>
    <xf numFmtId="0" fontId="22" fillId="0" borderId="27" xfId="48" applyFont="1" applyBorder="1" applyAlignment="1">
      <alignment horizontal="left" vertical="top" wrapText="1"/>
    </xf>
    <xf numFmtId="0" fontId="22" fillId="0" borderId="28" xfId="48" applyFont="1" applyBorder="1" applyAlignment="1">
      <alignment horizontal="center" vertical="top" wrapText="1"/>
    </xf>
    <xf numFmtId="166" fontId="22" fillId="0" borderId="29" xfId="48" applyNumberFormat="1" applyFont="1" applyBorder="1" applyAlignment="1">
      <alignment horizontal="center" vertical="center" wrapText="1"/>
    </xf>
    <xf numFmtId="14" fontId="22" fillId="0" borderId="29" xfId="48" applyNumberFormat="1" applyFont="1" applyBorder="1" applyAlignment="1">
      <alignment horizontal="center" vertical="top" wrapText="1"/>
    </xf>
    <xf numFmtId="0" fontId="22" fillId="0" borderId="30" xfId="48" applyFont="1" applyBorder="1" applyAlignment="1">
      <alignment horizontal="left" vertical="top" wrapText="1"/>
    </xf>
    <xf numFmtId="0" fontId="22" fillId="0" borderId="31" xfId="48" applyFont="1" applyBorder="1" applyAlignment="1">
      <alignment horizontal="center" vertical="top" wrapText="1"/>
    </xf>
    <xf numFmtId="0" fontId="22" fillId="0" borderId="31" xfId="48" applyFont="1" applyBorder="1" applyAlignment="1">
      <alignment horizontal="center" vertical="center" wrapText="1"/>
    </xf>
    <xf numFmtId="166" fontId="22" fillId="0" borderId="0" xfId="48" applyNumberFormat="1" applyFont="1" applyBorder="1" applyAlignment="1">
      <alignment horizontal="center" vertical="center" wrapText="1"/>
    </xf>
    <xf numFmtId="14" fontId="22" fillId="0" borderId="0" xfId="48" applyNumberFormat="1" applyFont="1" applyBorder="1" applyAlignment="1">
      <alignment horizontal="center" vertical="top" wrapText="1"/>
    </xf>
    <xf numFmtId="0" fontId="22" fillId="0" borderId="0" xfId="48" applyFont="1" applyBorder="1" applyAlignment="1">
      <alignment horizontal="center" vertical="top" wrapText="1"/>
    </xf>
    <xf numFmtId="0" fontId="22" fillId="0" borderId="0" xfId="48" applyFont="1" applyBorder="1" applyAlignment="1">
      <alignment horizontal="center" vertical="center" wrapText="1"/>
    </xf>
    <xf numFmtId="166" fontId="53" fillId="0" borderId="0" xfId="48" applyNumberFormat="1" applyFont="1">
      <alignment vertical="center"/>
    </xf>
    <xf numFmtId="0" fontId="20" fillId="35" borderId="13" xfId="0" applyFont="1" applyFill="1" applyBorder="1" applyAlignment="1">
      <alignment horizontal="center" vertical="center" wrapText="1"/>
    </xf>
    <xf numFmtId="0" fontId="20" fillId="35" borderId="13" xfId="0" applyFont="1" applyFill="1" applyBorder="1" applyAlignment="1">
      <alignment horizontal="left" vertical="center"/>
    </xf>
    <xf numFmtId="0" fontId="20" fillId="51" borderId="10" xfId="0" applyFont="1" applyFill="1" applyBorder="1" applyAlignment="1">
      <alignment vertical="center"/>
    </xf>
    <xf numFmtId="0" fontId="20" fillId="51" borderId="10" xfId="0" applyFont="1" applyFill="1" applyBorder="1" applyAlignment="1">
      <alignment wrapText="1"/>
    </xf>
    <xf numFmtId="0" fontId="49" fillId="51" borderId="10" xfId="0" applyFont="1" applyFill="1" applyBorder="1" applyAlignment="1">
      <alignment horizontal="left" vertical="center"/>
    </xf>
    <xf numFmtId="0" fontId="49" fillId="51" borderId="10" xfId="0" applyFont="1" applyFill="1" applyBorder="1" applyAlignment="1">
      <alignment horizontal="left" vertical="top"/>
    </xf>
    <xf numFmtId="9" fontId="0" fillId="39" borderId="16" xfId="43" applyFont="1" applyFill="1" applyBorder="1" applyAlignment="1">
      <alignment horizontal="center"/>
    </xf>
    <xf numFmtId="0" fontId="20" fillId="51" borderId="10" xfId="0" applyFont="1" applyFill="1" applyBorder="1" applyAlignment="1">
      <alignment horizontal="left" vertical="center" wrapText="1"/>
    </xf>
    <xf numFmtId="0" fontId="20" fillId="51" borderId="10" xfId="0" applyFont="1" applyFill="1" applyBorder="1"/>
    <xf numFmtId="0" fontId="20" fillId="51" borderId="10" xfId="0" applyFont="1" applyFill="1" applyBorder="1" applyAlignment="1">
      <alignment horizontal="left" vertical="center"/>
    </xf>
    <xf numFmtId="0" fontId="0" fillId="51" borderId="10" xfId="0" applyFill="1" applyBorder="1"/>
    <xf numFmtId="0" fontId="19" fillId="34" borderId="10" xfId="0" applyFont="1" applyFill="1" applyBorder="1" applyAlignment="1">
      <alignment horizontal="center" vertical="center"/>
    </xf>
    <xf numFmtId="0" fontId="20" fillId="44" borderId="10" xfId="0" applyFont="1" applyFill="1" applyBorder="1" applyAlignment="1">
      <alignment horizontal="center" vertical="center" wrapText="1"/>
    </xf>
    <xf numFmtId="0" fontId="20" fillId="37" borderId="10" xfId="0" applyFont="1" applyFill="1" applyBorder="1" applyAlignment="1">
      <alignment horizontal="left" vertical="center"/>
    </xf>
    <xf numFmtId="0" fontId="20" fillId="35" borderId="13" xfId="0" applyFont="1" applyFill="1" applyBorder="1" applyAlignment="1">
      <alignment horizontal="center" vertical="center" wrapText="1"/>
    </xf>
    <xf numFmtId="0" fontId="20" fillId="35" borderId="13" xfId="0" applyFont="1" applyFill="1" applyBorder="1" applyAlignment="1">
      <alignment horizontal="left" vertical="center"/>
    </xf>
    <xf numFmtId="2" fontId="0" fillId="0" borderId="10" xfId="0" applyNumberFormat="1" applyBorder="1"/>
    <xf numFmtId="0" fontId="20" fillId="33" borderId="10" xfId="0" applyFont="1" applyFill="1" applyBorder="1" applyAlignment="1">
      <alignment horizontal="center"/>
    </xf>
    <xf numFmtId="0" fontId="20" fillId="53" borderId="10" xfId="0" applyFont="1" applyFill="1" applyBorder="1" applyAlignment="1">
      <alignment horizontal="center"/>
    </xf>
    <xf numFmtId="9" fontId="0" fillId="0" borderId="10" xfId="0" applyNumberFormat="1" applyBorder="1"/>
    <xf numFmtId="0" fontId="0" fillId="39" borderId="10" xfId="43" applyNumberFormat="1" applyFont="1" applyFill="1" applyBorder="1" applyAlignment="1">
      <alignment horizontal="center"/>
    </xf>
    <xf numFmtId="0" fontId="0" fillId="0" borderId="10" xfId="43" applyNumberFormat="1" applyFont="1" applyFill="1" applyBorder="1"/>
    <xf numFmtId="0" fontId="54" fillId="51" borderId="10" xfId="0" applyFont="1" applyFill="1" applyBorder="1" applyAlignment="1">
      <alignment vertical="top" wrapText="1"/>
    </xf>
    <xf numFmtId="0" fontId="0" fillId="39" borderId="10" xfId="0" applyNumberFormat="1" applyFill="1" applyBorder="1" applyAlignment="1">
      <alignment horizontal="center"/>
    </xf>
    <xf numFmtId="0" fontId="0" fillId="39" borderId="16" xfId="43" applyNumberFormat="1" applyFont="1" applyFill="1" applyBorder="1" applyAlignment="1">
      <alignment horizontal="center"/>
    </xf>
    <xf numFmtId="0" fontId="16" fillId="38" borderId="10" xfId="0" applyNumberFormat="1" applyFont="1" applyFill="1" applyBorder="1" applyAlignment="1">
      <alignment horizontal="center" vertical="center"/>
    </xf>
    <xf numFmtId="0" fontId="66" fillId="0" borderId="10" xfId="0" applyFont="1" applyFill="1" applyBorder="1" applyAlignment="1">
      <alignment horizontal="left" vertical="center"/>
    </xf>
    <xf numFmtId="9" fontId="0" fillId="39" borderId="10" xfId="43" applyNumberFormat="1" applyFont="1" applyFill="1" applyBorder="1" applyAlignment="1">
      <alignment horizontal="center"/>
    </xf>
    <xf numFmtId="3" fontId="0" fillId="51" borderId="10" xfId="0" applyNumberFormat="1" applyFill="1" applyBorder="1" applyAlignment="1">
      <alignment horizontal="center"/>
    </xf>
    <xf numFmtId="0" fontId="35" fillId="51" borderId="10" xfId="0" applyFont="1" applyFill="1" applyBorder="1" applyAlignment="1">
      <alignment horizontal="center" vertical="center"/>
    </xf>
    <xf numFmtId="3" fontId="0" fillId="51" borderId="16" xfId="0" applyNumberFormat="1" applyFill="1" applyBorder="1" applyAlignment="1">
      <alignment horizontal="center" vertical="center"/>
    </xf>
    <xf numFmtId="3" fontId="0" fillId="51" borderId="16" xfId="0" applyNumberFormat="1" applyFill="1" applyBorder="1" applyAlignment="1">
      <alignment horizontal="center"/>
    </xf>
    <xf numFmtId="3" fontId="0" fillId="51" borderId="10" xfId="0" applyNumberFormat="1" applyFill="1" applyBorder="1" applyAlignment="1">
      <alignment horizontal="center" vertical="center"/>
    </xf>
    <xf numFmtId="0" fontId="0" fillId="56" borderId="0" xfId="0" applyFill="1"/>
    <xf numFmtId="0" fontId="67" fillId="51" borderId="32" xfId="0" applyFont="1" applyFill="1" applyBorder="1" applyAlignment="1">
      <alignment horizontal="center" vertical="center"/>
    </xf>
    <xf numFmtId="0" fontId="35" fillId="50" borderId="32" xfId="0" applyFont="1" applyFill="1" applyBorder="1" applyAlignment="1">
      <alignment horizontal="center" vertical="center"/>
    </xf>
    <xf numFmtId="0" fontId="35" fillId="51" borderId="32" xfId="0" applyFont="1" applyFill="1" applyBorder="1" applyAlignment="1">
      <alignment horizontal="center" vertical="center"/>
    </xf>
    <xf numFmtId="9" fontId="0" fillId="51" borderId="10" xfId="43" applyFont="1" applyFill="1" applyBorder="1" applyAlignment="1">
      <alignment horizontal="center"/>
    </xf>
    <xf numFmtId="0" fontId="0" fillId="51" borderId="10" xfId="43" applyNumberFormat="1" applyFont="1" applyFill="1" applyBorder="1" applyAlignment="1">
      <alignment horizontal="center"/>
    </xf>
    <xf numFmtId="166" fontId="19" fillId="52" borderId="15" xfId="48" applyNumberFormat="1" applyFont="1" applyFill="1" applyBorder="1" applyAlignment="1">
      <alignment horizontal="left" vertical="center"/>
    </xf>
    <xf numFmtId="0" fontId="20" fillId="39" borderId="15" xfId="48" applyFont="1" applyFill="1" applyBorder="1" applyAlignment="1">
      <alignment horizontal="center" vertical="center" wrapText="1"/>
    </xf>
    <xf numFmtId="0" fontId="20" fillId="39" borderId="15" xfId="48" applyFont="1" applyFill="1" applyBorder="1" applyAlignment="1">
      <alignment horizontal="center" vertical="center"/>
    </xf>
    <xf numFmtId="166" fontId="63" fillId="48" borderId="0" xfId="48" applyNumberFormat="1" applyFont="1" applyFill="1" applyAlignment="1">
      <alignment horizontal="center" vertical="center" wrapText="1"/>
    </xf>
    <xf numFmtId="166" fontId="58" fillId="0" borderId="0" xfId="48" applyNumberFormat="1" applyFont="1" applyAlignment="1">
      <alignment horizontal="center" vertical="center"/>
    </xf>
    <xf numFmtId="166" fontId="59" fillId="0" borderId="0" xfId="48" applyNumberFormat="1" applyFont="1" applyAlignment="1">
      <alignment horizontal="center" vertical="center"/>
    </xf>
    <xf numFmtId="166" fontId="60" fillId="0" borderId="0" xfId="48" applyNumberFormat="1" applyFont="1" applyAlignment="1">
      <alignment horizontal="center" vertical="center"/>
    </xf>
    <xf numFmtId="166" fontId="61" fillId="0" borderId="0" xfId="48" applyNumberFormat="1" applyFont="1" applyAlignment="1">
      <alignment horizontal="center" vertical="center"/>
    </xf>
    <xf numFmtId="0" fontId="19" fillId="39" borderId="15" xfId="48" applyFont="1" applyFill="1" applyBorder="1" applyAlignment="1">
      <alignment horizontal="center" vertical="center"/>
    </xf>
    <xf numFmtId="0" fontId="26" fillId="39" borderId="15" xfId="48" quotePrefix="1" applyFont="1" applyFill="1" applyBorder="1" applyAlignment="1">
      <alignment horizontal="left" vertical="center" wrapText="1"/>
    </xf>
    <xf numFmtId="0" fontId="26" fillId="39" borderId="15" xfId="48" applyFont="1" applyFill="1" applyBorder="1" applyAlignment="1">
      <alignment horizontal="left" vertical="center"/>
    </xf>
    <xf numFmtId="0" fontId="20" fillId="0" borderId="14" xfId="0" applyFont="1" applyBorder="1" applyAlignment="1">
      <alignment horizontal="center" vertical="center"/>
    </xf>
    <xf numFmtId="0" fontId="20" fillId="0" borderId="15" xfId="0" applyFont="1" applyBorder="1" applyAlignment="1">
      <alignment horizontal="center" vertical="center"/>
    </xf>
    <xf numFmtId="0" fontId="20" fillId="0" borderId="16" xfId="0" applyFont="1" applyBorder="1" applyAlignment="1">
      <alignment horizontal="center" vertical="center"/>
    </xf>
    <xf numFmtId="0" fontId="19" fillId="38" borderId="10" xfId="0" applyFont="1" applyFill="1" applyBorder="1" applyAlignment="1">
      <alignment horizontal="center" vertical="center"/>
    </xf>
    <xf numFmtId="0" fontId="19" fillId="0" borderId="0" xfId="0" applyFont="1" applyFill="1" applyBorder="1" applyAlignment="1">
      <alignment horizontal="center" vertical="center"/>
    </xf>
    <xf numFmtId="0" fontId="16" fillId="40" borderId="10" xfId="0" applyFont="1" applyFill="1" applyBorder="1" applyAlignment="1">
      <alignment horizontal="center" vertical="center"/>
    </xf>
    <xf numFmtId="9" fontId="16" fillId="40" borderId="11" xfId="43" applyFont="1" applyFill="1" applyBorder="1" applyAlignment="1">
      <alignment horizontal="center" vertical="center"/>
    </xf>
    <xf numFmtId="9" fontId="16" fillId="40" borderId="12" xfId="43" applyFont="1" applyFill="1" applyBorder="1" applyAlignment="1">
      <alignment horizontal="center" vertical="center"/>
    </xf>
    <xf numFmtId="9" fontId="16" fillId="40" borderId="13" xfId="43" applyFont="1" applyFill="1" applyBorder="1" applyAlignment="1">
      <alignment horizontal="center" vertical="center"/>
    </xf>
    <xf numFmtId="164" fontId="16" fillId="40" borderId="11" xfId="43" applyNumberFormat="1" applyFont="1" applyFill="1" applyBorder="1" applyAlignment="1">
      <alignment horizontal="center" vertical="center"/>
    </xf>
    <xf numFmtId="164" fontId="16" fillId="40" borderId="12" xfId="43" applyNumberFormat="1" applyFont="1" applyFill="1" applyBorder="1" applyAlignment="1">
      <alignment horizontal="center" vertical="center"/>
    </xf>
    <xf numFmtId="164" fontId="16" fillId="40" borderId="13" xfId="43" applyNumberFormat="1" applyFont="1" applyFill="1" applyBorder="1" applyAlignment="1">
      <alignment horizontal="center" vertical="center"/>
    </xf>
    <xf numFmtId="0" fontId="16" fillId="40" borderId="11" xfId="0" applyFont="1" applyFill="1" applyBorder="1" applyAlignment="1">
      <alignment horizontal="center" vertical="center"/>
    </xf>
    <xf numFmtId="0" fontId="16" fillId="40" borderId="12" xfId="0" applyFont="1" applyFill="1" applyBorder="1" applyAlignment="1">
      <alignment horizontal="center" vertical="center"/>
    </xf>
    <xf numFmtId="0" fontId="16" fillId="40" borderId="13" xfId="0" applyFont="1" applyFill="1" applyBorder="1" applyAlignment="1">
      <alignment horizontal="center" vertical="center"/>
    </xf>
    <xf numFmtId="0" fontId="16" fillId="35" borderId="11" xfId="0" applyFont="1" applyFill="1" applyBorder="1" applyAlignment="1">
      <alignment horizontal="center" vertical="center"/>
    </xf>
    <xf numFmtId="0" fontId="16" fillId="35" borderId="12" xfId="0" applyFont="1" applyFill="1" applyBorder="1" applyAlignment="1">
      <alignment horizontal="center" vertical="center"/>
    </xf>
    <xf numFmtId="0" fontId="16" fillId="35" borderId="13" xfId="0" applyFont="1" applyFill="1" applyBorder="1" applyAlignment="1">
      <alignment horizontal="center" vertical="center"/>
    </xf>
    <xf numFmtId="0" fontId="16" fillId="35" borderId="10" xfId="0" applyFont="1" applyFill="1" applyBorder="1" applyAlignment="1">
      <alignment horizontal="center" vertical="center"/>
    </xf>
    <xf numFmtId="9" fontId="16" fillId="35" borderId="11" xfId="43" applyFont="1" applyFill="1" applyBorder="1" applyAlignment="1">
      <alignment horizontal="center" vertical="center"/>
    </xf>
    <xf numFmtId="9" fontId="16" fillId="35" borderId="12" xfId="43" applyFont="1" applyFill="1" applyBorder="1" applyAlignment="1">
      <alignment horizontal="center" vertical="center"/>
    </xf>
    <xf numFmtId="9" fontId="16" fillId="35" borderId="13" xfId="43" applyFont="1" applyFill="1" applyBorder="1" applyAlignment="1">
      <alignment horizontal="center" vertical="center"/>
    </xf>
    <xf numFmtId="164" fontId="16" fillId="35" borderId="11" xfId="43" applyNumberFormat="1" applyFont="1" applyFill="1" applyBorder="1" applyAlignment="1">
      <alignment horizontal="center" vertical="center"/>
    </xf>
    <xf numFmtId="164" fontId="16" fillId="35" borderId="12" xfId="43" applyNumberFormat="1" applyFont="1" applyFill="1" applyBorder="1" applyAlignment="1">
      <alignment horizontal="center" vertical="center"/>
    </xf>
    <xf numFmtId="164" fontId="16" fillId="35" borderId="13" xfId="43" applyNumberFormat="1" applyFont="1" applyFill="1" applyBorder="1" applyAlignment="1">
      <alignment horizontal="center" vertical="center"/>
    </xf>
    <xf numFmtId="0" fontId="16" fillId="44" borderId="10" xfId="0" applyFont="1" applyFill="1" applyBorder="1" applyAlignment="1">
      <alignment horizontal="center" vertical="center"/>
    </xf>
    <xf numFmtId="0" fontId="16" fillId="51" borderId="10" xfId="0" applyFont="1" applyFill="1" applyBorder="1" applyAlignment="1">
      <alignment horizontal="center" vertical="center"/>
    </xf>
    <xf numFmtId="164" fontId="16" fillId="37" borderId="11" xfId="43" applyNumberFormat="1" applyFont="1" applyFill="1" applyBorder="1" applyAlignment="1">
      <alignment horizontal="center" vertical="center"/>
    </xf>
    <xf numFmtId="164" fontId="16" fillId="37" borderId="12" xfId="43" applyNumberFormat="1" applyFont="1" applyFill="1" applyBorder="1" applyAlignment="1">
      <alignment horizontal="center" vertical="center"/>
    </xf>
    <xf numFmtId="164" fontId="16" fillId="37" borderId="13" xfId="43" applyNumberFormat="1" applyFont="1" applyFill="1" applyBorder="1" applyAlignment="1">
      <alignment horizontal="center" vertical="center"/>
    </xf>
    <xf numFmtId="164" fontId="16" fillId="44" borderId="11" xfId="43" applyNumberFormat="1" applyFont="1" applyFill="1" applyBorder="1" applyAlignment="1">
      <alignment horizontal="center" vertical="center"/>
    </xf>
    <xf numFmtId="164" fontId="16" fillId="44" borderId="12" xfId="43" applyNumberFormat="1" applyFont="1" applyFill="1" applyBorder="1" applyAlignment="1">
      <alignment horizontal="center" vertical="center"/>
    </xf>
    <xf numFmtId="164" fontId="16" fillId="44" borderId="13" xfId="43" applyNumberFormat="1" applyFont="1" applyFill="1" applyBorder="1" applyAlignment="1">
      <alignment horizontal="center" vertical="center"/>
    </xf>
    <xf numFmtId="10" fontId="19" fillId="38" borderId="10" xfId="0" applyNumberFormat="1" applyFont="1" applyFill="1" applyBorder="1" applyAlignment="1">
      <alignment horizontal="center" vertical="center"/>
    </xf>
    <xf numFmtId="0" fontId="16" fillId="44" borderId="11" xfId="0" applyFont="1" applyFill="1" applyBorder="1" applyAlignment="1">
      <alignment horizontal="center" vertical="center"/>
    </xf>
    <xf numFmtId="0" fontId="16" fillId="44" borderId="12" xfId="0" applyFont="1" applyFill="1" applyBorder="1" applyAlignment="1">
      <alignment horizontal="center" vertical="center"/>
    </xf>
    <xf numFmtId="0" fontId="16" fillId="44" borderId="13" xfId="0" applyFont="1" applyFill="1" applyBorder="1" applyAlignment="1">
      <alignment horizontal="center" vertical="center"/>
    </xf>
    <xf numFmtId="0" fontId="16" fillId="37" borderId="11" xfId="0" applyFont="1" applyFill="1" applyBorder="1" applyAlignment="1">
      <alignment horizontal="center" vertical="center"/>
    </xf>
    <xf numFmtId="0" fontId="16" fillId="37" borderId="12" xfId="0" applyFont="1" applyFill="1" applyBorder="1" applyAlignment="1">
      <alignment horizontal="center" vertical="center"/>
    </xf>
    <xf numFmtId="0" fontId="16" fillId="37" borderId="13" xfId="0" applyFont="1" applyFill="1" applyBorder="1" applyAlignment="1">
      <alignment horizontal="center" vertical="center"/>
    </xf>
    <xf numFmtId="0" fontId="38" fillId="0" borderId="20" xfId="0" applyFont="1" applyBorder="1" applyAlignment="1">
      <alignment horizontal="center"/>
    </xf>
    <xf numFmtId="0" fontId="38" fillId="0" borderId="21" xfId="0" applyFont="1" applyBorder="1" applyAlignment="1">
      <alignment horizontal="center"/>
    </xf>
    <xf numFmtId="0" fontId="38" fillId="0" borderId="22" xfId="0" applyFont="1" applyBorder="1" applyAlignment="1">
      <alignment horizontal="center"/>
    </xf>
    <xf numFmtId="9" fontId="16" fillId="44" borderId="11" xfId="43" applyFont="1" applyFill="1" applyBorder="1" applyAlignment="1">
      <alignment horizontal="center" vertical="center"/>
    </xf>
    <xf numFmtId="9" fontId="16" fillId="44" borderId="12" xfId="43" applyFont="1" applyFill="1" applyBorder="1" applyAlignment="1">
      <alignment horizontal="center" vertical="center"/>
    </xf>
    <xf numFmtId="9" fontId="16" fillId="44" borderId="13" xfId="43" applyFont="1" applyFill="1" applyBorder="1" applyAlignment="1">
      <alignment horizontal="center" vertical="center"/>
    </xf>
    <xf numFmtId="9" fontId="16" fillId="37" borderId="11" xfId="43" applyFont="1" applyFill="1" applyBorder="1" applyAlignment="1">
      <alignment horizontal="center" vertical="center"/>
    </xf>
    <xf numFmtId="9" fontId="16" fillId="37" borderId="12" xfId="43" applyFont="1" applyFill="1" applyBorder="1" applyAlignment="1">
      <alignment horizontal="center" vertical="center"/>
    </xf>
    <xf numFmtId="9" fontId="16" fillId="37" borderId="13" xfId="43" applyFont="1" applyFill="1" applyBorder="1" applyAlignment="1">
      <alignment horizontal="center" vertical="center"/>
    </xf>
    <xf numFmtId="9" fontId="16" fillId="48" borderId="11" xfId="43" applyFont="1" applyFill="1" applyBorder="1" applyAlignment="1">
      <alignment horizontal="center" vertical="center"/>
    </xf>
    <xf numFmtId="9" fontId="16" fillId="48" borderId="12" xfId="43" applyFont="1" applyFill="1" applyBorder="1" applyAlignment="1">
      <alignment horizontal="center" vertical="center"/>
    </xf>
    <xf numFmtId="9" fontId="16" fillId="48" borderId="13" xfId="43" applyFont="1" applyFill="1" applyBorder="1" applyAlignment="1">
      <alignment horizontal="center" vertical="center"/>
    </xf>
    <xf numFmtId="164" fontId="16" fillId="48" borderId="11" xfId="43" applyNumberFormat="1" applyFont="1" applyFill="1" applyBorder="1" applyAlignment="1">
      <alignment horizontal="center" vertical="center"/>
    </xf>
    <xf numFmtId="164" fontId="16" fillId="48" borderId="12" xfId="43" applyNumberFormat="1" applyFont="1" applyFill="1" applyBorder="1" applyAlignment="1">
      <alignment horizontal="center" vertical="center"/>
    </xf>
    <xf numFmtId="164" fontId="16" fillId="48" borderId="13" xfId="43" applyNumberFormat="1" applyFont="1" applyFill="1" applyBorder="1" applyAlignment="1">
      <alignment horizontal="center" vertical="center"/>
    </xf>
    <xf numFmtId="0" fontId="16" fillId="48" borderId="11" xfId="0" applyFont="1" applyFill="1" applyBorder="1" applyAlignment="1">
      <alignment horizontal="center" vertical="center"/>
    </xf>
    <xf numFmtId="0" fontId="16" fillId="48" borderId="12" xfId="0" applyFont="1" applyFill="1" applyBorder="1" applyAlignment="1">
      <alignment horizontal="center" vertical="center"/>
    </xf>
    <xf numFmtId="0" fontId="16" fillId="48" borderId="13" xfId="0" applyFont="1" applyFill="1" applyBorder="1" applyAlignment="1">
      <alignment horizontal="center" vertical="center"/>
    </xf>
    <xf numFmtId="0" fontId="16" fillId="48" borderId="10" xfId="0" applyFont="1" applyFill="1" applyBorder="1" applyAlignment="1">
      <alignment horizontal="center" vertical="center"/>
    </xf>
    <xf numFmtId="0" fontId="30" fillId="0" borderId="10" xfId="47" applyBorder="1" applyAlignment="1">
      <alignment horizontal="center" vertical="center"/>
    </xf>
    <xf numFmtId="0" fontId="19" fillId="40" borderId="14" xfId="0" applyFont="1" applyFill="1" applyBorder="1" applyAlignment="1">
      <alignment horizontal="center" vertical="center" wrapText="1"/>
    </xf>
    <xf numFmtId="0" fontId="19" fillId="40" borderId="15" xfId="0" applyFont="1" applyFill="1" applyBorder="1" applyAlignment="1">
      <alignment horizontal="center" vertical="center" wrapText="1"/>
    </xf>
    <xf numFmtId="0" fontId="19" fillId="40" borderId="16" xfId="0" applyFont="1" applyFill="1" applyBorder="1" applyAlignment="1">
      <alignment horizontal="center" vertical="center" wrapText="1"/>
    </xf>
    <xf numFmtId="0" fontId="55" fillId="40" borderId="14" xfId="0" applyFont="1" applyFill="1" applyBorder="1" applyAlignment="1">
      <alignment horizontal="center" vertical="center" wrapText="1"/>
    </xf>
    <xf numFmtId="0" fontId="55" fillId="40" borderId="15" xfId="0" applyFont="1" applyFill="1" applyBorder="1" applyAlignment="1">
      <alignment horizontal="center" vertical="center" wrapText="1"/>
    </xf>
    <xf numFmtId="0" fontId="55" fillId="40" borderId="16" xfId="0" applyFont="1" applyFill="1" applyBorder="1" applyAlignment="1">
      <alignment horizontal="center" vertical="center" wrapText="1"/>
    </xf>
    <xf numFmtId="0" fontId="41" fillId="55" borderId="18" xfId="0" applyFont="1" applyFill="1" applyBorder="1" applyAlignment="1">
      <alignment horizontal="center"/>
    </xf>
    <xf numFmtId="0" fontId="16" fillId="35" borderId="14" xfId="0" applyFont="1" applyFill="1" applyBorder="1" applyAlignment="1">
      <alignment horizontal="center" vertical="center"/>
    </xf>
    <xf numFmtId="0" fontId="16" fillId="35" borderId="15" xfId="0" applyFont="1" applyFill="1" applyBorder="1" applyAlignment="1">
      <alignment horizontal="center" vertical="center"/>
    </xf>
    <xf numFmtId="0" fontId="16" fillId="35" borderId="16" xfId="0" applyFont="1" applyFill="1" applyBorder="1" applyAlignment="1">
      <alignment horizontal="center" vertical="center"/>
    </xf>
    <xf numFmtId="0" fontId="16" fillId="40" borderId="14" xfId="0" applyFont="1" applyFill="1" applyBorder="1" applyAlignment="1">
      <alignment horizontal="center" vertical="center"/>
    </xf>
    <xf numFmtId="0" fontId="16" fillId="40" borderId="15" xfId="0" applyFont="1" applyFill="1" applyBorder="1" applyAlignment="1">
      <alignment horizontal="center" vertical="center"/>
    </xf>
    <xf numFmtId="0" fontId="16" fillId="40" borderId="16" xfId="0" applyFont="1" applyFill="1" applyBorder="1" applyAlignment="1">
      <alignment horizontal="center" vertical="center"/>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19" fillId="51" borderId="14" xfId="0" applyFont="1" applyFill="1" applyBorder="1" applyAlignment="1">
      <alignment horizontal="center" vertical="center" wrapText="1"/>
    </xf>
    <xf numFmtId="0" fontId="19" fillId="51" borderId="15" xfId="0" applyFont="1" applyFill="1" applyBorder="1" applyAlignment="1">
      <alignment horizontal="center" vertical="center" wrapText="1"/>
    </xf>
    <xf numFmtId="0" fontId="19" fillId="51" borderId="16" xfId="0" applyFont="1" applyFill="1" applyBorder="1" applyAlignment="1">
      <alignment horizontal="center" vertical="center" wrapText="1"/>
    </xf>
    <xf numFmtId="0" fontId="55" fillId="35" borderId="14" xfId="0" applyFont="1" applyFill="1" applyBorder="1" applyAlignment="1">
      <alignment horizontal="center" vertical="center" wrapText="1"/>
    </xf>
    <xf numFmtId="0" fontId="55" fillId="35" borderId="15" xfId="0" applyFont="1" applyFill="1" applyBorder="1" applyAlignment="1">
      <alignment horizontal="center" vertical="center" wrapText="1"/>
    </xf>
    <xf numFmtId="0" fontId="55" fillId="35" borderId="16" xfId="0" applyFont="1" applyFill="1" applyBorder="1" applyAlignment="1">
      <alignment horizontal="center" vertical="center" wrapText="1"/>
    </xf>
    <xf numFmtId="0" fontId="55" fillId="51" borderId="14" xfId="0" applyFont="1" applyFill="1" applyBorder="1" applyAlignment="1">
      <alignment horizontal="center" vertical="center" wrapText="1"/>
    </xf>
    <xf numFmtId="0" fontId="55" fillId="51" borderId="15" xfId="0" applyFont="1" applyFill="1" applyBorder="1" applyAlignment="1">
      <alignment horizontal="center" vertical="center" wrapText="1"/>
    </xf>
    <xf numFmtId="0" fontId="55" fillId="51" borderId="16" xfId="0" applyFont="1" applyFill="1" applyBorder="1" applyAlignment="1">
      <alignment horizontal="center" vertical="center" wrapText="1"/>
    </xf>
    <xf numFmtId="0" fontId="51" fillId="40" borderId="15" xfId="0" applyFont="1" applyFill="1" applyBorder="1" applyAlignment="1">
      <alignment horizontal="center" vertical="center" wrapText="1"/>
    </xf>
    <xf numFmtId="0" fontId="51" fillId="40" borderId="16" xfId="0" applyFont="1" applyFill="1" applyBorder="1" applyAlignment="1">
      <alignment horizontal="center" vertical="center" wrapText="1"/>
    </xf>
    <xf numFmtId="0" fontId="41" fillId="54" borderId="18" xfId="0" applyFont="1" applyFill="1" applyBorder="1" applyAlignment="1">
      <alignment horizontal="center"/>
    </xf>
    <xf numFmtId="0" fontId="16" fillId="0" borderId="0" xfId="0" applyFont="1" applyFill="1" applyBorder="1" applyAlignment="1">
      <alignment horizontal="center" vertical="center" wrapText="1"/>
    </xf>
    <xf numFmtId="0" fontId="19" fillId="37" borderId="14" xfId="0" applyFont="1" applyFill="1" applyBorder="1" applyAlignment="1">
      <alignment horizontal="center" vertical="center" wrapText="1"/>
    </xf>
    <xf numFmtId="0" fontId="19" fillId="37" borderId="15" xfId="0" applyFont="1" applyFill="1" applyBorder="1" applyAlignment="1">
      <alignment horizontal="center" vertical="center" wrapText="1"/>
    </xf>
    <xf numFmtId="0" fontId="19" fillId="37" borderId="16" xfId="0" applyFont="1" applyFill="1" applyBorder="1" applyAlignment="1">
      <alignment horizontal="center" vertical="center" wrapText="1"/>
    </xf>
    <xf numFmtId="0" fontId="16" fillId="36" borderId="10" xfId="0" applyFont="1" applyFill="1" applyBorder="1" applyAlignment="1">
      <alignment horizontal="center" vertical="center" wrapText="1"/>
    </xf>
    <xf numFmtId="0" fontId="41" fillId="46" borderId="18" xfId="0" applyFont="1" applyFill="1" applyBorder="1" applyAlignment="1">
      <alignment horizontal="center"/>
    </xf>
    <xf numFmtId="0" fontId="41" fillId="40" borderId="18" xfId="0" applyFont="1" applyFill="1" applyBorder="1" applyAlignment="1">
      <alignment horizontal="center"/>
    </xf>
    <xf numFmtId="0" fontId="19" fillId="43" borderId="14" xfId="0" applyFont="1" applyFill="1" applyBorder="1" applyAlignment="1">
      <alignment horizontal="center" vertical="center" wrapText="1"/>
    </xf>
    <xf numFmtId="0" fontId="19" fillId="43" borderId="15" xfId="0" applyFont="1" applyFill="1" applyBorder="1" applyAlignment="1">
      <alignment horizontal="center" vertical="center" wrapText="1"/>
    </xf>
    <xf numFmtId="0" fontId="19" fillId="43" borderId="16" xfId="0" applyFont="1" applyFill="1" applyBorder="1" applyAlignment="1">
      <alignment horizontal="center" vertical="center" wrapText="1"/>
    </xf>
    <xf numFmtId="0" fontId="16" fillId="37" borderId="14" xfId="0" applyFont="1" applyFill="1" applyBorder="1" applyAlignment="1">
      <alignment horizontal="center" vertical="center"/>
    </xf>
    <xf numFmtId="0" fontId="16" fillId="37" borderId="15" xfId="0" applyFont="1" applyFill="1" applyBorder="1" applyAlignment="1">
      <alignment horizontal="center" vertical="center"/>
    </xf>
    <xf numFmtId="0" fontId="16" fillId="37" borderId="16" xfId="0" applyFont="1" applyFill="1" applyBorder="1" applyAlignment="1">
      <alignment horizontal="center" vertical="center"/>
    </xf>
    <xf numFmtId="0" fontId="16" fillId="43" borderId="10" xfId="0" applyFont="1" applyFill="1" applyBorder="1" applyAlignment="1">
      <alignment horizontal="center" vertical="center"/>
    </xf>
    <xf numFmtId="0" fontId="16" fillId="45" borderId="14" xfId="0" applyFont="1" applyFill="1" applyBorder="1" applyAlignment="1">
      <alignment horizontal="center" vertical="center"/>
    </xf>
    <xf numFmtId="0" fontId="16" fillId="45" borderId="15" xfId="0" applyFont="1" applyFill="1" applyBorder="1" applyAlignment="1">
      <alignment horizontal="center" vertical="center"/>
    </xf>
    <xf numFmtId="0" fontId="19" fillId="35" borderId="10" xfId="0" applyFont="1" applyFill="1" applyBorder="1" applyAlignment="1">
      <alignment horizontal="center" vertical="center" wrapText="1"/>
    </xf>
    <xf numFmtId="0" fontId="19" fillId="45" borderId="14" xfId="0" applyFont="1" applyFill="1" applyBorder="1" applyAlignment="1">
      <alignment horizontal="center" vertical="center" wrapText="1"/>
    </xf>
    <xf numFmtId="0" fontId="19" fillId="45" borderId="15" xfId="0" applyFont="1" applyFill="1" applyBorder="1" applyAlignment="1">
      <alignment horizontal="center" vertical="center" wrapText="1"/>
    </xf>
    <xf numFmtId="0" fontId="19" fillId="45" borderId="16" xfId="0" applyFont="1" applyFill="1" applyBorder="1" applyAlignment="1">
      <alignment horizontal="center" vertical="center" wrapText="1"/>
    </xf>
    <xf numFmtId="0" fontId="0" fillId="35" borderId="14" xfId="0" applyFill="1" applyBorder="1" applyAlignment="1">
      <alignment horizontal="center" vertical="center"/>
    </xf>
    <xf numFmtId="0" fontId="0" fillId="35" borderId="15" xfId="0" applyFill="1" applyBorder="1" applyAlignment="1">
      <alignment horizontal="center" vertical="center"/>
    </xf>
    <xf numFmtId="0" fontId="0" fillId="35" borderId="16" xfId="0" applyFill="1" applyBorder="1" applyAlignment="1">
      <alignment horizontal="center" vertical="center"/>
    </xf>
    <xf numFmtId="0" fontId="0" fillId="0" borderId="0" xfId="0" applyBorder="1" applyAlignment="1">
      <alignment horizontal="center"/>
    </xf>
    <xf numFmtId="0" fontId="23" fillId="42" borderId="14" xfId="0" applyFont="1" applyFill="1" applyBorder="1" applyAlignment="1">
      <alignment horizontal="center" vertical="center" wrapText="1"/>
    </xf>
    <xf numFmtId="0" fontId="23" fillId="42" borderId="15" xfId="0" applyFont="1" applyFill="1" applyBorder="1" applyAlignment="1">
      <alignment horizontal="center" vertical="center" wrapText="1"/>
    </xf>
    <xf numFmtId="0" fontId="23" fillId="42" borderId="16" xfId="0" applyFont="1" applyFill="1" applyBorder="1" applyAlignment="1">
      <alignment horizontal="center" vertical="center" wrapText="1"/>
    </xf>
    <xf numFmtId="0" fontId="0" fillId="42" borderId="14" xfId="0" applyFill="1" applyBorder="1" applyAlignment="1">
      <alignment horizontal="center" vertical="center"/>
    </xf>
    <xf numFmtId="0" fontId="0" fillId="42" borderId="15" xfId="0" applyFill="1" applyBorder="1" applyAlignment="1">
      <alignment horizontal="center" vertical="center"/>
    </xf>
    <xf numFmtId="0" fontId="0" fillId="42" borderId="16" xfId="0" applyFill="1" applyBorder="1" applyAlignment="1">
      <alignment horizontal="center" vertical="center"/>
    </xf>
    <xf numFmtId="0" fontId="20" fillId="35" borderId="11" xfId="0" applyFont="1" applyFill="1" applyBorder="1" applyAlignment="1">
      <alignment horizontal="center" vertical="center" wrapText="1"/>
    </xf>
    <xf numFmtId="0" fontId="20" fillId="35" borderId="12" xfId="0" applyFont="1" applyFill="1" applyBorder="1" applyAlignment="1">
      <alignment horizontal="center" vertical="center" wrapText="1"/>
    </xf>
    <xf numFmtId="0" fontId="20" fillId="35" borderId="13" xfId="0" applyFont="1" applyFill="1" applyBorder="1" applyAlignment="1">
      <alignment horizontal="center" vertical="center" wrapText="1"/>
    </xf>
    <xf numFmtId="0" fontId="20" fillId="35" borderId="11" xfId="0" applyFont="1" applyFill="1" applyBorder="1" applyAlignment="1">
      <alignment horizontal="left" vertical="center"/>
    </xf>
    <xf numFmtId="0" fontId="20" fillId="35" borderId="13" xfId="0" applyFont="1" applyFill="1" applyBorder="1" applyAlignment="1">
      <alignment horizontal="left" vertical="center"/>
    </xf>
    <xf numFmtId="0" fontId="20" fillId="37" borderId="11" xfId="0" applyFont="1" applyFill="1" applyBorder="1" applyAlignment="1">
      <alignment horizontal="center" vertical="center" wrapText="1"/>
    </xf>
    <xf numFmtId="0" fontId="20" fillId="37" borderId="12" xfId="0" applyFont="1" applyFill="1" applyBorder="1" applyAlignment="1">
      <alignment horizontal="center" vertical="center" wrapText="1"/>
    </xf>
    <xf numFmtId="0" fontId="20" fillId="37" borderId="13" xfId="0" applyFont="1" applyFill="1" applyBorder="1" applyAlignment="1">
      <alignment horizontal="center" vertical="center" wrapText="1"/>
    </xf>
    <xf numFmtId="0" fontId="20" fillId="44" borderId="11" xfId="0" applyFont="1" applyFill="1" applyBorder="1" applyAlignment="1">
      <alignment horizontal="center" vertical="center" wrapText="1"/>
    </xf>
    <xf numFmtId="0" fontId="20" fillId="44" borderId="12" xfId="0" applyFont="1" applyFill="1" applyBorder="1" applyAlignment="1">
      <alignment horizontal="center" vertical="center" wrapText="1"/>
    </xf>
    <xf numFmtId="0" fontId="20" fillId="44" borderId="13" xfId="0" applyFont="1" applyFill="1" applyBorder="1" applyAlignment="1">
      <alignment horizontal="center" vertical="center" wrapText="1"/>
    </xf>
    <xf numFmtId="0" fontId="20" fillId="35" borderId="11" xfId="0" applyFont="1" applyFill="1" applyBorder="1" applyAlignment="1">
      <alignment horizontal="center" vertical="center"/>
    </xf>
    <xf numFmtId="0" fontId="20" fillId="35" borderId="12" xfId="0" applyFont="1" applyFill="1" applyBorder="1" applyAlignment="1">
      <alignment horizontal="center" vertical="center"/>
    </xf>
    <xf numFmtId="0" fontId="20" fillId="35" borderId="13" xfId="0" applyFont="1" applyFill="1" applyBorder="1" applyAlignment="1">
      <alignment horizontal="center" vertical="center"/>
    </xf>
    <xf numFmtId="0" fontId="20" fillId="37" borderId="11" xfId="0" applyFont="1" applyFill="1" applyBorder="1" applyAlignment="1">
      <alignment horizontal="center" vertical="center"/>
    </xf>
    <xf numFmtId="0" fontId="20" fillId="37" borderId="13" xfId="0" applyFont="1" applyFill="1" applyBorder="1" applyAlignment="1">
      <alignment horizontal="center" vertical="center"/>
    </xf>
    <xf numFmtId="0" fontId="19" fillId="34" borderId="10" xfId="0" applyFont="1" applyFill="1" applyBorder="1" applyAlignment="1">
      <alignment horizontal="center" vertical="center"/>
    </xf>
    <xf numFmtId="0" fontId="47" fillId="35" borderId="11" xfId="0" applyFont="1" applyFill="1" applyBorder="1" applyAlignment="1">
      <alignment horizontal="center" vertical="center" wrapText="1"/>
    </xf>
    <xf numFmtId="0" fontId="47" fillId="35" borderId="12" xfId="0" applyFont="1" applyFill="1" applyBorder="1" applyAlignment="1">
      <alignment horizontal="center" vertical="center" wrapText="1"/>
    </xf>
    <xf numFmtId="0" fontId="47" fillId="35" borderId="13" xfId="0" applyFont="1" applyFill="1" applyBorder="1" applyAlignment="1">
      <alignment horizontal="center" vertical="center" wrapText="1"/>
    </xf>
    <xf numFmtId="0" fontId="20" fillId="44" borderId="10" xfId="0" applyFont="1" applyFill="1" applyBorder="1" applyAlignment="1">
      <alignment horizontal="center" vertical="center"/>
    </xf>
    <xf numFmtId="0" fontId="20" fillId="44" borderId="10" xfId="0" applyFont="1" applyFill="1" applyBorder="1" applyAlignment="1">
      <alignment horizontal="center" vertical="center" wrapText="1"/>
    </xf>
    <xf numFmtId="0" fontId="20" fillId="37" borderId="10" xfId="0" applyFont="1" applyFill="1" applyBorder="1" applyAlignment="1">
      <alignment horizontal="center" vertical="center" wrapText="1"/>
    </xf>
    <xf numFmtId="0" fontId="20" fillId="37" borderId="10" xfId="0" applyFont="1" applyFill="1" applyBorder="1" applyAlignment="1">
      <alignment horizontal="left" vertical="center"/>
    </xf>
    <xf numFmtId="0" fontId="20" fillId="37" borderId="12" xfId="0" applyFont="1" applyFill="1" applyBorder="1" applyAlignment="1">
      <alignment horizontal="center" vertical="center"/>
    </xf>
    <xf numFmtId="0" fontId="46" fillId="49" borderId="0" xfId="0" applyFont="1" applyFill="1" applyAlignment="1">
      <alignment horizontal="center"/>
    </xf>
    <xf numFmtId="0" fontId="20" fillId="37" borderId="11" xfId="0" applyFont="1" applyFill="1" applyBorder="1" applyAlignment="1">
      <alignment horizontal="left" vertical="center"/>
    </xf>
    <xf numFmtId="0" fontId="20" fillId="37" borderId="13" xfId="0" applyFont="1" applyFill="1" applyBorder="1" applyAlignment="1">
      <alignment horizontal="left" vertical="center"/>
    </xf>
    <xf numFmtId="0" fontId="42" fillId="43" borderId="10" xfId="0" applyFont="1" applyFill="1" applyBorder="1" applyAlignment="1">
      <alignment horizontal="center" wrapText="1"/>
    </xf>
    <xf numFmtId="0" fontId="43" fillId="33" borderId="10" xfId="0" applyFont="1" applyFill="1" applyBorder="1" applyAlignment="1">
      <alignment horizontal="center" wrapText="1"/>
    </xf>
    <xf numFmtId="0" fontId="44" fillId="47" borderId="10" xfId="0" applyFont="1" applyFill="1" applyBorder="1" applyAlignment="1">
      <alignment horizontal="center" wrapText="1"/>
    </xf>
    <xf numFmtId="0" fontId="42" fillId="37" borderId="10" xfId="0" applyFont="1" applyFill="1" applyBorder="1" applyAlignment="1">
      <alignment horizontal="center" wrapText="1"/>
    </xf>
    <xf numFmtId="0" fontId="42" fillId="37" borderId="10" xfId="0" applyFont="1" applyFill="1" applyBorder="1" applyAlignment="1">
      <alignment horizontal="center" wrapText="1"/>
    </xf>
    <xf numFmtId="0" fontId="35" fillId="33" borderId="10" xfId="0" applyFont="1" applyFill="1" applyBorder="1" applyAlignment="1">
      <alignment horizontal="left" vertical="center" wrapText="1"/>
    </xf>
    <xf numFmtId="0" fontId="43" fillId="47" borderId="10" xfId="0" applyFont="1" applyFill="1" applyBorder="1" applyAlignment="1">
      <alignment horizontal="center" vertical="center" wrapText="1"/>
    </xf>
    <xf numFmtId="0" fontId="0" fillId="0" borderId="10" xfId="0" applyBorder="1" applyAlignment="1">
      <alignment horizontal="center" wrapText="1"/>
    </xf>
    <xf numFmtId="165" fontId="0" fillId="57" borderId="10" xfId="0" applyNumberFormat="1" applyFill="1" applyBorder="1" applyAlignment="1">
      <alignment horizontal="center"/>
    </xf>
    <xf numFmtId="165" fontId="0" fillId="35" borderId="10" xfId="0" applyNumberFormat="1" applyFill="1" applyBorder="1" applyAlignment="1">
      <alignment horizontal="center"/>
    </xf>
    <xf numFmtId="0" fontId="68" fillId="0" borderId="0" xfId="49" applyAlignment="1">
      <alignment wrapText="1"/>
    </xf>
    <xf numFmtId="0" fontId="68" fillId="0" borderId="10" xfId="49" applyBorder="1"/>
  </cellXfs>
  <cellStyles count="5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7"/>
    <cellStyle name="Normal 3" xfId="49"/>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 name="표준 10" xfId="48"/>
    <cellStyle name="표준 2 2" xfId="45"/>
    <cellStyle name="표준 2 4" xfId="44"/>
    <cellStyle name="표준 4" xfId="46"/>
  </cellStyles>
  <dxfs count="354">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ont>
        <color theme="0"/>
      </font>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ont>
        <color rgb="FFFF0000"/>
      </font>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ont>
        <color rgb="FFFF0000"/>
      </font>
    </dxf>
    <dxf>
      <font>
        <color rgb="FFFF0000"/>
      </font>
    </dxf>
    <dxf>
      <font>
        <color rgb="FFFF0000"/>
      </font>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9C0006"/>
      </font>
      <fill>
        <patternFill>
          <bgColor rgb="FFFFC7CE"/>
        </patternFill>
      </fill>
    </dxf>
    <dxf>
      <font>
        <color rgb="FFFF000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ont>
        <color rgb="FFFF0000"/>
      </font>
    </dxf>
    <dxf>
      <font>
        <color rgb="FFFF0000"/>
      </font>
    </dxf>
    <dxf>
      <font>
        <color rgb="FFFF0000"/>
      </font>
    </dxf>
    <dxf>
      <font>
        <color rgb="FFFF0000"/>
      </font>
    </dxf>
    <dxf>
      <font>
        <color rgb="FFFF0000"/>
      </font>
    </dxf>
    <dxf>
      <fill>
        <patternFill>
          <bgColor rgb="FFFFFF00"/>
        </patternFill>
      </fill>
    </dxf>
    <dxf>
      <fill>
        <patternFill>
          <bgColor rgb="FFFFFF99"/>
        </patternFill>
      </fill>
    </dxf>
    <dxf>
      <font>
        <color rgb="FFFF0000"/>
      </font>
    </dxf>
    <dxf>
      <font>
        <color rgb="FFFF0000"/>
      </font>
    </dxf>
    <dxf>
      <font>
        <color rgb="FFFF0000"/>
      </font>
    </dxf>
    <dxf>
      <font>
        <color rgb="FFFF0000"/>
      </font>
    </dxf>
    <dxf>
      <font>
        <color rgb="FFFF0000"/>
      </font>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ont>
        <color theme="0"/>
      </font>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99"/>
        </patternFill>
      </fill>
    </dxf>
    <dxf>
      <font>
        <color rgb="FF9C0006"/>
      </font>
      <fill>
        <patternFill>
          <bgColor rgb="FFFFC7CE"/>
        </patternFill>
      </fill>
    </dxf>
    <dxf>
      <font>
        <color rgb="FFFF0000"/>
      </font>
    </dxf>
    <dxf>
      <fill>
        <patternFill>
          <bgColor rgb="FFFFFF00"/>
        </patternFill>
      </fill>
    </dxf>
    <dxf>
      <fill>
        <patternFill>
          <bgColor rgb="FFFFFF99"/>
        </patternFill>
      </fill>
    </dxf>
    <dxf>
      <font>
        <color rgb="FF9C0006"/>
      </font>
      <fill>
        <patternFill>
          <bgColor rgb="FFFFC7CE"/>
        </patternFill>
      </fill>
    </dxf>
    <dxf>
      <font>
        <color rgb="FFFF0000"/>
      </font>
    </dxf>
    <dxf>
      <fill>
        <patternFill>
          <bgColor rgb="FFFFFF00"/>
        </patternFill>
      </fill>
    </dxf>
    <dxf>
      <fill>
        <patternFill>
          <bgColor rgb="FFFFFF99"/>
        </patternFill>
      </fill>
    </dxf>
    <dxf>
      <font>
        <color rgb="FF9C0006"/>
      </font>
      <fill>
        <patternFill>
          <bgColor rgb="FFFFC7CE"/>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FF0000"/>
      </font>
    </dxf>
    <dxf>
      <fill>
        <patternFill>
          <bgColor rgb="FFFFFF00"/>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FF000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B050"/>
      </font>
    </dxf>
    <dxf>
      <font>
        <color rgb="FF00B050"/>
      </font>
    </dxf>
    <dxf>
      <font>
        <color rgb="FF00B050"/>
      </font>
    </dxf>
    <dxf>
      <font>
        <color rgb="FF00B050"/>
      </font>
    </dxf>
    <dxf>
      <font>
        <color rgb="FF00B050"/>
      </font>
    </dxf>
    <dxf>
      <font>
        <color rgb="FF00B05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ill>
        <patternFill>
          <bgColor rgb="FF00B0F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FA7C2"/>
      <color rgb="FFEB95C0"/>
      <color rgb="FFDF818E"/>
      <color rgb="FFEFA9B3"/>
      <color rgb="FFEA9AB3"/>
      <color rgb="FF99FFCC"/>
      <color rgb="FFFF9966"/>
      <color rgb="FFFFFFCC"/>
      <color rgb="FFCCE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0</xdr:row>
      <xdr:rowOff>66675</xdr:rowOff>
    </xdr:from>
    <xdr:to>
      <xdr:col>2</xdr:col>
      <xdr:colOff>590550</xdr:colOff>
      <xdr:row>3</xdr:row>
      <xdr:rowOff>19050</xdr:rowOff>
    </xdr:to>
    <xdr:pic>
      <xdr:nvPicPr>
        <xdr:cNvPr id="2" name="그림 6" descr="백색바탕.png"/>
        <xdr:cNvPicPr>
          <a:picLocks noChangeAspect="1"/>
        </xdr:cNvPicPr>
      </xdr:nvPicPr>
      <xdr:blipFill>
        <a:blip xmlns:r="http://schemas.openxmlformats.org/officeDocument/2006/relationships" r:embed="rId1" cstate="print"/>
        <a:srcRect/>
        <a:stretch>
          <a:fillRect/>
        </a:stretch>
      </xdr:blipFill>
      <xdr:spPr bwMode="auto">
        <a:xfrm>
          <a:off x="95250" y="66675"/>
          <a:ext cx="891540" cy="47815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144780</xdr:colOff>
      <xdr:row>4</xdr:row>
      <xdr:rowOff>144780</xdr:rowOff>
    </xdr:from>
    <xdr:to>
      <xdr:col>5</xdr:col>
      <xdr:colOff>1554480</xdr:colOff>
      <xdr:row>7</xdr:row>
      <xdr:rowOff>60960</xdr:rowOff>
    </xdr:to>
    <xdr:sp macro="[0]!Rectangle1_Click" textlink="">
      <xdr:nvSpPr>
        <xdr:cNvPr id="2" name="Rectangle 1"/>
        <xdr:cNvSpPr/>
      </xdr:nvSpPr>
      <xdr:spPr>
        <a:xfrm>
          <a:off x="4267200" y="990600"/>
          <a:ext cx="1409700" cy="419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VT_Team/Caring%20plan/2017/Final/Member_Results/VC%20DCV%20VT_%20KPI_Mark%20Calculation_Member_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1_VT_Team/Caring%20plan/2017/Final/Member_Results/VC%20DCV%20VT_%20KPI_Mark%20Calculation_Member_v2.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02.%20PROJECTS%20MANAGEMENT/03.%20Reports/03.%20KPI%20Review/VT2-KPI/2019%20KPI/2nd%20half/Target%20for%20H2/Part1/VT2_Part1_2019_1st%20Half%20Result%20and%202nd%20Half%20Targe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020Oct26_VT2Report%20_%20360Degre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ocLe_Mark"/>
      <sheetName val="LocLe_Caring_Data"/>
      <sheetName val="ThuNguyen_Mark"/>
      <sheetName val="ThuNguyen_Caring_Data"/>
      <sheetName val="NgocDang_Mark"/>
      <sheetName val="NgocDang_Caring_Data"/>
      <sheetName val="HienQuach_Mark"/>
      <sheetName val="HienQuach_Caring_Data"/>
      <sheetName val="LyNguyen_Mark"/>
      <sheetName val="LyNguyen_Caring_Data"/>
      <sheetName val="PhuongPham_Mark"/>
      <sheetName val="PhuongPham_Caring_Data"/>
      <sheetName val="TruongDao_Mark"/>
      <sheetName val="TruongDao_Caring_Data"/>
      <sheetName val="NgoanKhuong_Mark"/>
      <sheetName val="NgoanKhuong_Caring_Data"/>
      <sheetName val="HaTo_Mark"/>
      <sheetName val="HaTo_Caring_Data"/>
      <sheetName val="ThuyLe_Mark"/>
      <sheetName val="ThuyLe_Caring_Data"/>
      <sheetName val="HanhDuong_Mark"/>
      <sheetName val="HanhDuong_Caring_Data"/>
      <sheetName val="NganDo_Mark"/>
      <sheetName val="NganDo_Caring_Data"/>
      <sheetName val="DiuLe_Mark"/>
      <sheetName val="DiuLe_Caring_Data"/>
      <sheetName val="ChiVuong_Mark"/>
      <sheetName val="ChiVuong_Caring_Data"/>
      <sheetName val="Test Leader_Mark"/>
      <sheetName val="Part Leader_Mark"/>
      <sheetName val="Reference"/>
      <sheetName val="Working_Hr_Dail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Le_Mark"/>
      <sheetName val="LocLe_Caring_Data"/>
      <sheetName val="Thu Nguyen_Mark"/>
      <sheetName val="ThuNguyen_Caring_Data"/>
      <sheetName val="NgocDang_Mark"/>
      <sheetName val="NgocDang_Caring_Data"/>
      <sheetName val="HienQuach_Mark"/>
      <sheetName val="HienQuach_Caring_Data"/>
      <sheetName val="Ly Nguyen_Mark"/>
      <sheetName val="LyNguyen_Caring_Data"/>
      <sheetName val="PhuongPham_Mark"/>
      <sheetName val="PhuongPham_Caring_Data"/>
      <sheetName val="TruongDao_Mark"/>
      <sheetName val="TruongDao_Caring_Data"/>
      <sheetName val="NgoanKhuong_Mark"/>
      <sheetName val="NgoanKhuong_Caring_Data"/>
      <sheetName val="HaTo_Mark"/>
      <sheetName val="HaTo_Caring_Data"/>
      <sheetName val="ThuyLe_Mark"/>
      <sheetName val="ThuyLe_Caring_Data"/>
      <sheetName val="NganDo_Mark"/>
      <sheetName val="NganDo_Caring_Data"/>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2019_Target_FIT_SWT"/>
      <sheetName val="2019_Target_ST"/>
      <sheetName val="Part leader_Indexes"/>
      <sheetName val="KPI_FIT_SWT_Indexes"/>
      <sheetName val="KPI_ST_Indexes"/>
      <sheetName val="Reference"/>
      <sheetName val="Data_HQWBS"/>
      <sheetName val="Summary_ICAS3_SWT"/>
      <sheetName val="Productivity_Trend_Member"/>
      <sheetName val="Productivity_Trend_Project"/>
    </sheetNames>
    <sheetDataSet>
      <sheetData sheetId="0"/>
      <sheetData sheetId="1"/>
      <sheetData sheetId="2"/>
      <sheetData sheetId="3"/>
      <sheetData sheetId="4">
        <row r="35">
          <cell r="B35" t="str">
            <v>Junior</v>
          </cell>
        </row>
      </sheetData>
      <sheetData sheetId="5">
        <row r="8">
          <cell r="D8" t="str">
            <v>Create TCs Focused productivity</v>
          </cell>
        </row>
        <row r="35">
          <cell r="B35" t="str">
            <v>Junior</v>
          </cell>
          <cell r="C35">
            <v>3</v>
          </cell>
        </row>
        <row r="36">
          <cell r="B36" t="str">
            <v>Senior</v>
          </cell>
          <cell r="C36">
            <v>4</v>
          </cell>
        </row>
        <row r="37">
          <cell r="B37" t="str">
            <v>Test Leader</v>
          </cell>
          <cell r="C37">
            <v>5</v>
          </cell>
        </row>
      </sheetData>
      <sheetData sheetId="6"/>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2020"/>
      <sheetName val="Survey raw data_2020HoanThanh"/>
      <sheetName val="Convert mark"/>
      <sheetName val="Rawdata_Full"/>
      <sheetName val="Survey list"/>
      <sheetName val="Summary2018"/>
      <sheetName val="Survey raw data_Old2018"/>
      <sheetName val="Survery required_2018"/>
    </sheetNames>
    <sheetDataSet>
      <sheetData sheetId="0">
        <row r="5">
          <cell r="A5" t="str">
            <v>DANG BICH THUY</v>
          </cell>
        </row>
        <row r="11">
          <cell r="A11" t="str">
            <v>HA THI MAI KHANH</v>
          </cell>
        </row>
        <row r="17">
          <cell r="A17" t="str">
            <v>LE THI PHUONG MAI</v>
          </cell>
        </row>
        <row r="21">
          <cell r="A21" t="str">
            <v>NGUYEN DINH THANH</v>
          </cell>
        </row>
        <row r="32">
          <cell r="A32" t="str">
            <v>NGUYEN THI PHUONG</v>
          </cell>
        </row>
        <row r="34">
          <cell r="A34" t="str">
            <v>NGUYEN THI THANH NA</v>
          </cell>
        </row>
        <row r="37">
          <cell r="A37" t="str">
            <v>NGUYEN THU HUYEN</v>
          </cell>
        </row>
        <row r="38">
          <cell r="A38" t="str">
            <v>NGUYEN VAN DUONG</v>
          </cell>
        </row>
        <row r="43">
          <cell r="A43" t="str">
            <v>To Thi Van Anh</v>
          </cell>
        </row>
        <row r="45">
          <cell r="A45" t="str">
            <v>Tran Thi Ha Chinh</v>
          </cell>
        </row>
        <row r="46">
          <cell r="A46" t="str">
            <v>Tran Thi Hien</v>
          </cell>
        </row>
        <row r="50">
          <cell r="A50" t="str">
            <v>TRAN THI VAN ANH</v>
          </cell>
        </row>
        <row r="54">
          <cell r="A54" t="str">
            <v>Truong Khanh Cuong</v>
          </cell>
        </row>
      </sheetData>
      <sheetData sheetId="1">
        <row r="1">
          <cell r="B1" t="str">
            <v>Name of team member under evaluation</v>
          </cell>
        </row>
        <row r="2">
          <cell r="B2" t="str">
            <v>Bui Thi Quynh Nga</v>
          </cell>
          <cell r="E2">
            <v>5</v>
          </cell>
          <cell r="F2">
            <v>5</v>
          </cell>
          <cell r="G2">
            <v>5</v>
          </cell>
          <cell r="H2">
            <v>5</v>
          </cell>
          <cell r="I2">
            <v>5</v>
          </cell>
          <cell r="J2">
            <v>5</v>
          </cell>
          <cell r="P2">
            <v>4</v>
          </cell>
          <cell r="Q2">
            <v>5</v>
          </cell>
          <cell r="R2">
            <v>5</v>
          </cell>
          <cell r="T2" t="str">
            <v>Enthusiasm  responsibility</v>
          </cell>
          <cell r="U2" t="str">
            <v>work adequately as assignment</v>
          </cell>
          <cell r="V2" t="str">
            <v>responsibility  willing to support others</v>
          </cell>
          <cell r="W2" t="str">
            <v>Good</v>
          </cell>
          <cell r="X2" t="str">
            <v>- N/A</v>
          </cell>
          <cell r="Y2" t="str">
            <v>- Need to cultivate more knowledge about other functions</v>
          </cell>
          <cell r="Z2">
            <v>4</v>
          </cell>
          <cell r="AA2">
            <v>1</v>
          </cell>
          <cell r="AB2">
            <v>5</v>
          </cell>
          <cell r="AC2">
            <v>5</v>
          </cell>
          <cell r="AD2">
            <v>4</v>
          </cell>
          <cell r="AE2">
            <v>4</v>
          </cell>
          <cell r="AG2" t="str">
            <v>N/A</v>
          </cell>
        </row>
        <row r="3">
          <cell r="B3" t="str">
            <v>Bui Thi Quynh Nga</v>
          </cell>
          <cell r="E3">
            <v>5</v>
          </cell>
          <cell r="F3">
            <v>4</v>
          </cell>
          <cell r="G3">
            <v>5</v>
          </cell>
          <cell r="H3">
            <v>5</v>
          </cell>
          <cell r="I3">
            <v>5</v>
          </cell>
          <cell r="J3">
            <v>4</v>
          </cell>
          <cell r="P3">
            <v>5</v>
          </cell>
          <cell r="Q3">
            <v>4</v>
          </cell>
          <cell r="R3">
            <v>4</v>
          </cell>
          <cell r="T3" t="str">
            <v>ok</v>
          </cell>
          <cell r="U3" t="str">
            <v>ok</v>
          </cell>
          <cell r="V3" t="str">
            <v>ok</v>
          </cell>
          <cell r="W3" t="str">
            <v>normal</v>
          </cell>
          <cell r="X3" t="str">
            <v>Now, I do not the idea</v>
          </cell>
          <cell r="Y3" t="str">
            <v>Now, I do not the idea</v>
          </cell>
          <cell r="Z3">
            <v>4</v>
          </cell>
          <cell r="AA3">
            <v>5</v>
          </cell>
          <cell r="AB3">
            <v>4</v>
          </cell>
          <cell r="AC3">
            <v>4</v>
          </cell>
          <cell r="AD3">
            <v>5</v>
          </cell>
          <cell r="AE3">
            <v>5</v>
          </cell>
          <cell r="AG3" t="str">
            <v>Now, I do not the idea</v>
          </cell>
        </row>
        <row r="4">
          <cell r="B4" t="str">
            <v>Chu Gia Khanh Toan</v>
          </cell>
          <cell r="Z4">
            <v>5</v>
          </cell>
          <cell r="AA4">
            <v>5</v>
          </cell>
          <cell r="AB4">
            <v>5</v>
          </cell>
          <cell r="AC4">
            <v>5</v>
          </cell>
          <cell r="AD4">
            <v>5</v>
          </cell>
          <cell r="AE4">
            <v>5</v>
          </cell>
          <cell r="AG4" t="str">
            <v>No comment</v>
          </cell>
        </row>
        <row r="5">
          <cell r="B5" t="str">
            <v>Chu Gia Khanh Toan</v>
          </cell>
          <cell r="E5">
            <v>3</v>
          </cell>
          <cell r="F5">
            <v>4</v>
          </cell>
          <cell r="G5">
            <v>5</v>
          </cell>
          <cell r="H5">
            <v>4</v>
          </cell>
          <cell r="I5">
            <v>4</v>
          </cell>
          <cell r="J5">
            <v>4</v>
          </cell>
          <cell r="P5">
            <v>4</v>
          </cell>
          <cell r="Q5">
            <v>4</v>
          </cell>
          <cell r="R5">
            <v>4</v>
          </cell>
          <cell r="T5" t="str">
            <v>honestly</v>
          </cell>
          <cell r="U5" t="str">
            <v>good</v>
          </cell>
          <cell r="V5" t="str">
            <v>good</v>
          </cell>
          <cell r="W5" t="str">
            <v>good</v>
          </cell>
          <cell r="X5" t="str">
            <v>He should open and share more with other member.</v>
          </cell>
          <cell r="Y5" t="str">
            <v>He should open and share more with other member.</v>
          </cell>
          <cell r="Z5">
            <v>4</v>
          </cell>
          <cell r="AA5">
            <v>4</v>
          </cell>
          <cell r="AB5">
            <v>4</v>
          </cell>
          <cell r="AC5">
            <v>4</v>
          </cell>
          <cell r="AD5">
            <v>4</v>
          </cell>
          <cell r="AE5">
            <v>4</v>
          </cell>
          <cell r="AG5" t="str">
            <v>he is quiet, rarely shares with everyone</v>
          </cell>
        </row>
        <row r="6">
          <cell r="B6" t="str">
            <v>Chu Gia Khanh Toan</v>
          </cell>
          <cell r="E6">
            <v>3</v>
          </cell>
          <cell r="F6">
            <v>5</v>
          </cell>
          <cell r="G6">
            <v>5</v>
          </cell>
          <cell r="H6">
            <v>5</v>
          </cell>
          <cell r="I6">
            <v>5</v>
          </cell>
          <cell r="J6">
            <v>5</v>
          </cell>
          <cell r="P6">
            <v>5</v>
          </cell>
          <cell r="Q6">
            <v>4</v>
          </cell>
          <cell r="R6">
            <v>4</v>
          </cell>
          <cell r="T6" t="str">
            <v>Friendly and supportive</v>
          </cell>
          <cell r="U6" t="str">
            <v>Keep commitment</v>
          </cell>
          <cell r="V6" t="str">
            <v>willing to get challenge tasks and support other members</v>
          </cell>
          <cell r="W6" t="str">
            <v>N/A</v>
          </cell>
          <cell r="X6" t="str">
            <v>N/A</v>
          </cell>
          <cell r="Y6" t="str">
            <v>Should give more questions in each seminar</v>
          </cell>
          <cell r="Z6">
            <v>5</v>
          </cell>
          <cell r="AA6">
            <v>4</v>
          </cell>
          <cell r="AB6">
            <v>5</v>
          </cell>
          <cell r="AC6">
            <v>5</v>
          </cell>
          <cell r="AD6">
            <v>5</v>
          </cell>
          <cell r="AE6">
            <v>5</v>
          </cell>
          <cell r="AG6" t="str">
            <v>He is good at technical skill and should study more about AVN</v>
          </cell>
        </row>
        <row r="7">
          <cell r="B7" t="str">
            <v>Dang Bich Thuy</v>
          </cell>
          <cell r="E7">
            <v>5</v>
          </cell>
          <cell r="F7">
            <v>5</v>
          </cell>
          <cell r="G7">
            <v>5</v>
          </cell>
          <cell r="H7">
            <v>5</v>
          </cell>
          <cell r="I7">
            <v>5</v>
          </cell>
          <cell r="J7">
            <v>5</v>
          </cell>
          <cell r="P7">
            <v>5</v>
          </cell>
          <cell r="Q7">
            <v>5</v>
          </cell>
          <cell r="R7">
            <v>5</v>
          </cell>
          <cell r="T7" t="str">
            <v>Friendly with everyone</v>
          </cell>
          <cell r="U7" t="str">
            <v>Good</v>
          </cell>
          <cell r="V7" t="str">
            <v>Good</v>
          </cell>
          <cell r="W7" t="str">
            <v>Good</v>
          </cell>
          <cell r="X7" t="str">
            <v>No need</v>
          </cell>
          <cell r="Y7" t="str">
            <v>No need</v>
          </cell>
          <cell r="Z7">
            <v>5</v>
          </cell>
          <cell r="AA7">
            <v>5</v>
          </cell>
          <cell r="AB7">
            <v>5</v>
          </cell>
          <cell r="AC7">
            <v>5</v>
          </cell>
          <cell r="AD7">
            <v>5</v>
          </cell>
          <cell r="AE7">
            <v>5</v>
          </cell>
          <cell r="AG7" t="str">
            <v>No comment</v>
          </cell>
        </row>
        <row r="8">
          <cell r="B8" t="str">
            <v>Dang Bich Thuy</v>
          </cell>
          <cell r="E8">
            <v>5</v>
          </cell>
          <cell r="F8">
            <v>5</v>
          </cell>
          <cell r="G8">
            <v>5</v>
          </cell>
          <cell r="H8">
            <v>5</v>
          </cell>
          <cell r="I8">
            <v>5</v>
          </cell>
          <cell r="J8">
            <v>5</v>
          </cell>
          <cell r="P8">
            <v>5</v>
          </cell>
          <cell r="Q8">
            <v>5</v>
          </cell>
          <cell r="R8">
            <v>5</v>
          </cell>
          <cell r="T8" t="str">
            <v>Friendly</v>
          </cell>
          <cell r="U8" t="str">
            <v>Good</v>
          </cell>
          <cell r="V8" t="str">
            <v>Positive</v>
          </cell>
          <cell r="W8" t="str">
            <v>Creative</v>
          </cell>
          <cell r="X8" t="str">
            <v>Nothing</v>
          </cell>
          <cell r="Y8" t="str">
            <v>Nothing</v>
          </cell>
          <cell r="Z8">
            <v>5</v>
          </cell>
          <cell r="AA8">
            <v>5</v>
          </cell>
          <cell r="AB8">
            <v>5</v>
          </cell>
          <cell r="AC8">
            <v>5</v>
          </cell>
          <cell r="AD8">
            <v>5</v>
          </cell>
          <cell r="AE8">
            <v>5</v>
          </cell>
          <cell r="AG8" t="str">
            <v>She is friendly and willing to help people</v>
          </cell>
        </row>
        <row r="9">
          <cell r="B9" t="str">
            <v>Dang Bich Thuy</v>
          </cell>
          <cell r="Z9">
            <v>5</v>
          </cell>
          <cell r="AA9">
            <v>5</v>
          </cell>
          <cell r="AB9">
            <v>5</v>
          </cell>
          <cell r="AC9">
            <v>5</v>
          </cell>
          <cell r="AD9">
            <v>5</v>
          </cell>
          <cell r="AE9">
            <v>5</v>
          </cell>
          <cell r="AG9" t="str">
            <v>N/A</v>
          </cell>
        </row>
        <row r="10">
          <cell r="B10" t="str">
            <v>Dien Kim Thoa</v>
          </cell>
          <cell r="E10">
            <v>5</v>
          </cell>
          <cell r="F10">
            <v>5</v>
          </cell>
          <cell r="G10">
            <v>4</v>
          </cell>
          <cell r="H10">
            <v>5</v>
          </cell>
          <cell r="I10">
            <v>5</v>
          </cell>
          <cell r="J10">
            <v>4</v>
          </cell>
          <cell r="P10">
            <v>4</v>
          </cell>
          <cell r="Q10">
            <v>3</v>
          </cell>
          <cell r="R10">
            <v>3</v>
          </cell>
          <cell r="T10" t="str">
            <v>Open  good communication</v>
          </cell>
          <cell r="U10" t="str">
            <v>Should improve time management for better results</v>
          </cell>
          <cell r="V10" t="str">
            <v>Hard working  supportive</v>
          </cell>
          <cell r="W10" t="str">
            <v>Found improvements after have work experience</v>
          </cell>
          <cell r="X10" t="str">
            <v xml:space="preserve">She should not take too much time to support others and stay late to complete her work. Should know task priority and arrange time effectively. </v>
          </cell>
          <cell r="Y10" t="str">
            <v>She should improve problem solving skills, should know task priority</v>
          </cell>
          <cell r="Z10">
            <v>3</v>
          </cell>
          <cell r="AA10">
            <v>4</v>
          </cell>
          <cell r="AB10">
            <v>3</v>
          </cell>
          <cell r="AC10">
            <v>4</v>
          </cell>
          <cell r="AD10">
            <v>4</v>
          </cell>
          <cell r="AE10">
            <v>5</v>
          </cell>
          <cell r="AG10" t="str">
            <v>She should improve the way of express her idea, problem solving skill, task priority, time management</v>
          </cell>
        </row>
        <row r="11">
          <cell r="B11" t="str">
            <v>Dien Kim Thoa</v>
          </cell>
          <cell r="E11">
            <v>5</v>
          </cell>
          <cell r="F11">
            <v>4</v>
          </cell>
          <cell r="G11">
            <v>3</v>
          </cell>
          <cell r="H11">
            <v>3</v>
          </cell>
          <cell r="I11">
            <v>4</v>
          </cell>
          <cell r="J11">
            <v>4</v>
          </cell>
          <cell r="P11">
            <v>3</v>
          </cell>
          <cell r="Q11">
            <v>4</v>
          </cell>
          <cell r="R11">
            <v>3</v>
          </cell>
          <cell r="T11" t="str">
            <v>happy  enthussian</v>
          </cell>
          <cell r="U11" t="str">
            <v>Good</v>
          </cell>
          <cell r="V11" t="str">
            <v>Good</v>
          </cell>
          <cell r="W11" t="str">
            <v>normal</v>
          </cell>
          <cell r="X11" t="str">
            <v>- The ability to present the problem is NOT good so she need to practice more</v>
          </cell>
          <cell r="Y11" t="str">
            <v xml:space="preserve">- when listen or read information she need more careful to understand correctly and answer correct content.
They are some her problems but she has good knowledge about Cluster and good work attitude. </v>
          </cell>
          <cell r="Z11">
            <v>3</v>
          </cell>
          <cell r="AA11">
            <v>3</v>
          </cell>
          <cell r="AB11">
            <v>3</v>
          </cell>
          <cell r="AC11">
            <v>4</v>
          </cell>
          <cell r="AD11">
            <v>4</v>
          </cell>
          <cell r="AE11">
            <v>4</v>
          </cell>
          <cell r="AG11" t="str">
            <v>N/A</v>
          </cell>
        </row>
        <row r="12">
          <cell r="B12" t="str">
            <v>Dien Kim Thoa</v>
          </cell>
          <cell r="E12">
            <v>5</v>
          </cell>
          <cell r="F12">
            <v>5</v>
          </cell>
          <cell r="G12">
            <v>5</v>
          </cell>
          <cell r="H12">
            <v>5</v>
          </cell>
          <cell r="I12">
            <v>5</v>
          </cell>
          <cell r="J12">
            <v>5</v>
          </cell>
          <cell r="P12">
            <v>5</v>
          </cell>
          <cell r="Q12">
            <v>5</v>
          </cell>
          <cell r="R12">
            <v>5</v>
          </cell>
          <cell r="T12" t="str">
            <v>enthusiasm</v>
          </cell>
          <cell r="U12" t="str">
            <v>good</v>
          </cell>
          <cell r="V12" t="str">
            <v>good</v>
          </cell>
          <cell r="W12" t="str">
            <v>good</v>
          </cell>
          <cell r="X12" t="str">
            <v>NA</v>
          </cell>
          <cell r="Y12" t="str">
            <v>NA</v>
          </cell>
          <cell r="Z12">
            <v>4</v>
          </cell>
          <cell r="AA12">
            <v>5</v>
          </cell>
          <cell r="AB12">
            <v>4</v>
          </cell>
          <cell r="AC12">
            <v>4</v>
          </cell>
          <cell r="AD12">
            <v>5</v>
          </cell>
          <cell r="AE12">
            <v>5</v>
          </cell>
          <cell r="AG12" t="str">
            <v>NA</v>
          </cell>
        </row>
        <row r="13">
          <cell r="B13" t="str">
            <v>Dinh Ngoc Hien</v>
          </cell>
          <cell r="E13">
            <v>3</v>
          </cell>
          <cell r="F13">
            <v>4</v>
          </cell>
          <cell r="G13">
            <v>4</v>
          </cell>
          <cell r="H13">
            <v>4</v>
          </cell>
          <cell r="I13">
            <v>3</v>
          </cell>
          <cell r="J13">
            <v>5</v>
          </cell>
          <cell r="P13">
            <v>4</v>
          </cell>
          <cell r="Q13">
            <v>5</v>
          </cell>
          <cell r="R13">
            <v>4</v>
          </cell>
          <cell r="T13" t="str">
            <v>Rebellious</v>
          </cell>
          <cell r="U13" t="str">
            <v>Good</v>
          </cell>
          <cell r="V13" t="str">
            <v>Positive</v>
          </cell>
          <cell r="W13" t="str">
            <v>Good</v>
          </cell>
          <cell r="X13" t="str">
            <v>Talk</v>
          </cell>
          <cell r="Y13" t="str">
            <v>Focus on his work</v>
          </cell>
          <cell r="Z13">
            <v>5</v>
          </cell>
          <cell r="AA13">
            <v>4</v>
          </cell>
          <cell r="AB13">
            <v>4</v>
          </cell>
          <cell r="AC13">
            <v>3</v>
          </cell>
          <cell r="AD13">
            <v>4</v>
          </cell>
          <cell r="AE13">
            <v>4</v>
          </cell>
          <cell r="AG13" t="str">
            <v>He fulfilled all assigned tasks well but his manner is a minus</v>
          </cell>
        </row>
        <row r="14">
          <cell r="B14" t="str">
            <v>Dinh Ngoc Hien</v>
          </cell>
          <cell r="Z14">
            <v>4</v>
          </cell>
          <cell r="AA14">
            <v>5</v>
          </cell>
          <cell r="AB14">
            <v>5</v>
          </cell>
          <cell r="AC14">
            <v>4</v>
          </cell>
          <cell r="AD14">
            <v>5</v>
          </cell>
          <cell r="AE14">
            <v>5</v>
          </cell>
          <cell r="AG14" t="str">
            <v>should open when having suggestions</v>
          </cell>
        </row>
        <row r="15">
          <cell r="B15" t="str">
            <v>Dinh Ngoc Hien</v>
          </cell>
          <cell r="E15">
            <v>5</v>
          </cell>
          <cell r="F15">
            <v>5</v>
          </cell>
          <cell r="G15">
            <v>5</v>
          </cell>
          <cell r="H15">
            <v>4</v>
          </cell>
          <cell r="I15">
            <v>4</v>
          </cell>
          <cell r="J15">
            <v>5</v>
          </cell>
          <cell r="P15">
            <v>5</v>
          </cell>
          <cell r="Q15">
            <v>5</v>
          </cell>
          <cell r="R15">
            <v>5</v>
          </cell>
          <cell r="T15" t="str">
            <v>good man  good knowledge</v>
          </cell>
          <cell r="U15" t="str">
            <v>good</v>
          </cell>
          <cell r="V15" t="str">
            <v>good</v>
          </cell>
          <cell r="W15" t="str">
            <v>good</v>
          </cell>
          <cell r="X15" t="str">
            <v>talk</v>
          </cell>
          <cell r="Y15" t="str">
            <v>nothing</v>
          </cell>
          <cell r="Z15">
            <v>5</v>
          </cell>
          <cell r="AA15">
            <v>5</v>
          </cell>
          <cell r="AB15">
            <v>5</v>
          </cell>
          <cell r="AC15">
            <v>4</v>
          </cell>
          <cell r="AD15">
            <v>5</v>
          </cell>
          <cell r="AE15">
            <v>5</v>
          </cell>
          <cell r="AG15" t="str">
            <v>nothing</v>
          </cell>
        </row>
        <row r="16">
          <cell r="B16" t="str">
            <v>Do Thi Hong Nhung</v>
          </cell>
          <cell r="Z16">
            <v>4</v>
          </cell>
          <cell r="AA16">
            <v>4</v>
          </cell>
          <cell r="AB16">
            <v>4</v>
          </cell>
          <cell r="AC16">
            <v>4</v>
          </cell>
          <cell r="AD16">
            <v>3</v>
          </cell>
          <cell r="AE16">
            <v>5</v>
          </cell>
          <cell r="AG16" t="str">
            <v>Should be more active in the joint activities of DCV</v>
          </cell>
        </row>
        <row r="17">
          <cell r="B17" t="str">
            <v>Do Thi Hong Nhung</v>
          </cell>
          <cell r="E17">
            <v>5</v>
          </cell>
          <cell r="F17">
            <v>5</v>
          </cell>
          <cell r="G17">
            <v>5</v>
          </cell>
          <cell r="H17">
            <v>5</v>
          </cell>
          <cell r="I17">
            <v>5</v>
          </cell>
          <cell r="J17">
            <v>5</v>
          </cell>
          <cell r="P17">
            <v>5</v>
          </cell>
          <cell r="Q17">
            <v>5</v>
          </cell>
          <cell r="R17">
            <v>5</v>
          </cell>
          <cell r="T17" t="str">
            <v>Thân thiện  dễ gần  ngoan</v>
          </cell>
          <cell r="U17" t="str">
            <v>Tốt</v>
          </cell>
          <cell r="V17" t="str">
            <v>Tốt</v>
          </cell>
          <cell r="W17" t="str">
            <v>Tốt</v>
          </cell>
          <cell r="X17" t="str">
            <v xml:space="preserve">Bớt hiền </v>
          </cell>
          <cell r="Y17" t="str">
            <v>Mạnh dạn hơn 1 chút</v>
          </cell>
          <cell r="Z17">
            <v>4</v>
          </cell>
          <cell r="AA17">
            <v>5</v>
          </cell>
          <cell r="AB17">
            <v>4</v>
          </cell>
          <cell r="AC17">
            <v>5</v>
          </cell>
          <cell r="AD17">
            <v>5</v>
          </cell>
          <cell r="AE17">
            <v>5</v>
          </cell>
          <cell r="AG17" t="str">
            <v>No comment</v>
          </cell>
        </row>
        <row r="18">
          <cell r="B18" t="str">
            <v>Do Thi Hong Nhung</v>
          </cell>
          <cell r="Z18">
            <v>2</v>
          </cell>
          <cell r="AA18">
            <v>3</v>
          </cell>
          <cell r="AB18">
            <v>3</v>
          </cell>
          <cell r="AC18">
            <v>4</v>
          </cell>
          <cell r="AD18">
            <v>3</v>
          </cell>
          <cell r="AE18">
            <v>5</v>
          </cell>
          <cell r="AG18" t="str">
            <v>She is new member however she is very hard working, self study and learn from many people. She has a liter NOT good about plan for her task</v>
          </cell>
        </row>
        <row r="19">
          <cell r="B19" t="str">
            <v>Do Thi Hue</v>
          </cell>
          <cell r="E19">
            <v>5</v>
          </cell>
          <cell r="F19">
            <v>4</v>
          </cell>
          <cell r="G19">
            <v>5</v>
          </cell>
          <cell r="H19">
            <v>5</v>
          </cell>
          <cell r="I19">
            <v>5</v>
          </cell>
          <cell r="J19">
            <v>5</v>
          </cell>
          <cell r="P19">
            <v>5</v>
          </cell>
          <cell r="Q19">
            <v>4</v>
          </cell>
          <cell r="R19">
            <v>5</v>
          </cell>
          <cell r="T19" t="str">
            <v>Helpful  willing to support</v>
          </cell>
          <cell r="U19" t="str">
            <v>focus on target</v>
          </cell>
          <cell r="V19" t="str">
            <v>Enthusiastic</v>
          </cell>
          <cell r="W19" t="str">
            <v>Proactive</v>
          </cell>
          <cell r="X19" t="str">
            <v>nothing</v>
          </cell>
          <cell r="Y19" t="str">
            <v>understand well all issues or read email carefully before sending any feedbacks</v>
          </cell>
          <cell r="Z19">
            <v>5</v>
          </cell>
          <cell r="AA19">
            <v>5</v>
          </cell>
          <cell r="AB19">
            <v>5</v>
          </cell>
          <cell r="AC19">
            <v>4</v>
          </cell>
          <cell r="AD19">
            <v>4</v>
          </cell>
          <cell r="AE19">
            <v>4</v>
          </cell>
          <cell r="AF19" t="str">
            <v>She needs more willing to consider other approaches from all members</v>
          </cell>
          <cell r="AG19" t="str">
            <v>create working environment friendly between team members</v>
          </cell>
        </row>
        <row r="20">
          <cell r="B20" t="str">
            <v>Do Thi Hue</v>
          </cell>
          <cell r="Z20">
            <v>5</v>
          </cell>
          <cell r="AA20">
            <v>5</v>
          </cell>
          <cell r="AB20">
            <v>5</v>
          </cell>
          <cell r="AC20">
            <v>5</v>
          </cell>
          <cell r="AD20">
            <v>4</v>
          </cell>
          <cell r="AE20">
            <v>4</v>
          </cell>
          <cell r="AG20" t="str">
            <v>She should build team activity because she has capability</v>
          </cell>
        </row>
        <row r="21">
          <cell r="B21" t="str">
            <v>Do Thi Hue</v>
          </cell>
          <cell r="E21">
            <v>4</v>
          </cell>
          <cell r="F21">
            <v>4</v>
          </cell>
          <cell r="G21">
            <v>4</v>
          </cell>
          <cell r="H21">
            <v>4</v>
          </cell>
          <cell r="I21">
            <v>4</v>
          </cell>
          <cell r="J21">
            <v>4</v>
          </cell>
          <cell r="P21">
            <v>4</v>
          </cell>
          <cell r="Q21">
            <v>3</v>
          </cell>
          <cell r="R21">
            <v>4</v>
          </cell>
          <cell r="T21" t="str">
            <v>Hardworking  focus on work</v>
          </cell>
          <cell r="U21" t="str">
            <v>Good</v>
          </cell>
          <cell r="V21" t="str">
            <v>focus on work</v>
          </cell>
          <cell r="W21" t="str">
            <v>Nornal</v>
          </cell>
          <cell r="X21" t="str">
            <v>work independently without idea from members</v>
          </cell>
          <cell r="Y21" t="str">
            <v>Communicate, Support members and build a strong team</v>
          </cell>
          <cell r="Z21">
            <v>3</v>
          </cell>
          <cell r="AA21">
            <v>4</v>
          </cell>
          <cell r="AB21">
            <v>4</v>
          </cell>
          <cell r="AC21">
            <v>3</v>
          </cell>
          <cell r="AD21">
            <v>4</v>
          </cell>
          <cell r="AE21">
            <v>4</v>
          </cell>
          <cell r="AG21" t="str">
            <v>should listen to members more</v>
          </cell>
        </row>
        <row r="22">
          <cell r="B22" t="str">
            <v>Do Thi Hue</v>
          </cell>
          <cell r="E22">
            <v>5</v>
          </cell>
          <cell r="F22">
            <v>5</v>
          </cell>
          <cell r="G22">
            <v>5</v>
          </cell>
          <cell r="H22">
            <v>5</v>
          </cell>
          <cell r="I22">
            <v>5</v>
          </cell>
          <cell r="J22">
            <v>5</v>
          </cell>
          <cell r="Z22">
            <v>5</v>
          </cell>
          <cell r="AA22">
            <v>5</v>
          </cell>
          <cell r="AB22">
            <v>5</v>
          </cell>
          <cell r="AC22">
            <v>5</v>
          </cell>
          <cell r="AD22">
            <v>5</v>
          </cell>
          <cell r="AE22">
            <v>5</v>
          </cell>
          <cell r="AG22" t="str">
            <v>N/A</v>
          </cell>
        </row>
        <row r="23">
          <cell r="B23" t="str">
            <v>Do Thi Hue</v>
          </cell>
          <cell r="E23">
            <v>5</v>
          </cell>
          <cell r="F23">
            <v>5</v>
          </cell>
          <cell r="G23">
            <v>4</v>
          </cell>
          <cell r="H23">
            <v>5</v>
          </cell>
          <cell r="I23">
            <v>4</v>
          </cell>
          <cell r="J23">
            <v>5</v>
          </cell>
          <cell r="P23">
            <v>4</v>
          </cell>
          <cell r="Q23">
            <v>4</v>
          </cell>
          <cell r="R23">
            <v>5</v>
          </cell>
          <cell r="T23" t="str">
            <v>Happy and Enthusiasm</v>
          </cell>
          <cell r="U23" t="str">
            <v>Good</v>
          </cell>
          <cell r="V23" t="str">
            <v>positive and confident</v>
          </cell>
          <cell r="W23" t="str">
            <v>Normally</v>
          </cell>
          <cell r="X23" t="str">
            <v>Should discuss to final decision to get for member</v>
          </cell>
          <cell r="Y23" t="str">
            <v>Listen and understand the problem of member in the team</v>
          </cell>
          <cell r="Z23">
            <v>4</v>
          </cell>
          <cell r="AA23">
            <v>4</v>
          </cell>
          <cell r="AB23">
            <v>4</v>
          </cell>
          <cell r="AC23">
            <v>4</v>
          </cell>
          <cell r="AD23">
            <v>4</v>
          </cell>
          <cell r="AE23">
            <v>4</v>
          </cell>
          <cell r="AG23" t="str">
            <v>Listen from others to improve on the team/ or support if other need</v>
          </cell>
        </row>
        <row r="24">
          <cell r="B24" t="str">
            <v>Do Thi Hue</v>
          </cell>
          <cell r="E24">
            <v>3</v>
          </cell>
          <cell r="F24">
            <v>3</v>
          </cell>
          <cell r="G24">
            <v>5</v>
          </cell>
          <cell r="H24">
            <v>4</v>
          </cell>
          <cell r="I24">
            <v>4</v>
          </cell>
          <cell r="J24">
            <v>4</v>
          </cell>
          <cell r="P24">
            <v>4</v>
          </cell>
          <cell r="Q24">
            <v>4</v>
          </cell>
          <cell r="R24">
            <v>4</v>
          </cell>
          <cell r="T24" t="str">
            <v>Mạnh mẽ</v>
          </cell>
          <cell r="U24" t="str">
            <v>Đúng hẹn</v>
          </cell>
          <cell r="V24" t="str">
            <v>Tích cực</v>
          </cell>
          <cell r="W24" t="str">
            <v>Có nhiều ý tưởng hợp lý. Nhiều cái không</v>
          </cell>
          <cell r="X24" t="str">
            <v>No</v>
          </cell>
          <cell r="Y24" t="str">
            <v>lắng nghe mọi người hơn</v>
          </cell>
          <cell r="Z24">
            <v>5</v>
          </cell>
          <cell r="AA24">
            <v>5</v>
          </cell>
          <cell r="AB24">
            <v>5</v>
          </cell>
          <cell r="AC24">
            <v>4</v>
          </cell>
          <cell r="AD24">
            <v>5</v>
          </cell>
          <cell r="AE24">
            <v>4</v>
          </cell>
          <cell r="AG24" t="str">
            <v>NO</v>
          </cell>
        </row>
        <row r="25">
          <cell r="B25" t="str">
            <v>Do Thi Ngoc Bich</v>
          </cell>
          <cell r="Z25">
            <v>5</v>
          </cell>
          <cell r="AA25">
            <v>5</v>
          </cell>
          <cell r="AB25">
            <v>5</v>
          </cell>
          <cell r="AC25">
            <v>5</v>
          </cell>
          <cell r="AD25">
            <v>5</v>
          </cell>
          <cell r="AE25">
            <v>5</v>
          </cell>
          <cell r="AG25" t="str">
            <v>no comment</v>
          </cell>
        </row>
        <row r="26">
          <cell r="B26" t="str">
            <v>Do Thi Ngoc Bich</v>
          </cell>
          <cell r="Z26">
            <v>4</v>
          </cell>
          <cell r="AA26">
            <v>4</v>
          </cell>
          <cell r="AB26">
            <v>3</v>
          </cell>
          <cell r="AC26">
            <v>4</v>
          </cell>
          <cell r="AD26">
            <v>4</v>
          </cell>
          <cell r="AE26">
            <v>4</v>
          </cell>
          <cell r="AG26" t="str">
            <v>She is quite smart &amp; quick to learn new things but not really willing</v>
          </cell>
        </row>
        <row r="27">
          <cell r="B27" t="str">
            <v>Do Thi Ngoc Bich</v>
          </cell>
          <cell r="E27">
            <v>5</v>
          </cell>
          <cell r="F27">
            <v>5</v>
          </cell>
          <cell r="G27">
            <v>5</v>
          </cell>
          <cell r="H27">
            <v>5</v>
          </cell>
          <cell r="I27">
            <v>5</v>
          </cell>
          <cell r="J27">
            <v>5</v>
          </cell>
          <cell r="P27">
            <v>5</v>
          </cell>
          <cell r="Q27">
            <v>5</v>
          </cell>
          <cell r="R27">
            <v>5</v>
          </cell>
          <cell r="T27" t="str">
            <v>Good</v>
          </cell>
          <cell r="U27" t="str">
            <v>Good</v>
          </cell>
          <cell r="V27" t="str">
            <v>Good</v>
          </cell>
          <cell r="W27" t="str">
            <v>Good</v>
          </cell>
          <cell r="X27" t="str">
            <v>None, Keep support member</v>
          </cell>
          <cell r="Y27" t="str">
            <v>Keep support member</v>
          </cell>
          <cell r="Z27">
            <v>4</v>
          </cell>
          <cell r="AA27">
            <v>4</v>
          </cell>
          <cell r="AB27">
            <v>4</v>
          </cell>
          <cell r="AC27">
            <v>4</v>
          </cell>
          <cell r="AD27">
            <v>4</v>
          </cell>
          <cell r="AE27">
            <v>4</v>
          </cell>
          <cell r="AG27" t="str">
            <v>Keep support member and performance as right now</v>
          </cell>
        </row>
        <row r="28">
          <cell r="B28" t="str">
            <v>Ha Thi Mai Khanh</v>
          </cell>
          <cell r="Z28">
            <v>4</v>
          </cell>
          <cell r="AA28">
            <v>4</v>
          </cell>
          <cell r="AB28">
            <v>3</v>
          </cell>
          <cell r="AC28">
            <v>2</v>
          </cell>
          <cell r="AD28">
            <v>2</v>
          </cell>
          <cell r="AE28">
            <v>3</v>
          </cell>
          <cell r="AG28" t="str">
            <v>need to impove the spirit of cooperation, listen to the suggestions of others. Need to actively investigate the system you do Should not focus too on achievements, should focus on improving the quality of work</v>
          </cell>
        </row>
        <row r="29">
          <cell r="B29" t="str">
            <v>Ha Thi Mai Khanh</v>
          </cell>
          <cell r="E29">
            <v>5</v>
          </cell>
          <cell r="F29">
            <v>5</v>
          </cell>
          <cell r="G29">
            <v>5</v>
          </cell>
          <cell r="H29">
            <v>5</v>
          </cell>
          <cell r="I29">
            <v>5</v>
          </cell>
          <cell r="J29">
            <v>5</v>
          </cell>
          <cell r="P29">
            <v>5</v>
          </cell>
          <cell r="Q29">
            <v>5</v>
          </cell>
          <cell r="R29">
            <v>5</v>
          </cell>
          <cell r="T29" t="str">
            <v xml:space="preserve">Excellent </v>
          </cell>
          <cell r="U29" t="str">
            <v>Good</v>
          </cell>
          <cell r="V29" t="str">
            <v xml:space="preserve">Excellent </v>
          </cell>
          <cell r="W29" t="str">
            <v xml:space="preserve">Excellent </v>
          </cell>
          <cell r="X29" t="str">
            <v>N/A</v>
          </cell>
          <cell r="Y29" t="str">
            <v>N/A</v>
          </cell>
          <cell r="Z29">
            <v>5</v>
          </cell>
          <cell r="AA29">
            <v>5</v>
          </cell>
          <cell r="AB29">
            <v>5</v>
          </cell>
          <cell r="AC29">
            <v>5</v>
          </cell>
          <cell r="AD29">
            <v>5</v>
          </cell>
          <cell r="AE29">
            <v>5</v>
          </cell>
          <cell r="AG29" t="str">
            <v xml:space="preserve">Openness, Conscientiousness and Proactive </v>
          </cell>
        </row>
        <row r="30">
          <cell r="B30" t="str">
            <v>Hoang Hong Nhung</v>
          </cell>
          <cell r="E30">
            <v>4</v>
          </cell>
          <cell r="F30">
            <v>5</v>
          </cell>
          <cell r="G30">
            <v>4</v>
          </cell>
          <cell r="H30">
            <v>4</v>
          </cell>
          <cell r="I30">
            <v>5</v>
          </cell>
          <cell r="J30">
            <v>4</v>
          </cell>
          <cell r="P30">
            <v>4</v>
          </cell>
          <cell r="Q30">
            <v>4</v>
          </cell>
          <cell r="R30">
            <v>4</v>
          </cell>
          <cell r="T30" t="str">
            <v>Enthusiastic  easy to work with</v>
          </cell>
          <cell r="U30" t="str">
            <v>Complete work on time</v>
          </cell>
          <cell r="V30" t="str">
            <v>Seriously  ready to share issues with members</v>
          </cell>
          <cell r="W30" t="str">
            <v>Got many good solutions for members</v>
          </cell>
          <cell r="X30" t="str">
            <v>- Need to discuss with the HQ before making decisions for members</v>
          </cell>
          <cell r="Y30" t="str">
            <v>- Need evaluate the right nature of the project to make decisions suitable for the team</v>
          </cell>
          <cell r="Z30">
            <v>4</v>
          </cell>
          <cell r="AA30">
            <v>5</v>
          </cell>
          <cell r="AB30">
            <v>5</v>
          </cell>
          <cell r="AC30">
            <v>4</v>
          </cell>
          <cell r="AD30">
            <v>4</v>
          </cell>
          <cell r="AE30">
            <v>4</v>
          </cell>
          <cell r="AG30" t="str">
            <v>- Build a better team work environment</v>
          </cell>
        </row>
        <row r="31">
          <cell r="B31" t="str">
            <v>Hoang Hong Nhung</v>
          </cell>
          <cell r="Z31">
            <v>4</v>
          </cell>
          <cell r="AA31">
            <v>4</v>
          </cell>
          <cell r="AB31">
            <v>5</v>
          </cell>
          <cell r="AC31">
            <v>4</v>
          </cell>
          <cell r="AD31">
            <v>4</v>
          </cell>
          <cell r="AE31">
            <v>4</v>
          </cell>
          <cell r="AG31" t="str">
            <v>She need more active in team activity.</v>
          </cell>
        </row>
        <row r="32">
          <cell r="B32" t="str">
            <v>Hoang Hong Nhung</v>
          </cell>
          <cell r="E32">
            <v>4</v>
          </cell>
          <cell r="F32">
            <v>5</v>
          </cell>
          <cell r="G32">
            <v>4</v>
          </cell>
          <cell r="H32">
            <v>4</v>
          </cell>
          <cell r="I32">
            <v>5</v>
          </cell>
          <cell r="J32">
            <v>5</v>
          </cell>
          <cell r="P32">
            <v>4</v>
          </cell>
          <cell r="Q32">
            <v>4</v>
          </cell>
          <cell r="R32">
            <v>4</v>
          </cell>
          <cell r="T32" t="str">
            <v>Friendly and always enthusiastic about helping people</v>
          </cell>
          <cell r="U32" t="str">
            <v>Complete work on time</v>
          </cell>
          <cell r="V32" t="str">
            <v>Has high spirit and responsibility at work</v>
          </cell>
          <cell r="W32" t="str">
            <v>Has many good solutions and ideas to solve problems</v>
          </cell>
          <cell r="X32" t="str">
            <v>should limit evaluation and give perspectives based on other projects</v>
          </cell>
          <cell r="Y32" t="str">
            <v>should evaluate the nature of the project in order to make a better decision</v>
          </cell>
          <cell r="Z32">
            <v>4</v>
          </cell>
          <cell r="AA32">
            <v>4</v>
          </cell>
          <cell r="AB32">
            <v>4</v>
          </cell>
          <cell r="AC32">
            <v>4</v>
          </cell>
          <cell r="AD32">
            <v>5</v>
          </cell>
          <cell r="AE32">
            <v>5</v>
          </cell>
          <cell r="AG32" t="str">
            <v>she has a beautiful smile, she should more smile</v>
          </cell>
        </row>
        <row r="33">
          <cell r="B33" t="str">
            <v>Hoang Hong Nhung</v>
          </cell>
          <cell r="E33">
            <v>5</v>
          </cell>
          <cell r="F33">
            <v>5</v>
          </cell>
          <cell r="G33">
            <v>5</v>
          </cell>
          <cell r="H33">
            <v>5</v>
          </cell>
          <cell r="I33">
            <v>5</v>
          </cell>
          <cell r="J33">
            <v>5</v>
          </cell>
          <cell r="P33">
            <v>4</v>
          </cell>
          <cell r="Q33">
            <v>4</v>
          </cell>
          <cell r="R33">
            <v>4</v>
          </cell>
          <cell r="T33" t="str">
            <v>Enthusiatic</v>
          </cell>
          <cell r="U33" t="str">
            <v>Good</v>
          </cell>
          <cell r="V33" t="str">
            <v>Good</v>
          </cell>
          <cell r="W33" t="str">
            <v>So so</v>
          </cell>
          <cell r="X33" t="str">
            <v>N/A</v>
          </cell>
          <cell r="Y33" t="str">
            <v>- She should be more active and creative
- She should interact with team member more -&gt; connect member togethers more</v>
          </cell>
          <cell r="Z33">
            <v>5</v>
          </cell>
          <cell r="AA33">
            <v>5</v>
          </cell>
          <cell r="AB33">
            <v>4</v>
          </cell>
          <cell r="AC33">
            <v>4</v>
          </cell>
          <cell r="AD33">
            <v>4</v>
          </cell>
          <cell r="AE33">
            <v>5</v>
          </cell>
          <cell r="AG33" t="str">
            <v>N/A</v>
          </cell>
        </row>
        <row r="34">
          <cell r="B34" t="str">
            <v>Hoang Hong Nhung</v>
          </cell>
          <cell r="E34">
            <v>4</v>
          </cell>
          <cell r="F34">
            <v>4</v>
          </cell>
          <cell r="G34">
            <v>5</v>
          </cell>
          <cell r="H34">
            <v>4</v>
          </cell>
          <cell r="I34">
            <v>4</v>
          </cell>
          <cell r="J34">
            <v>4</v>
          </cell>
          <cell r="P34">
            <v>5</v>
          </cell>
          <cell r="Q34">
            <v>5</v>
          </cell>
          <cell r="R34">
            <v>5</v>
          </cell>
          <cell r="T34" t="str">
            <v>transparent   straigh</v>
          </cell>
          <cell r="U34" t="str">
            <v>good</v>
          </cell>
          <cell r="V34" t="str">
            <v>good</v>
          </cell>
          <cell r="W34" t="str">
            <v>good</v>
          </cell>
          <cell r="X34" t="str">
            <v>NA</v>
          </cell>
          <cell r="Y34" t="str">
            <v>more open</v>
          </cell>
          <cell r="Z34">
            <v>1</v>
          </cell>
          <cell r="AA34">
            <v>1</v>
          </cell>
          <cell r="AB34">
            <v>1</v>
          </cell>
          <cell r="AC34">
            <v>1</v>
          </cell>
          <cell r="AD34">
            <v>1</v>
          </cell>
          <cell r="AE34">
            <v>1</v>
          </cell>
          <cell r="AG34" t="str">
            <v>NA</v>
          </cell>
        </row>
        <row r="35">
          <cell r="B35" t="str">
            <v>Hoang Hong Nhung</v>
          </cell>
          <cell r="E35">
            <v>4</v>
          </cell>
          <cell r="F35">
            <v>4</v>
          </cell>
          <cell r="G35">
            <v>5</v>
          </cell>
          <cell r="H35">
            <v>5</v>
          </cell>
          <cell r="I35">
            <v>5</v>
          </cell>
          <cell r="J35">
            <v>5</v>
          </cell>
          <cell r="P35">
            <v>4</v>
          </cell>
          <cell r="Q35">
            <v>3</v>
          </cell>
          <cell r="R35">
            <v>4</v>
          </cell>
          <cell r="T35" t="str">
            <v>taciturn</v>
          </cell>
          <cell r="U35" t="str">
            <v>Good</v>
          </cell>
          <cell r="V35" t="str">
            <v>enthusiasm  hardworking</v>
          </cell>
          <cell r="W35" t="str">
            <v xml:space="preserve">good excel </v>
          </cell>
          <cell r="X35" t="str">
            <v>rigid</v>
          </cell>
          <cell r="Y35" t="str">
            <v xml:space="preserve">talk more to team member, smile </v>
          </cell>
          <cell r="Z35">
            <v>3</v>
          </cell>
          <cell r="AA35">
            <v>5</v>
          </cell>
          <cell r="AB35">
            <v>4</v>
          </cell>
          <cell r="AC35">
            <v>3</v>
          </cell>
          <cell r="AD35">
            <v>4</v>
          </cell>
          <cell r="AE35">
            <v>3</v>
          </cell>
          <cell r="AG35" t="str">
            <v xml:space="preserve">smile more and more </v>
          </cell>
        </row>
        <row r="36">
          <cell r="B36" t="str">
            <v>Hoang Hong Nhung</v>
          </cell>
          <cell r="E36">
            <v>5</v>
          </cell>
          <cell r="F36">
            <v>5</v>
          </cell>
          <cell r="G36">
            <v>5</v>
          </cell>
          <cell r="H36">
            <v>5</v>
          </cell>
          <cell r="I36">
            <v>5</v>
          </cell>
          <cell r="J36">
            <v>5</v>
          </cell>
          <cell r="P36">
            <v>5</v>
          </cell>
          <cell r="Q36">
            <v>5</v>
          </cell>
          <cell r="R36">
            <v>5</v>
          </cell>
          <cell r="T36" t="str">
            <v xml:space="preserve">Shes kind  nice  hard working </v>
          </cell>
          <cell r="U36" t="str">
            <v>On time</v>
          </cell>
          <cell r="V36" t="str">
            <v>High resposibility in work</v>
          </cell>
          <cell r="W36" t="str">
            <v>Creativity in work</v>
          </cell>
          <cell r="X36" t="str">
            <v>No</v>
          </cell>
          <cell r="Y36" t="str">
            <v>No</v>
          </cell>
          <cell r="Z36">
            <v>5</v>
          </cell>
          <cell r="AA36">
            <v>4</v>
          </cell>
          <cell r="AB36">
            <v>5</v>
          </cell>
          <cell r="AC36">
            <v>5</v>
          </cell>
          <cell r="AD36">
            <v>5</v>
          </cell>
          <cell r="AE36">
            <v>5</v>
          </cell>
          <cell r="AG36" t="str">
            <v>No</v>
          </cell>
        </row>
        <row r="37">
          <cell r="B37" t="str">
            <v>Hoang Thi Lan</v>
          </cell>
          <cell r="Z37">
            <v>3</v>
          </cell>
          <cell r="AA37">
            <v>5</v>
          </cell>
          <cell r="AB37">
            <v>3</v>
          </cell>
          <cell r="AC37">
            <v>4</v>
          </cell>
          <cell r="AD37">
            <v>4</v>
          </cell>
          <cell r="AE37">
            <v>5</v>
          </cell>
          <cell r="AG37" t="str">
            <v>Next time, I hope she will has a boyfriend.</v>
          </cell>
        </row>
        <row r="38">
          <cell r="B38" t="str">
            <v>Hoang Thi Lan</v>
          </cell>
          <cell r="E38">
            <v>3</v>
          </cell>
          <cell r="F38">
            <v>4</v>
          </cell>
          <cell r="G38">
            <v>4</v>
          </cell>
          <cell r="H38">
            <v>4</v>
          </cell>
          <cell r="I38">
            <v>3</v>
          </cell>
          <cell r="J38">
            <v>4</v>
          </cell>
          <cell r="P38">
            <v>3</v>
          </cell>
          <cell r="Q38">
            <v>3</v>
          </cell>
          <cell r="R38">
            <v>4</v>
          </cell>
          <cell r="S38" t="str">
            <v>Sometime ignore problem if she don't know or don't relate to her task</v>
          </cell>
          <cell r="T38" t="str">
            <v>Happy and quite Enthusiasm</v>
          </cell>
          <cell r="U38" t="str">
            <v>Good</v>
          </cell>
          <cell r="V38" t="str">
            <v>positive and quite confident</v>
          </cell>
          <cell r="W38" t="str">
            <v>Normally</v>
          </cell>
          <cell r="X38" t="str">
            <v>I think that she should focus more</v>
          </cell>
          <cell r="Y38" t="str">
            <v xml:space="preserve">listen others, improve herself, support others </v>
          </cell>
          <cell r="Z38">
            <v>4</v>
          </cell>
          <cell r="AA38">
            <v>4</v>
          </cell>
          <cell r="AB38">
            <v>4</v>
          </cell>
          <cell r="AC38">
            <v>4</v>
          </cell>
          <cell r="AD38">
            <v>4</v>
          </cell>
          <cell r="AE38">
            <v>4</v>
          </cell>
          <cell r="AG38" t="str">
            <v>Write guide more detail and listen other to improve guideline</v>
          </cell>
        </row>
        <row r="39">
          <cell r="B39" t="str">
            <v>Hoang Thi Lan</v>
          </cell>
          <cell r="E39">
            <v>5</v>
          </cell>
          <cell r="F39">
            <v>5</v>
          </cell>
          <cell r="G39">
            <v>5</v>
          </cell>
          <cell r="H39">
            <v>5</v>
          </cell>
          <cell r="I39">
            <v>5</v>
          </cell>
          <cell r="J39">
            <v>5</v>
          </cell>
          <cell r="P39">
            <v>4</v>
          </cell>
          <cell r="Q39">
            <v>4</v>
          </cell>
          <cell r="R39">
            <v>4</v>
          </cell>
          <cell r="T39" t="str">
            <v>Self- study  Good team work and proactive</v>
          </cell>
          <cell r="U39" t="str">
            <v>Proactive and willing support members</v>
          </cell>
          <cell r="V39" t="str">
            <v>Willing support members</v>
          </cell>
          <cell r="W39" t="str">
            <v>Good</v>
          </cell>
          <cell r="X39" t="str">
            <v xml:space="preserve">Less speaking out loud </v>
          </cell>
          <cell r="Y39" t="str">
            <v>Communicate, creative and support news members more</v>
          </cell>
          <cell r="Z39">
            <v>5</v>
          </cell>
          <cell r="AA39">
            <v>5</v>
          </cell>
          <cell r="AB39">
            <v>4</v>
          </cell>
          <cell r="AC39">
            <v>4</v>
          </cell>
          <cell r="AD39">
            <v>5</v>
          </cell>
          <cell r="AE39">
            <v>5</v>
          </cell>
          <cell r="AG39" t="str">
            <v>increase creativity further more</v>
          </cell>
        </row>
        <row r="40">
          <cell r="B40" t="str">
            <v>Hoang Thi Thanh</v>
          </cell>
          <cell r="E40">
            <v>5</v>
          </cell>
          <cell r="F40">
            <v>5</v>
          </cell>
          <cell r="G40">
            <v>5</v>
          </cell>
          <cell r="H40">
            <v>5</v>
          </cell>
          <cell r="I40">
            <v>5</v>
          </cell>
          <cell r="J40">
            <v>5</v>
          </cell>
          <cell r="P40">
            <v>5</v>
          </cell>
          <cell r="Q40">
            <v>5</v>
          </cell>
          <cell r="R40">
            <v>5</v>
          </cell>
          <cell r="T40" t="str">
            <v>word hard  smart</v>
          </cell>
          <cell r="U40" t="str">
            <v>on time</v>
          </cell>
          <cell r="V40" t="str">
            <v>enthusiasm</v>
          </cell>
          <cell r="W40" t="str">
            <v>Test method</v>
          </cell>
          <cell r="X40" t="str">
            <v>Nothing</v>
          </cell>
          <cell r="Y40" t="str">
            <v>She's good</v>
          </cell>
          <cell r="Z40">
            <v>5</v>
          </cell>
          <cell r="AA40">
            <v>5</v>
          </cell>
          <cell r="AB40">
            <v>5</v>
          </cell>
          <cell r="AC40">
            <v>5</v>
          </cell>
          <cell r="AD40">
            <v>5</v>
          </cell>
          <cell r="AE40">
            <v>5</v>
          </cell>
          <cell r="AG40" t="str">
            <v>Perfect</v>
          </cell>
        </row>
        <row r="41">
          <cell r="B41" t="str">
            <v>Hoang Thi Thanh</v>
          </cell>
          <cell r="Z41">
            <v>5</v>
          </cell>
          <cell r="AA41">
            <v>5</v>
          </cell>
          <cell r="AB41">
            <v>5</v>
          </cell>
          <cell r="AC41">
            <v>5</v>
          </cell>
          <cell r="AD41">
            <v>5</v>
          </cell>
          <cell r="AE41">
            <v>5</v>
          </cell>
          <cell r="AG41" t="str">
            <v>N/A</v>
          </cell>
        </row>
        <row r="42">
          <cell r="B42" t="str">
            <v>Hoang Thi Thanh</v>
          </cell>
          <cell r="Z42">
            <v>5</v>
          </cell>
          <cell r="AA42">
            <v>5</v>
          </cell>
          <cell r="AB42">
            <v>5</v>
          </cell>
          <cell r="AC42">
            <v>5</v>
          </cell>
          <cell r="AD42">
            <v>5</v>
          </cell>
          <cell r="AE42">
            <v>5</v>
          </cell>
          <cell r="AG42" t="str">
            <v>she is very friendly</v>
          </cell>
        </row>
        <row r="43">
          <cell r="B43" t="str">
            <v>Le Thi Nga</v>
          </cell>
          <cell r="Z43">
            <v>4</v>
          </cell>
          <cell r="AA43">
            <v>4</v>
          </cell>
          <cell r="AB43">
            <v>4</v>
          </cell>
          <cell r="AC43">
            <v>5</v>
          </cell>
          <cell r="AD43">
            <v>4</v>
          </cell>
          <cell r="AE43">
            <v>1</v>
          </cell>
          <cell r="AG43" t="str">
            <v>Hard working, Friendly.</v>
          </cell>
        </row>
        <row r="44">
          <cell r="B44" t="str">
            <v>Le Thi Nga</v>
          </cell>
          <cell r="E44">
            <v>4</v>
          </cell>
          <cell r="F44">
            <v>4</v>
          </cell>
          <cell r="G44">
            <v>4</v>
          </cell>
          <cell r="H44">
            <v>4</v>
          </cell>
          <cell r="I44">
            <v>4</v>
          </cell>
          <cell r="J44">
            <v>4</v>
          </cell>
          <cell r="P44">
            <v>4</v>
          </cell>
          <cell r="Q44">
            <v>3</v>
          </cell>
          <cell r="R44">
            <v>4</v>
          </cell>
          <cell r="T44" t="str">
            <v>Not really friendly</v>
          </cell>
          <cell r="U44" t="str">
            <v>Adequate</v>
          </cell>
          <cell r="V44" t="str">
            <v>Positive</v>
          </cell>
          <cell r="W44" t="str">
            <v>Average</v>
          </cell>
          <cell r="X44" t="str">
            <v>N/A</v>
          </cell>
          <cell r="Y44" t="str">
            <v>Improve English &amp; technical skills</v>
          </cell>
          <cell r="Z44">
            <v>4</v>
          </cell>
          <cell r="AA44">
            <v>4</v>
          </cell>
          <cell r="AB44">
            <v>3</v>
          </cell>
          <cell r="AC44">
            <v>4</v>
          </cell>
          <cell r="AD44">
            <v>3</v>
          </cell>
          <cell r="AE44">
            <v>4</v>
          </cell>
          <cell r="AG44" t="str">
            <v>Work hard enough to fulfill all assignments</v>
          </cell>
        </row>
        <row r="45">
          <cell r="B45" t="str">
            <v>Le Thi Nga</v>
          </cell>
          <cell r="E45">
            <v>4</v>
          </cell>
          <cell r="F45">
            <v>3</v>
          </cell>
          <cell r="G45">
            <v>4</v>
          </cell>
          <cell r="H45">
            <v>3</v>
          </cell>
          <cell r="I45">
            <v>4</v>
          </cell>
          <cell r="J45">
            <v>3</v>
          </cell>
          <cell r="P45">
            <v>4</v>
          </cell>
          <cell r="Q45">
            <v>4</v>
          </cell>
          <cell r="R45">
            <v>3</v>
          </cell>
          <cell r="T45" t="str">
            <v>Friendly  willing to support others</v>
          </cell>
          <cell r="U45" t="str">
            <v xml:space="preserve">Always finish her task ontime </v>
          </cell>
          <cell r="V45" t="str">
            <v>High reponsibilty in her task</v>
          </cell>
          <cell r="W45" t="str">
            <v>Just do as assginment. I didnt see any innovation from her</v>
          </cell>
          <cell r="X45" t="str">
            <v>Willing to take the task</v>
          </cell>
          <cell r="Y45" t="str">
            <v>Need more carefully</v>
          </cell>
          <cell r="Z45">
            <v>3</v>
          </cell>
          <cell r="AA45">
            <v>4</v>
          </cell>
          <cell r="AB45">
            <v>4</v>
          </cell>
          <cell r="AC45">
            <v>3</v>
          </cell>
          <cell r="AD45">
            <v>4</v>
          </cell>
          <cell r="AE45">
            <v>3</v>
          </cell>
          <cell r="AG45" t="str">
            <v>Self-study more regularly to overcome issues and new technologies</v>
          </cell>
        </row>
        <row r="46">
          <cell r="B46" t="str">
            <v>Le Thi Phuong</v>
          </cell>
          <cell r="Z46">
            <v>5</v>
          </cell>
          <cell r="AA46">
            <v>5</v>
          </cell>
          <cell r="AB46">
            <v>5</v>
          </cell>
          <cell r="AC46">
            <v>5</v>
          </cell>
          <cell r="AD46">
            <v>5</v>
          </cell>
          <cell r="AE46">
            <v>5</v>
          </cell>
          <cell r="AG46" t="str">
            <v>I have no idea</v>
          </cell>
        </row>
        <row r="47">
          <cell r="B47" t="str">
            <v>Le Thi Phuong</v>
          </cell>
          <cell r="Z47">
            <v>5</v>
          </cell>
          <cell r="AA47">
            <v>5</v>
          </cell>
          <cell r="AB47">
            <v>4</v>
          </cell>
          <cell r="AC47">
            <v>5</v>
          </cell>
          <cell r="AD47">
            <v>5</v>
          </cell>
          <cell r="AE47">
            <v>5</v>
          </cell>
          <cell r="AG47" t="str">
            <v xml:space="preserve">Always be kind to support others </v>
          </cell>
        </row>
        <row r="48">
          <cell r="B48" t="str">
            <v>Le Thi Phuong</v>
          </cell>
          <cell r="E48">
            <v>5</v>
          </cell>
          <cell r="F48">
            <v>4</v>
          </cell>
          <cell r="G48">
            <v>5</v>
          </cell>
          <cell r="H48">
            <v>4</v>
          </cell>
          <cell r="I48">
            <v>5</v>
          </cell>
          <cell r="J48">
            <v>5</v>
          </cell>
          <cell r="P48">
            <v>4</v>
          </cell>
          <cell r="Q48">
            <v>4</v>
          </cell>
          <cell r="R48">
            <v>4</v>
          </cell>
          <cell r="T48" t="str">
            <v>Kind</v>
          </cell>
          <cell r="U48" t="str">
            <v>Good</v>
          </cell>
          <cell r="V48" t="str">
            <v>enthusiasm</v>
          </cell>
          <cell r="W48" t="str">
            <v>good</v>
          </cell>
          <cell r="X48" t="str">
            <v xml:space="preserve">be shy </v>
          </cell>
          <cell r="Y48" t="str">
            <v xml:space="preserve">Give her idea to public </v>
          </cell>
          <cell r="Z48">
            <v>4</v>
          </cell>
          <cell r="AA48">
            <v>4</v>
          </cell>
          <cell r="AB48">
            <v>4</v>
          </cell>
          <cell r="AC48">
            <v>5</v>
          </cell>
          <cell r="AD48">
            <v>5</v>
          </cell>
          <cell r="AE48">
            <v>5</v>
          </cell>
          <cell r="AG48" t="str">
            <v>dont be shy</v>
          </cell>
        </row>
        <row r="49">
          <cell r="B49" t="str">
            <v>Le Thi Phuong Mai</v>
          </cell>
          <cell r="Z49">
            <v>5</v>
          </cell>
          <cell r="AA49">
            <v>5</v>
          </cell>
          <cell r="AB49">
            <v>5</v>
          </cell>
          <cell r="AC49">
            <v>5</v>
          </cell>
          <cell r="AD49">
            <v>5</v>
          </cell>
          <cell r="AE49">
            <v>5</v>
          </cell>
          <cell r="AG49" t="str">
            <v xml:space="preserve">good listener and take care everybody </v>
          </cell>
        </row>
        <row r="50">
          <cell r="B50" t="str">
            <v>Le Thi Phuong Mai</v>
          </cell>
          <cell r="E50">
            <v>5</v>
          </cell>
          <cell r="F50">
            <v>4</v>
          </cell>
          <cell r="G50">
            <v>5</v>
          </cell>
          <cell r="H50">
            <v>4</v>
          </cell>
          <cell r="I50">
            <v>4</v>
          </cell>
          <cell r="J50">
            <v>5</v>
          </cell>
          <cell r="P50">
            <v>4</v>
          </cell>
          <cell r="Q50">
            <v>4</v>
          </cell>
          <cell r="R50">
            <v>4</v>
          </cell>
          <cell r="T50" t="str">
            <v>friendly  hardworking</v>
          </cell>
          <cell r="U50" t="str">
            <v>Good</v>
          </cell>
          <cell r="V50" t="str">
            <v>Good</v>
          </cell>
          <cell r="W50" t="str">
            <v>Good</v>
          </cell>
          <cell r="X50" t="str">
            <v>NA</v>
          </cell>
          <cell r="Y50" t="str">
            <v>NA</v>
          </cell>
          <cell r="Z50">
            <v>4</v>
          </cell>
          <cell r="AA50">
            <v>4</v>
          </cell>
          <cell r="AB50">
            <v>4</v>
          </cell>
          <cell r="AC50">
            <v>4</v>
          </cell>
          <cell r="AD50">
            <v>4</v>
          </cell>
          <cell r="AE50">
            <v>4</v>
          </cell>
          <cell r="AG50" t="str">
            <v>Excellent to work with her</v>
          </cell>
        </row>
        <row r="51">
          <cell r="B51" t="str">
            <v>Le Thi Phuong Mai</v>
          </cell>
          <cell r="E51">
            <v>5</v>
          </cell>
          <cell r="F51">
            <v>4</v>
          </cell>
          <cell r="G51">
            <v>5</v>
          </cell>
          <cell r="H51">
            <v>4</v>
          </cell>
          <cell r="I51">
            <v>5</v>
          </cell>
          <cell r="J51">
            <v>5</v>
          </cell>
          <cell r="P51">
            <v>5</v>
          </cell>
          <cell r="Q51">
            <v>5</v>
          </cell>
          <cell r="R51">
            <v>5</v>
          </cell>
          <cell r="T51" t="str">
            <v>Cởi mở  cẩn thận và tận tâm với công việc</v>
          </cell>
          <cell r="U51" t="str">
            <v>Luôn luôn thấy cố gắng để hoàn thành công việc</v>
          </cell>
          <cell r="V51" t="str">
            <v xml:space="preserve">Tích cực xây dựng và luôn hướng tới sự chính xác </v>
          </cell>
          <cell r="W51" t="str">
            <v xml:space="preserve">Chưa được sử dụng nhiều  đa số là đang sử dụng những kinh nghiệm vốn có để làm việc </v>
          </cell>
          <cell r="X51" t="str">
            <v>Không có</v>
          </cell>
          <cell r="Y51" t="str">
            <v xml:space="preserve">Hi vọng các member trong team gắn kết hơn và chia sẻ nhiều hơn với nhau về các công việc đang làm cũng như các thông tin liên quan đến dự án </v>
          </cell>
          <cell r="Z51">
            <v>5</v>
          </cell>
          <cell r="AA51">
            <v>5</v>
          </cell>
          <cell r="AB51">
            <v>4</v>
          </cell>
          <cell r="AC51">
            <v>4</v>
          </cell>
          <cell r="AD51">
            <v>5</v>
          </cell>
          <cell r="AE51">
            <v>5</v>
          </cell>
          <cell r="AG51" t="str">
            <v xml:space="preserve">1 người dễ mến, có thế hòa đồng và gắn kết được mọi người tốt hơn. </v>
          </cell>
        </row>
        <row r="52">
          <cell r="B52" t="str">
            <v>Le Thi Trang</v>
          </cell>
          <cell r="E52">
            <v>4</v>
          </cell>
          <cell r="F52">
            <v>4</v>
          </cell>
          <cell r="G52">
            <v>5</v>
          </cell>
          <cell r="H52">
            <v>5</v>
          </cell>
          <cell r="I52">
            <v>4</v>
          </cell>
          <cell r="J52">
            <v>4</v>
          </cell>
          <cell r="P52">
            <v>4</v>
          </cell>
          <cell r="Q52">
            <v>4</v>
          </cell>
          <cell r="R52">
            <v>4</v>
          </cell>
          <cell r="S52" t="str">
            <v>Some tips aren't share to others to prevent the same problem</v>
          </cell>
          <cell r="T52" t="str">
            <v>Happy and quite Enthusiasm</v>
          </cell>
          <cell r="U52" t="str">
            <v>Good</v>
          </cell>
          <cell r="V52" t="str">
            <v>positive and quite confident</v>
          </cell>
          <cell r="W52" t="str">
            <v>Normally</v>
          </cell>
          <cell r="X52" t="str">
            <v>Sometime don't want to discuss with others</v>
          </cell>
          <cell r="Y52" t="str">
            <v>Listen from others to improve on the team/ or support if other need</v>
          </cell>
          <cell r="Z52">
            <v>4</v>
          </cell>
          <cell r="AA52">
            <v>4</v>
          </cell>
          <cell r="AB52">
            <v>4</v>
          </cell>
          <cell r="AC52">
            <v>4</v>
          </cell>
          <cell r="AD52">
            <v>4</v>
          </cell>
          <cell r="AE52">
            <v>4</v>
          </cell>
          <cell r="AG52" t="str">
            <v>Listen from others to improve on the team/ or support if other need</v>
          </cell>
        </row>
        <row r="53">
          <cell r="B53" t="str">
            <v>Le Thi Trang</v>
          </cell>
          <cell r="E53">
            <v>5</v>
          </cell>
          <cell r="F53">
            <v>4</v>
          </cell>
          <cell r="G53">
            <v>5</v>
          </cell>
          <cell r="H53">
            <v>5</v>
          </cell>
          <cell r="I53">
            <v>4</v>
          </cell>
          <cell r="J53">
            <v>5</v>
          </cell>
          <cell r="P53">
            <v>5</v>
          </cell>
          <cell r="Q53">
            <v>5</v>
          </cell>
          <cell r="R53">
            <v>5</v>
          </cell>
          <cell r="T53" t="str">
            <v>good</v>
          </cell>
          <cell r="U53" t="str">
            <v>good</v>
          </cell>
          <cell r="V53" t="str">
            <v>good</v>
          </cell>
          <cell r="W53" t="str">
            <v>good</v>
          </cell>
          <cell r="X53" t="str">
            <v>unfocus on working</v>
          </cell>
          <cell r="Y53" t="str">
            <v>sharing knowledge and willing to support other team member</v>
          </cell>
          <cell r="Z53">
            <v>5</v>
          </cell>
          <cell r="AA53">
            <v>5</v>
          </cell>
          <cell r="AB53">
            <v>5</v>
          </cell>
          <cell r="AC53">
            <v>5</v>
          </cell>
          <cell r="AD53">
            <v>5</v>
          </cell>
          <cell r="AE53">
            <v>5</v>
          </cell>
          <cell r="AG53" t="str">
            <v xml:space="preserve">need to improve soft skill </v>
          </cell>
        </row>
        <row r="54">
          <cell r="B54" t="str">
            <v>Le Thu Thuy</v>
          </cell>
          <cell r="Z54">
            <v>4</v>
          </cell>
          <cell r="AA54">
            <v>5</v>
          </cell>
          <cell r="AB54">
            <v>4</v>
          </cell>
          <cell r="AC54">
            <v>5</v>
          </cell>
          <cell r="AD54">
            <v>5</v>
          </cell>
          <cell r="AE54">
            <v>5</v>
          </cell>
          <cell r="AG54" t="str">
            <v>she does many contribution for teamwork</v>
          </cell>
        </row>
        <row r="55">
          <cell r="B55" t="str">
            <v>Le Thu Thuy</v>
          </cell>
          <cell r="E55">
            <v>4</v>
          </cell>
          <cell r="F55">
            <v>4</v>
          </cell>
          <cell r="G55">
            <v>4</v>
          </cell>
          <cell r="H55">
            <v>4</v>
          </cell>
          <cell r="I55">
            <v>4</v>
          </cell>
          <cell r="J55">
            <v>4</v>
          </cell>
          <cell r="P55">
            <v>5</v>
          </cell>
          <cell r="Q55">
            <v>5</v>
          </cell>
          <cell r="R55">
            <v>5</v>
          </cell>
          <cell r="T55" t="str">
            <v xml:space="preserve">Good </v>
          </cell>
          <cell r="U55" t="str">
            <v xml:space="preserve">Good </v>
          </cell>
          <cell r="V55" t="str">
            <v xml:space="preserve">Good </v>
          </cell>
          <cell r="W55" t="str">
            <v xml:space="preserve">Good </v>
          </cell>
          <cell r="X55" t="str">
            <v xml:space="preserve">nothing </v>
          </cell>
          <cell r="Y55" t="str">
            <v xml:space="preserve">I think She need improve more than technical skill </v>
          </cell>
          <cell r="Z55">
            <v>4</v>
          </cell>
          <cell r="AA55">
            <v>5</v>
          </cell>
          <cell r="AB55">
            <v>4</v>
          </cell>
          <cell r="AC55">
            <v>4</v>
          </cell>
          <cell r="AD55">
            <v>5</v>
          </cell>
          <cell r="AE55">
            <v>5</v>
          </cell>
          <cell r="AG55" t="str">
            <v xml:space="preserve">She is good colleage </v>
          </cell>
        </row>
        <row r="56">
          <cell r="B56" t="str">
            <v>Le Thu Thuy</v>
          </cell>
          <cell r="Z56">
            <v>4</v>
          </cell>
          <cell r="AA56">
            <v>5</v>
          </cell>
          <cell r="AB56">
            <v>5</v>
          </cell>
          <cell r="AC56">
            <v>5</v>
          </cell>
          <cell r="AD56">
            <v>5</v>
          </cell>
          <cell r="AE56">
            <v>5</v>
          </cell>
          <cell r="AG56" t="str">
            <v>N/A</v>
          </cell>
        </row>
        <row r="57">
          <cell r="B57" t="str">
            <v>Ngo Thi Phuong</v>
          </cell>
          <cell r="Z57">
            <v>3</v>
          </cell>
          <cell r="AA57">
            <v>5</v>
          </cell>
          <cell r="AB57">
            <v>3</v>
          </cell>
          <cell r="AC57">
            <v>4</v>
          </cell>
          <cell r="AD57">
            <v>5</v>
          </cell>
          <cell r="AE57">
            <v>5</v>
          </cell>
          <cell r="AG57" t="str">
            <v>She is high responsibilty in her tasks. Friendly and willing to support others</v>
          </cell>
        </row>
        <row r="58">
          <cell r="B58" t="str">
            <v>Ngo Thi Phuong</v>
          </cell>
          <cell r="E58">
            <v>4</v>
          </cell>
          <cell r="F58">
            <v>4</v>
          </cell>
          <cell r="G58">
            <v>4</v>
          </cell>
          <cell r="H58">
            <v>4</v>
          </cell>
          <cell r="I58">
            <v>4</v>
          </cell>
          <cell r="J58">
            <v>4</v>
          </cell>
          <cell r="P58">
            <v>4</v>
          </cell>
          <cell r="Q58">
            <v>4</v>
          </cell>
          <cell r="R58">
            <v>4</v>
          </cell>
          <cell r="T58" t="str">
            <v>Easy to work with</v>
          </cell>
          <cell r="U58" t="str">
            <v>Complete work on time and proactively remind other members</v>
          </cell>
          <cell r="V58" t="str">
            <v>Enthusiastic  proactive sharing and support for members</v>
          </cell>
          <cell r="W58" t="str">
            <v>Proactively offer optimal solutions at work</v>
          </cell>
          <cell r="X58" t="str">
            <v>- As a member, I see her doing her job well, so I think she just keep doing as of now</v>
          </cell>
          <cell r="Y58" t="str">
            <v>- As a member, I see her doing her job well, so I think she just keep doing as of now</v>
          </cell>
          <cell r="Z58">
            <v>4</v>
          </cell>
          <cell r="AA58">
            <v>5</v>
          </cell>
          <cell r="AB58">
            <v>5</v>
          </cell>
          <cell r="AC58">
            <v>5</v>
          </cell>
          <cell r="AD58">
            <v>5</v>
          </cell>
          <cell r="AE58">
            <v>5</v>
          </cell>
          <cell r="AG58" t="str">
            <v>- Sharing more knowledge for all member in and out team</v>
          </cell>
        </row>
        <row r="59">
          <cell r="B59" t="str">
            <v>Ngo Thi Phuong</v>
          </cell>
          <cell r="Z59">
            <v>5</v>
          </cell>
          <cell r="AA59">
            <v>5</v>
          </cell>
          <cell r="AB59">
            <v>5</v>
          </cell>
          <cell r="AC59">
            <v>5</v>
          </cell>
          <cell r="AD59">
            <v>5</v>
          </cell>
          <cell r="AE59">
            <v>5</v>
          </cell>
          <cell r="AG59" t="str">
            <v>She is good tester</v>
          </cell>
        </row>
        <row r="60">
          <cell r="B60" t="str">
            <v>Nguyen Dinh Thanh</v>
          </cell>
          <cell r="Z60">
            <v>4</v>
          </cell>
          <cell r="AA60">
            <v>4</v>
          </cell>
          <cell r="AB60">
            <v>4</v>
          </cell>
          <cell r="AC60">
            <v>5</v>
          </cell>
          <cell r="AD60">
            <v>5</v>
          </cell>
          <cell r="AE60">
            <v>5</v>
          </cell>
          <cell r="AG60" t="str">
            <v>Friendly with everyone</v>
          </cell>
        </row>
        <row r="61">
          <cell r="B61" t="str">
            <v>Nguyen Dinh Thanh</v>
          </cell>
          <cell r="Z61">
            <v>5</v>
          </cell>
          <cell r="AA61">
            <v>5</v>
          </cell>
          <cell r="AB61">
            <v>5</v>
          </cell>
          <cell r="AC61">
            <v>5</v>
          </cell>
          <cell r="AD61">
            <v>5</v>
          </cell>
          <cell r="AE61">
            <v>5</v>
          </cell>
          <cell r="AG61" t="str">
            <v>He is friendly and willing to help people</v>
          </cell>
        </row>
        <row r="62">
          <cell r="B62" t="str">
            <v>Nguyen Dinh Thanh</v>
          </cell>
          <cell r="E62">
            <v>5</v>
          </cell>
          <cell r="F62">
            <v>4</v>
          </cell>
          <cell r="G62">
            <v>5</v>
          </cell>
          <cell r="H62">
            <v>5</v>
          </cell>
          <cell r="I62">
            <v>4</v>
          </cell>
          <cell r="J62">
            <v>5</v>
          </cell>
          <cell r="P62">
            <v>5</v>
          </cell>
          <cell r="Q62">
            <v>5</v>
          </cell>
          <cell r="R62">
            <v>5</v>
          </cell>
          <cell r="T62" t="str">
            <v>Friendly</v>
          </cell>
          <cell r="U62" t="str">
            <v>Good</v>
          </cell>
          <cell r="V62" t="str">
            <v>Good</v>
          </cell>
          <cell r="W62" t="str">
            <v>Good</v>
          </cell>
          <cell r="X62" t="str">
            <v>after nearly 3 months work with him, I think he is a good colleague and doesn't need to do less anything.</v>
          </cell>
          <cell r="Y62" t="str">
            <v>He should be more carefully when using documents on SVN to save time of team.</v>
          </cell>
          <cell r="Z62">
            <v>5</v>
          </cell>
          <cell r="AA62">
            <v>5</v>
          </cell>
          <cell r="AB62">
            <v>5</v>
          </cell>
          <cell r="AC62">
            <v>5</v>
          </cell>
          <cell r="AD62">
            <v>5</v>
          </cell>
          <cell r="AE62">
            <v>5</v>
          </cell>
          <cell r="AG62" t="str">
            <v>He is friendly and good colleague</v>
          </cell>
        </row>
        <row r="63">
          <cell r="B63" t="str">
            <v>Nguyen Hoang Phong</v>
          </cell>
          <cell r="Z63">
            <v>5</v>
          </cell>
          <cell r="AA63">
            <v>5</v>
          </cell>
          <cell r="AB63">
            <v>5</v>
          </cell>
          <cell r="AC63">
            <v>5</v>
          </cell>
          <cell r="AD63">
            <v>5</v>
          </cell>
          <cell r="AE63">
            <v>5</v>
          </cell>
          <cell r="AG63" t="str">
            <v>He's nice, friendly, humility, humorous, very intelligent and creative. Hope he could contribute more for VT as well as DCV.</v>
          </cell>
        </row>
        <row r="64">
          <cell r="B64" t="str">
            <v>Nguyen Hoang Phong</v>
          </cell>
          <cell r="E64">
            <v>5</v>
          </cell>
          <cell r="F64">
            <v>5</v>
          </cell>
          <cell r="G64">
            <v>5</v>
          </cell>
          <cell r="H64">
            <v>5</v>
          </cell>
          <cell r="I64">
            <v>5</v>
          </cell>
          <cell r="J64">
            <v>5</v>
          </cell>
          <cell r="P64">
            <v>5</v>
          </cell>
          <cell r="Q64">
            <v>4</v>
          </cell>
          <cell r="R64">
            <v>5</v>
          </cell>
          <cell r="T64" t="str">
            <v xml:space="preserve">Always research document more to clarify requirement </v>
          </cell>
          <cell r="U64" t="str">
            <v xml:space="preserve">Always complete effective work and on time </v>
          </cell>
          <cell r="V64" t="str">
            <v>Willing to support others</v>
          </cell>
          <cell r="W64" t="str">
            <v>N/A</v>
          </cell>
          <cell r="X64" t="str">
            <v>N/A</v>
          </cell>
          <cell r="Y64" t="str">
            <v>N/A</v>
          </cell>
          <cell r="Z64">
            <v>5</v>
          </cell>
          <cell r="AA64">
            <v>5</v>
          </cell>
          <cell r="AB64">
            <v>4</v>
          </cell>
          <cell r="AC64">
            <v>4</v>
          </cell>
          <cell r="AD64">
            <v>5</v>
          </cell>
          <cell r="AE64">
            <v>5</v>
          </cell>
          <cell r="AG64" t="str">
            <v>N/A</v>
          </cell>
        </row>
        <row r="65">
          <cell r="B65" t="str">
            <v>Nguyen Hoang Phong</v>
          </cell>
          <cell r="Z65">
            <v>5</v>
          </cell>
          <cell r="AA65">
            <v>5</v>
          </cell>
          <cell r="AB65">
            <v>5</v>
          </cell>
          <cell r="AC65">
            <v>5</v>
          </cell>
          <cell r="AD65">
            <v>5</v>
          </cell>
          <cell r="AE65">
            <v>5</v>
          </cell>
          <cell r="AG65" t="str">
            <v>NO</v>
          </cell>
        </row>
        <row r="66">
          <cell r="B66" t="str">
            <v>Nguyen Hong Kien</v>
          </cell>
          <cell r="E66">
            <v>5</v>
          </cell>
          <cell r="F66">
            <v>5</v>
          </cell>
          <cell r="G66">
            <v>5</v>
          </cell>
          <cell r="H66">
            <v>5</v>
          </cell>
          <cell r="I66">
            <v>5</v>
          </cell>
          <cell r="J66">
            <v>5</v>
          </cell>
          <cell r="P66">
            <v>5</v>
          </cell>
          <cell r="Q66">
            <v>5</v>
          </cell>
          <cell r="R66">
            <v>4</v>
          </cell>
          <cell r="T66" t="str">
            <v>anh Kiên  có tính cách cẩn thận tỉ mỉ  quản lý Test case tốt. Những khi Dev gửi guide set up test  anh luôn thử tỉ mỉ các trường hợp</v>
          </cell>
          <cell r="U66" t="str">
            <v>Anh luôn luôn hoàn thành công việc trước deadline và còn support các đồng nghiệp khác</v>
          </cell>
          <cell r="V66" t="str">
            <v>Không nản lòng mỗi khi dự án gặp vấn đề  anh còn thường xuyên động viên ng khác</v>
          </cell>
          <cell r="W66" t="str">
            <v>anh sáng tạo các phương pháp làm việc  giúp tăng năng suất hơn và share cho mng</v>
          </cell>
          <cell r="X66" t="str">
            <v>Anh Kiên có thể tổ chức thêm các buổi chia sẻ kiến thức hơn. Em thấy anh biết nhiều thứ, nhiều module ạ</v>
          </cell>
          <cell r="Y66" t="str">
            <v xml:space="preserve">Tiếp tục nhắc nhở mng để có thể hoàn thành công việc của dự án. </v>
          </cell>
          <cell r="Z66">
            <v>5</v>
          </cell>
          <cell r="AA66">
            <v>4</v>
          </cell>
          <cell r="AB66">
            <v>5</v>
          </cell>
          <cell r="AC66">
            <v>5</v>
          </cell>
          <cell r="AD66">
            <v>5</v>
          </cell>
          <cell r="AE66">
            <v>5</v>
          </cell>
          <cell r="AG66" t="str">
            <v xml:space="preserve">Anh Kiên rất nhiệt tình và tốt bụng. Khi bọn em hỏi dù anh đang bận vẫn trả lời một cách nhiệt huyết </v>
          </cell>
        </row>
        <row r="67">
          <cell r="B67" t="str">
            <v>Nguyen Hong Kien</v>
          </cell>
          <cell r="E67">
            <v>4</v>
          </cell>
          <cell r="F67">
            <v>4</v>
          </cell>
          <cell r="G67">
            <v>4</v>
          </cell>
          <cell r="H67">
            <v>4</v>
          </cell>
          <cell r="I67">
            <v>4</v>
          </cell>
          <cell r="J67">
            <v>4</v>
          </cell>
          <cell r="P67">
            <v>4</v>
          </cell>
          <cell r="Q67">
            <v>5</v>
          </cell>
          <cell r="R67">
            <v>4</v>
          </cell>
          <cell r="T67" t="str">
            <v>Responsibility</v>
          </cell>
          <cell r="U67" t="str">
            <v>Good</v>
          </cell>
          <cell r="V67" t="str">
            <v>Good</v>
          </cell>
          <cell r="W67" t="str">
            <v>Good</v>
          </cell>
          <cell r="X67" t="str">
            <v>None</v>
          </cell>
          <cell r="Y67" t="str">
            <v>Leader Skill</v>
          </cell>
          <cell r="Z67">
            <v>4</v>
          </cell>
          <cell r="AA67">
            <v>4</v>
          </cell>
          <cell r="AB67">
            <v>5</v>
          </cell>
          <cell r="AC67">
            <v>4</v>
          </cell>
          <cell r="AD67">
            <v>4</v>
          </cell>
          <cell r="AE67">
            <v>5</v>
          </cell>
          <cell r="AG67" t="str">
            <v>No Comment</v>
          </cell>
        </row>
        <row r="68">
          <cell r="B68" t="str">
            <v>Nguyen Hong Kien</v>
          </cell>
          <cell r="Z68">
            <v>5</v>
          </cell>
          <cell r="AA68">
            <v>5</v>
          </cell>
          <cell r="AB68">
            <v>5</v>
          </cell>
          <cell r="AC68">
            <v>5</v>
          </cell>
          <cell r="AD68">
            <v>5</v>
          </cell>
          <cell r="AE68">
            <v>5</v>
          </cell>
          <cell r="AG68" t="str">
            <v>No</v>
          </cell>
        </row>
        <row r="69">
          <cell r="B69" t="str">
            <v>Nguyen Hong Nhung</v>
          </cell>
          <cell r="Z69">
            <v>5</v>
          </cell>
          <cell r="AA69">
            <v>4</v>
          </cell>
          <cell r="AB69">
            <v>5</v>
          </cell>
          <cell r="AC69">
            <v>5</v>
          </cell>
          <cell r="AD69">
            <v>5</v>
          </cell>
          <cell r="AE69">
            <v>5</v>
          </cell>
          <cell r="AG69" t="str">
            <v>She is careful and hard working and always support other member internal/external team.</v>
          </cell>
        </row>
        <row r="70">
          <cell r="B70" t="str">
            <v>Hoang Hong Nhung</v>
          </cell>
          <cell r="Z70">
            <v>5</v>
          </cell>
          <cell r="AA70">
            <v>5</v>
          </cell>
          <cell r="AB70">
            <v>5</v>
          </cell>
          <cell r="AC70">
            <v>5</v>
          </cell>
          <cell r="AD70">
            <v>5</v>
          </cell>
          <cell r="AE70">
            <v>5</v>
          </cell>
          <cell r="AF70" t="str">
            <v>nothing</v>
          </cell>
          <cell r="AG70" t="str">
            <v>she should be listened more</v>
          </cell>
        </row>
        <row r="71">
          <cell r="B71" t="str">
            <v>Nguyen Hong Nhung</v>
          </cell>
          <cell r="E71">
            <v>5</v>
          </cell>
          <cell r="F71">
            <v>5</v>
          </cell>
          <cell r="G71">
            <v>5</v>
          </cell>
          <cell r="H71">
            <v>5</v>
          </cell>
          <cell r="I71">
            <v>5</v>
          </cell>
          <cell r="J71">
            <v>5</v>
          </cell>
          <cell r="P71">
            <v>5</v>
          </cell>
          <cell r="Q71">
            <v>5</v>
          </cell>
          <cell r="R71">
            <v>5</v>
          </cell>
          <cell r="T71" t="str">
            <v>knowlege</v>
          </cell>
          <cell r="U71" t="str">
            <v>good</v>
          </cell>
          <cell r="V71" t="str">
            <v>proactive  hard-working</v>
          </cell>
          <cell r="W71" t="str">
            <v>creative</v>
          </cell>
          <cell r="X71" t="str">
            <v>No comment</v>
          </cell>
          <cell r="Y71" t="str">
            <v>No comment</v>
          </cell>
          <cell r="Z71">
            <v>5</v>
          </cell>
          <cell r="AA71">
            <v>5</v>
          </cell>
          <cell r="AB71">
            <v>5</v>
          </cell>
          <cell r="AC71">
            <v>5</v>
          </cell>
          <cell r="AD71">
            <v>5</v>
          </cell>
          <cell r="AE71">
            <v>5</v>
          </cell>
          <cell r="AG71" t="str">
            <v>no comment</v>
          </cell>
        </row>
        <row r="72">
          <cell r="B72" t="str">
            <v>Nguyen Hong Nhung</v>
          </cell>
          <cell r="E72">
            <v>5</v>
          </cell>
          <cell r="F72">
            <v>5</v>
          </cell>
          <cell r="G72">
            <v>5</v>
          </cell>
          <cell r="H72">
            <v>3</v>
          </cell>
          <cell r="I72">
            <v>3</v>
          </cell>
          <cell r="J72">
            <v>4</v>
          </cell>
          <cell r="P72">
            <v>4</v>
          </cell>
          <cell r="Q72">
            <v>5</v>
          </cell>
          <cell r="R72">
            <v>5</v>
          </cell>
          <cell r="T72" t="str">
            <v>hardworking</v>
          </cell>
          <cell r="U72" t="str">
            <v>good</v>
          </cell>
          <cell r="V72" t="str">
            <v>good</v>
          </cell>
          <cell r="W72" t="str">
            <v>good</v>
          </cell>
          <cell r="X72" t="str">
            <v>her eyes should be kindly</v>
          </cell>
          <cell r="Y72" t="str">
            <v>no, she is good</v>
          </cell>
          <cell r="Z72">
            <v>5</v>
          </cell>
          <cell r="AA72">
            <v>4</v>
          </cell>
          <cell r="AB72">
            <v>4</v>
          </cell>
          <cell r="AC72">
            <v>4</v>
          </cell>
          <cell r="AD72">
            <v>5</v>
          </cell>
          <cell r="AE72">
            <v>4</v>
          </cell>
          <cell r="AG72" t="str">
            <v>she is very good</v>
          </cell>
        </row>
        <row r="73">
          <cell r="B73" t="str">
            <v>Nguyen Kim Oanh</v>
          </cell>
          <cell r="Z73">
            <v>4</v>
          </cell>
          <cell r="AA73">
            <v>4</v>
          </cell>
          <cell r="AB73">
            <v>5</v>
          </cell>
          <cell r="AC73">
            <v>5</v>
          </cell>
          <cell r="AD73">
            <v>5</v>
          </cell>
          <cell r="AE73">
            <v>5</v>
          </cell>
          <cell r="AG73" t="str">
            <v>She is positive in her work, have many suggestions in task. Good communication with other team.</v>
          </cell>
        </row>
        <row r="74">
          <cell r="B74" t="str">
            <v>Nguyen Kim Oanh</v>
          </cell>
          <cell r="Z74">
            <v>3</v>
          </cell>
          <cell r="AA74">
            <v>5</v>
          </cell>
          <cell r="AB74">
            <v>4</v>
          </cell>
          <cell r="AC74">
            <v>5</v>
          </cell>
          <cell r="AD74">
            <v>4</v>
          </cell>
          <cell r="AE74">
            <v>4</v>
          </cell>
          <cell r="AG74" t="str">
            <v>Her communication with other members of VT is very nice</v>
          </cell>
        </row>
        <row r="75">
          <cell r="B75" t="str">
            <v>Nguyen Kim Oanh</v>
          </cell>
          <cell r="E75">
            <v>5</v>
          </cell>
          <cell r="F75">
            <v>5</v>
          </cell>
          <cell r="G75">
            <v>5</v>
          </cell>
          <cell r="H75">
            <v>5</v>
          </cell>
          <cell r="I75">
            <v>5</v>
          </cell>
          <cell r="J75">
            <v>5</v>
          </cell>
          <cell r="P75">
            <v>5</v>
          </cell>
          <cell r="Q75">
            <v>5</v>
          </cell>
          <cell r="R75">
            <v>5</v>
          </cell>
          <cell r="T75" t="str">
            <v>straightforwardness</v>
          </cell>
          <cell r="U75" t="str">
            <v xml:space="preserve">Have clearly plan for members </v>
          </cell>
          <cell r="V75" t="str">
            <v>Always support team members</v>
          </cell>
          <cell r="W75" t="str">
            <v xml:space="preserve">Have creative idea to solve problem </v>
          </cell>
          <cell r="X75" t="str">
            <v xml:space="preserve">I think she has been good to work with.
 For others, she should have less grumpy. </v>
          </cell>
          <cell r="Y75" t="str">
            <v>Have more connection activities</v>
          </cell>
          <cell r="Z75">
            <v>5</v>
          </cell>
          <cell r="AA75">
            <v>4</v>
          </cell>
          <cell r="AB75">
            <v>5</v>
          </cell>
          <cell r="AC75">
            <v>5</v>
          </cell>
          <cell r="AD75">
            <v>5</v>
          </cell>
          <cell r="AE75">
            <v>4</v>
          </cell>
          <cell r="AG75" t="str">
            <v xml:space="preserve">Outstanding and always solve problem effectively </v>
          </cell>
        </row>
        <row r="76">
          <cell r="B76" t="str">
            <v>Nguyen Minh Quyen</v>
          </cell>
          <cell r="E76">
            <v>5</v>
          </cell>
          <cell r="F76">
            <v>5</v>
          </cell>
          <cell r="G76">
            <v>5</v>
          </cell>
          <cell r="H76">
            <v>5</v>
          </cell>
          <cell r="I76">
            <v>5</v>
          </cell>
          <cell r="J76">
            <v>5</v>
          </cell>
          <cell r="P76">
            <v>5</v>
          </cell>
          <cell r="Q76">
            <v>5</v>
          </cell>
          <cell r="R76">
            <v>5</v>
          </cell>
          <cell r="T76" t="str">
            <v>sociable</v>
          </cell>
          <cell r="U76" t="str">
            <v>on time</v>
          </cell>
          <cell r="V76" t="str">
            <v>support other members</v>
          </cell>
          <cell r="W76" t="str">
            <v>many good ideas</v>
          </cell>
          <cell r="X76" t="str">
            <v>I don't know.</v>
          </cell>
          <cell r="Y76" t="str">
            <v>Sharing expierience about project to other members.</v>
          </cell>
          <cell r="Z76">
            <v>5</v>
          </cell>
          <cell r="AA76">
            <v>5</v>
          </cell>
          <cell r="AB76">
            <v>5</v>
          </cell>
          <cell r="AC76">
            <v>5</v>
          </cell>
          <cell r="AD76">
            <v>5</v>
          </cell>
          <cell r="AE76">
            <v>5</v>
          </cell>
          <cell r="AG76" t="str">
            <v>No comment</v>
          </cell>
        </row>
        <row r="77">
          <cell r="B77" t="str">
            <v>Nguyen Minh Quyen</v>
          </cell>
          <cell r="E77">
            <v>5</v>
          </cell>
          <cell r="F77">
            <v>5</v>
          </cell>
          <cell r="G77">
            <v>5</v>
          </cell>
          <cell r="H77">
            <v>5</v>
          </cell>
          <cell r="I77">
            <v>5</v>
          </cell>
          <cell r="J77">
            <v>5</v>
          </cell>
          <cell r="P77">
            <v>4</v>
          </cell>
          <cell r="Q77">
            <v>4</v>
          </cell>
          <cell r="R77">
            <v>3</v>
          </cell>
          <cell r="T77" t="str">
            <v>Willing support others</v>
          </cell>
          <cell r="U77" t="str">
            <v>Complete group assignments on time</v>
          </cell>
          <cell r="V77" t="str">
            <v>Good</v>
          </cell>
          <cell r="W77" t="str">
            <v>Normal</v>
          </cell>
          <cell r="X77" t="str">
            <v>Attention to employee's life</v>
          </cell>
          <cell r="Y77" t="str">
            <v>Attention to employee's life</v>
          </cell>
          <cell r="Z77">
            <v>4</v>
          </cell>
          <cell r="AA77">
            <v>3</v>
          </cell>
          <cell r="AB77">
            <v>3</v>
          </cell>
          <cell r="AC77">
            <v>5</v>
          </cell>
          <cell r="AD77">
            <v>5</v>
          </cell>
          <cell r="AE77">
            <v>4</v>
          </cell>
          <cell r="AG77" t="str">
            <v>Responsible at work but not yet interested in employee life</v>
          </cell>
        </row>
        <row r="78">
          <cell r="B78" t="str">
            <v>Nguyen Minh Quyen</v>
          </cell>
          <cell r="E78">
            <v>5</v>
          </cell>
          <cell r="F78">
            <v>5</v>
          </cell>
          <cell r="G78">
            <v>5</v>
          </cell>
          <cell r="H78">
            <v>5</v>
          </cell>
          <cell r="I78">
            <v>5</v>
          </cell>
          <cell r="J78">
            <v>5</v>
          </cell>
          <cell r="P78">
            <v>5</v>
          </cell>
          <cell r="Q78">
            <v>5</v>
          </cell>
          <cell r="R78">
            <v>5</v>
          </cell>
          <cell r="T78" t="str">
            <v>Open  friendly  and approachable</v>
          </cell>
          <cell r="U78" t="str">
            <v>She always gets the job done in the best way</v>
          </cell>
          <cell r="V78" t="str">
            <v>Diligent  responsible for the job</v>
          </cell>
          <cell r="W78" t="str">
            <v>She has many very good new changes in the management team</v>
          </cell>
          <cell r="X78" t="str">
            <v>N/A</v>
          </cell>
          <cell r="Y78" t="str">
            <v>N/A</v>
          </cell>
          <cell r="Z78">
            <v>5</v>
          </cell>
          <cell r="AA78">
            <v>5</v>
          </cell>
          <cell r="AB78">
            <v>5</v>
          </cell>
          <cell r="AC78">
            <v>5</v>
          </cell>
          <cell r="AD78">
            <v>5</v>
          </cell>
          <cell r="AE78">
            <v>5</v>
          </cell>
          <cell r="AG78" t="str">
            <v>N/A</v>
          </cell>
        </row>
        <row r="79">
          <cell r="B79" t="str">
            <v>Nguyen Minh Quyen</v>
          </cell>
          <cell r="E79">
            <v>5</v>
          </cell>
          <cell r="F79">
            <v>5</v>
          </cell>
          <cell r="G79">
            <v>5</v>
          </cell>
          <cell r="H79">
            <v>5</v>
          </cell>
          <cell r="I79">
            <v>5</v>
          </cell>
          <cell r="J79">
            <v>5</v>
          </cell>
          <cell r="P79">
            <v>5</v>
          </cell>
          <cell r="Q79">
            <v>5</v>
          </cell>
          <cell r="R79">
            <v>5</v>
          </cell>
          <cell r="T79" t="str">
            <v>Enthusiasm  responsibility</v>
          </cell>
          <cell r="U79" t="str">
            <v>responsibility</v>
          </cell>
          <cell r="V79" t="str">
            <v>responsibility  willing to support others</v>
          </cell>
          <cell r="W79" t="str">
            <v>Good</v>
          </cell>
          <cell r="X79" t="str">
            <v>N/A</v>
          </cell>
          <cell r="Y79" t="str">
            <v>- Teambuilding should be organized more often to bring members together</v>
          </cell>
          <cell r="Z79">
            <v>1</v>
          </cell>
          <cell r="AA79">
            <v>1</v>
          </cell>
          <cell r="AB79">
            <v>1</v>
          </cell>
          <cell r="AC79">
            <v>1</v>
          </cell>
          <cell r="AD79">
            <v>1</v>
          </cell>
          <cell r="AE79">
            <v>1</v>
          </cell>
          <cell r="AG79" t="str">
            <v>N/A</v>
          </cell>
        </row>
        <row r="80">
          <cell r="B80" t="str">
            <v>Nguyen Minh Quyen</v>
          </cell>
          <cell r="E80">
            <v>5</v>
          </cell>
          <cell r="F80">
            <v>5</v>
          </cell>
          <cell r="G80">
            <v>5</v>
          </cell>
          <cell r="H80">
            <v>5</v>
          </cell>
          <cell r="I80">
            <v>5</v>
          </cell>
          <cell r="J80">
            <v>5</v>
          </cell>
          <cell r="P80">
            <v>5</v>
          </cell>
          <cell r="Q80">
            <v>5</v>
          </cell>
          <cell r="R80">
            <v>5</v>
          </cell>
          <cell r="T80" t="str">
            <v>Enthusiasm  responsibility</v>
          </cell>
          <cell r="U80" t="str">
            <v>responsibility</v>
          </cell>
          <cell r="V80" t="str">
            <v>responsibility  willing to support others</v>
          </cell>
          <cell r="W80" t="str">
            <v>Good</v>
          </cell>
          <cell r="X80" t="str">
            <v>N/A</v>
          </cell>
          <cell r="Y80" t="str">
            <v>Organize more teambuilding to bring members together</v>
          </cell>
          <cell r="Z80">
            <v>5</v>
          </cell>
          <cell r="AA80">
            <v>5</v>
          </cell>
          <cell r="AB80">
            <v>5</v>
          </cell>
          <cell r="AC80">
            <v>5</v>
          </cell>
          <cell r="AD80">
            <v>5</v>
          </cell>
          <cell r="AE80">
            <v>5</v>
          </cell>
          <cell r="AG80" t="str">
            <v>N/A</v>
          </cell>
        </row>
        <row r="81">
          <cell r="B81" t="str">
            <v>Nguyen Minh Quyen</v>
          </cell>
          <cell r="E81">
            <v>5</v>
          </cell>
          <cell r="F81">
            <v>5</v>
          </cell>
          <cell r="G81">
            <v>5</v>
          </cell>
          <cell r="H81">
            <v>5</v>
          </cell>
          <cell r="I81">
            <v>5</v>
          </cell>
          <cell r="J81">
            <v>5</v>
          </cell>
          <cell r="P81">
            <v>5</v>
          </cell>
          <cell r="Q81">
            <v>5</v>
          </cell>
          <cell r="R81">
            <v>5</v>
          </cell>
          <cell r="T81" t="str">
            <v>Friendly and ready to support other members</v>
          </cell>
          <cell r="U81" t="str">
            <v>Good job</v>
          </cell>
          <cell r="V81" t="str">
            <v>She is responsible for her work</v>
          </cell>
          <cell r="W81" t="str">
            <v>She always knows how to resolve the issue of the project</v>
          </cell>
          <cell r="X81" t="str">
            <v>N/A</v>
          </cell>
          <cell r="Y81" t="str">
            <v>She should speak more slowly ^_^</v>
          </cell>
          <cell r="Z81">
            <v>5</v>
          </cell>
          <cell r="AA81">
            <v>5</v>
          </cell>
          <cell r="AB81">
            <v>5</v>
          </cell>
          <cell r="AC81">
            <v>5</v>
          </cell>
          <cell r="AD81">
            <v>5</v>
          </cell>
          <cell r="AE81">
            <v>5</v>
          </cell>
          <cell r="AG81" t="str">
            <v>She is good colleague from whom I can learn many things</v>
          </cell>
        </row>
        <row r="82">
          <cell r="B82" t="str">
            <v>Nguyen Minh Quyen</v>
          </cell>
          <cell r="E82">
            <v>5</v>
          </cell>
          <cell r="F82">
            <v>4</v>
          </cell>
          <cell r="G82">
            <v>4</v>
          </cell>
          <cell r="H82">
            <v>4</v>
          </cell>
          <cell r="I82">
            <v>5</v>
          </cell>
          <cell r="J82">
            <v>5</v>
          </cell>
          <cell r="P82">
            <v>5</v>
          </cell>
          <cell r="Q82">
            <v>4</v>
          </cell>
          <cell r="R82">
            <v>4</v>
          </cell>
          <cell r="T82" t="str">
            <v>nhiệt tình</v>
          </cell>
          <cell r="U82" t="str">
            <v>hoàn thành tốt công việc</v>
          </cell>
          <cell r="V82" t="str">
            <v>tò mò với những kiến thức mới</v>
          </cell>
          <cell r="W82" t="str">
            <v>không sáng tạo lắm</v>
          </cell>
          <cell r="X82" t="str">
            <v>I have no idea</v>
          </cell>
          <cell r="Y82" t="str">
            <v>tổ chức cuộc retrospective thường xuyên hơn</v>
          </cell>
          <cell r="Z82">
            <v>4</v>
          </cell>
          <cell r="AA82">
            <v>4</v>
          </cell>
          <cell r="AB82">
            <v>4</v>
          </cell>
          <cell r="AC82">
            <v>4</v>
          </cell>
          <cell r="AD82">
            <v>4</v>
          </cell>
          <cell r="AE82">
            <v>4</v>
          </cell>
          <cell r="AG82" t="str">
            <v>Nên lead các hoạt động để gắn kết các thành viên trong team</v>
          </cell>
        </row>
        <row r="83">
          <cell r="B83" t="str">
            <v>Nguyen Minh Quyen</v>
          </cell>
          <cell r="E83">
            <v>4</v>
          </cell>
          <cell r="F83">
            <v>5</v>
          </cell>
          <cell r="G83">
            <v>4</v>
          </cell>
          <cell r="H83">
            <v>5</v>
          </cell>
          <cell r="I83">
            <v>5</v>
          </cell>
          <cell r="J83">
            <v>5</v>
          </cell>
          <cell r="P83">
            <v>4</v>
          </cell>
          <cell r="Q83">
            <v>4</v>
          </cell>
          <cell r="R83">
            <v>4</v>
          </cell>
          <cell r="T83" t="str">
            <v>Open-minded</v>
          </cell>
          <cell r="U83" t="str">
            <v>Adequate</v>
          </cell>
          <cell r="V83" t="str">
            <v>Positive</v>
          </cell>
          <cell r="W83" t="str">
            <v>Good</v>
          </cell>
          <cell r="X83" t="str">
            <v>N/A</v>
          </cell>
          <cell r="Y83" t="str">
            <v>Think carefully before making any decision</v>
          </cell>
          <cell r="Z83">
            <v>4</v>
          </cell>
          <cell r="AA83">
            <v>4</v>
          </cell>
          <cell r="AB83">
            <v>5</v>
          </cell>
          <cell r="AC83">
            <v>4</v>
          </cell>
          <cell r="AD83">
            <v>3</v>
          </cell>
          <cell r="AE83">
            <v>4</v>
          </cell>
          <cell r="AG83" t="str">
            <v>She sometimes made mistakes or misunderstood, so please be more careful in the future</v>
          </cell>
        </row>
        <row r="84">
          <cell r="B84" t="str">
            <v>Nguyen Minh Quyen</v>
          </cell>
          <cell r="E84">
            <v>5</v>
          </cell>
          <cell r="F84">
            <v>5</v>
          </cell>
          <cell r="G84">
            <v>5</v>
          </cell>
          <cell r="H84">
            <v>4</v>
          </cell>
          <cell r="I84">
            <v>5</v>
          </cell>
          <cell r="J84">
            <v>5</v>
          </cell>
          <cell r="P84">
            <v>5</v>
          </cell>
          <cell r="Q84">
            <v>4</v>
          </cell>
          <cell r="R84">
            <v>5</v>
          </cell>
          <cell r="T84" t="str">
            <v>- Thân thiện nhưng đôi khi hơi ít nói</v>
          </cell>
          <cell r="U84" t="str">
            <v>Good</v>
          </cell>
          <cell r="V84" t="str">
            <v>Good</v>
          </cell>
          <cell r="W84" t="str">
            <v>Normal</v>
          </cell>
          <cell r="X84" t="str">
            <v xml:space="preserve">Bớt ít nói </v>
          </cell>
          <cell r="Y84" t="str">
            <v>Cần sôi nổi hơn, quan tâm tới đời sống của member hơn.</v>
          </cell>
          <cell r="Z84">
            <v>5</v>
          </cell>
          <cell r="AA84">
            <v>5</v>
          </cell>
          <cell r="AB84">
            <v>4</v>
          </cell>
          <cell r="AC84">
            <v>4</v>
          </cell>
          <cell r="AD84">
            <v>5</v>
          </cell>
          <cell r="AE84">
            <v>5</v>
          </cell>
          <cell r="AF84" t="str">
            <v xml:space="preserve">- Biết lắng nghe member và cởi mở trong việc trong đổi các vấn đề trong công việc. </v>
          </cell>
          <cell r="AG84" t="str">
            <v>No comment</v>
          </cell>
        </row>
        <row r="85">
          <cell r="B85" t="str">
            <v>Nguyen Minh Quyen</v>
          </cell>
          <cell r="Z85">
            <v>5</v>
          </cell>
          <cell r="AA85">
            <v>3</v>
          </cell>
          <cell r="AB85">
            <v>3</v>
          </cell>
          <cell r="AC85">
            <v>4</v>
          </cell>
          <cell r="AD85">
            <v>5</v>
          </cell>
          <cell r="AE85">
            <v>3</v>
          </cell>
          <cell r="AG85" t="str">
            <v>She is enthusiasm and patient. Proactively comment with her member when has problem both at work and in life however, they have not followed closely to solve it completely</v>
          </cell>
        </row>
        <row r="86">
          <cell r="B86" t="str">
            <v>Nguyen Minh Quyen</v>
          </cell>
          <cell r="Z86">
            <v>5</v>
          </cell>
          <cell r="AA86">
            <v>5</v>
          </cell>
          <cell r="AB86">
            <v>5</v>
          </cell>
          <cell r="AC86">
            <v>5</v>
          </cell>
          <cell r="AD86">
            <v>5</v>
          </cell>
          <cell r="AE86">
            <v>5</v>
          </cell>
          <cell r="AG86" t="str">
            <v>good attitude</v>
          </cell>
        </row>
        <row r="87">
          <cell r="B87" t="str">
            <v>Nguyen Minh Quyen</v>
          </cell>
          <cell r="E87">
            <v>5</v>
          </cell>
          <cell r="F87">
            <v>5</v>
          </cell>
          <cell r="G87">
            <v>5</v>
          </cell>
          <cell r="H87">
            <v>5</v>
          </cell>
          <cell r="I87">
            <v>5</v>
          </cell>
          <cell r="J87">
            <v>5</v>
          </cell>
          <cell r="P87">
            <v>5</v>
          </cell>
          <cell r="Q87">
            <v>4</v>
          </cell>
          <cell r="R87">
            <v>4</v>
          </cell>
          <cell r="T87" t="str">
            <v>ok</v>
          </cell>
          <cell r="U87" t="str">
            <v>good</v>
          </cell>
          <cell r="V87" t="str">
            <v>good</v>
          </cell>
          <cell r="W87" t="str">
            <v>normal</v>
          </cell>
          <cell r="X87" t="str">
            <v>Now, I don't think</v>
          </cell>
          <cell r="Y87" t="str">
            <v>Need share simple issues to other member (subleader) -&gt; have time to think new idea for the project.</v>
          </cell>
          <cell r="Z87">
            <v>5</v>
          </cell>
          <cell r="AA87">
            <v>4</v>
          </cell>
          <cell r="AB87">
            <v>4</v>
          </cell>
          <cell r="AC87">
            <v>4</v>
          </cell>
          <cell r="AD87">
            <v>5</v>
          </cell>
          <cell r="AE87">
            <v>5</v>
          </cell>
          <cell r="AG87" t="str">
            <v>Need to set the role power for issue simplely to avoid repeat.</v>
          </cell>
        </row>
        <row r="88">
          <cell r="B88" t="str">
            <v>Nguyen Minh Quyen</v>
          </cell>
          <cell r="Z88">
            <v>5</v>
          </cell>
          <cell r="AA88">
            <v>5</v>
          </cell>
          <cell r="AB88">
            <v>5</v>
          </cell>
          <cell r="AC88">
            <v>5</v>
          </cell>
          <cell r="AD88">
            <v>5</v>
          </cell>
          <cell r="AE88">
            <v>5</v>
          </cell>
          <cell r="AG88" t="str">
            <v>N/A</v>
          </cell>
        </row>
        <row r="89">
          <cell r="B89" t="str">
            <v>Nguyen Minh Quyen</v>
          </cell>
          <cell r="E89">
            <v>5</v>
          </cell>
          <cell r="F89">
            <v>5</v>
          </cell>
          <cell r="G89">
            <v>5</v>
          </cell>
          <cell r="H89">
            <v>5</v>
          </cell>
          <cell r="I89">
            <v>5</v>
          </cell>
          <cell r="J89">
            <v>5</v>
          </cell>
          <cell r="P89">
            <v>5</v>
          </cell>
          <cell r="Q89">
            <v>5</v>
          </cell>
          <cell r="R89">
            <v>5</v>
          </cell>
          <cell r="T89" t="str">
            <v>Very good</v>
          </cell>
          <cell r="U89" t="str">
            <v>Very good</v>
          </cell>
          <cell r="V89" t="str">
            <v>Very good</v>
          </cell>
          <cell r="W89" t="str">
            <v>Very good</v>
          </cell>
          <cell r="X89" t="str">
            <v>N/A</v>
          </cell>
          <cell r="Y89" t="str">
            <v>N/A</v>
          </cell>
          <cell r="Z89">
            <v>5</v>
          </cell>
          <cell r="AA89">
            <v>5</v>
          </cell>
          <cell r="AB89">
            <v>5</v>
          </cell>
          <cell r="AC89">
            <v>5</v>
          </cell>
          <cell r="AD89">
            <v>5</v>
          </cell>
          <cell r="AE89">
            <v>5</v>
          </cell>
          <cell r="AG89" t="str">
            <v>N/A</v>
          </cell>
        </row>
        <row r="90">
          <cell r="B90" t="str">
            <v>Vu Thi Thanh Hang</v>
          </cell>
          <cell r="Z90">
            <v>4</v>
          </cell>
          <cell r="AA90">
            <v>4</v>
          </cell>
          <cell r="AB90">
            <v>4</v>
          </cell>
          <cell r="AC90">
            <v>4</v>
          </cell>
          <cell r="AD90">
            <v>4</v>
          </cell>
          <cell r="AE90">
            <v>4</v>
          </cell>
          <cell r="AG90" t="str">
            <v>Keep support member and performance as right now</v>
          </cell>
        </row>
        <row r="91">
          <cell r="B91" t="str">
            <v>Nguyen Minh Tuan</v>
          </cell>
          <cell r="Z91">
            <v>4</v>
          </cell>
          <cell r="AA91">
            <v>5</v>
          </cell>
          <cell r="AB91">
            <v>4</v>
          </cell>
          <cell r="AC91">
            <v>5</v>
          </cell>
          <cell r="AD91">
            <v>5</v>
          </cell>
          <cell r="AE91">
            <v>4</v>
          </cell>
          <cell r="AG91" t="str">
            <v>He needs more confident</v>
          </cell>
        </row>
        <row r="92">
          <cell r="B92" t="str">
            <v>Nguyen Minh Tuan</v>
          </cell>
          <cell r="E92">
            <v>5</v>
          </cell>
          <cell r="F92">
            <v>4</v>
          </cell>
          <cell r="G92">
            <v>4</v>
          </cell>
          <cell r="H92">
            <v>4</v>
          </cell>
          <cell r="I92">
            <v>4</v>
          </cell>
          <cell r="J92">
            <v>4</v>
          </cell>
          <cell r="P92">
            <v>4</v>
          </cell>
          <cell r="Q92">
            <v>4</v>
          </cell>
          <cell r="R92">
            <v>4</v>
          </cell>
          <cell r="T92" t="str">
            <v>Good</v>
          </cell>
          <cell r="U92" t="str">
            <v>Good</v>
          </cell>
          <cell r="V92" t="str">
            <v>Good</v>
          </cell>
          <cell r="W92" t="str">
            <v>Good</v>
          </cell>
          <cell r="X92" t="str">
            <v>I think she should not do less</v>
          </cell>
          <cell r="Y92" t="str">
            <v>Keep support member and performance as right now</v>
          </cell>
          <cell r="Z92">
            <v>5</v>
          </cell>
          <cell r="AA92">
            <v>5</v>
          </cell>
          <cell r="AB92">
            <v>5</v>
          </cell>
          <cell r="AC92">
            <v>5</v>
          </cell>
          <cell r="AD92">
            <v>1</v>
          </cell>
          <cell r="AE92">
            <v>5</v>
          </cell>
          <cell r="AG92" t="str">
            <v>Keep support member and performance as right now</v>
          </cell>
        </row>
        <row r="93">
          <cell r="B93" t="str">
            <v>Nguyen Minh Tuan</v>
          </cell>
          <cell r="Z93">
            <v>5</v>
          </cell>
          <cell r="AA93">
            <v>4</v>
          </cell>
          <cell r="AB93">
            <v>5</v>
          </cell>
          <cell r="AC93">
            <v>5</v>
          </cell>
          <cell r="AD93">
            <v>5</v>
          </cell>
          <cell r="AE93">
            <v>5</v>
          </cell>
          <cell r="AF93" t="str">
            <v>He always listen the suggestion from others and proactive in working</v>
          </cell>
          <cell r="AG93" t="str">
            <v>He always listen the suggestion from others and proactive in working</v>
          </cell>
        </row>
        <row r="94">
          <cell r="B94" t="str">
            <v>Nguyen Thi An</v>
          </cell>
          <cell r="E94">
            <v>5</v>
          </cell>
          <cell r="F94">
            <v>5</v>
          </cell>
          <cell r="G94">
            <v>5</v>
          </cell>
          <cell r="H94">
            <v>5</v>
          </cell>
          <cell r="I94">
            <v>5</v>
          </cell>
          <cell r="J94">
            <v>5</v>
          </cell>
          <cell r="P94">
            <v>5</v>
          </cell>
          <cell r="Q94">
            <v>5</v>
          </cell>
          <cell r="R94">
            <v>5</v>
          </cell>
          <cell r="T94" t="str">
            <v xml:space="preserve">decisive  meticulous </v>
          </cell>
          <cell r="U94" t="str">
            <v xml:space="preserve">always on time </v>
          </cell>
          <cell r="V94" t="str">
            <v xml:space="preserve">Good </v>
          </cell>
          <cell r="W94" t="str">
            <v xml:space="preserve">Enough for work </v>
          </cell>
          <cell r="X94" t="str">
            <v xml:space="preserve">- Keep calm down when resolving the problem </v>
          </cell>
          <cell r="Y94" t="str">
            <v xml:space="preserve">- Keep enthusiasm at work </v>
          </cell>
          <cell r="Z94">
            <v>4</v>
          </cell>
          <cell r="AA94">
            <v>4</v>
          </cell>
          <cell r="AB94">
            <v>4</v>
          </cell>
          <cell r="AC94">
            <v>5</v>
          </cell>
          <cell r="AD94">
            <v>4</v>
          </cell>
          <cell r="AE94">
            <v>5</v>
          </cell>
          <cell r="AG94" t="str">
            <v>Always be ready if she gets an offer</v>
          </cell>
        </row>
        <row r="95">
          <cell r="B95" t="str">
            <v>Nguyen Thi An</v>
          </cell>
          <cell r="E95">
            <v>5</v>
          </cell>
          <cell r="F95">
            <v>4</v>
          </cell>
          <cell r="G95">
            <v>4</v>
          </cell>
          <cell r="H95">
            <v>4</v>
          </cell>
          <cell r="I95">
            <v>4</v>
          </cell>
          <cell r="J95">
            <v>4</v>
          </cell>
          <cell r="P95">
            <v>4</v>
          </cell>
          <cell r="Q95">
            <v>4</v>
          </cell>
          <cell r="R95">
            <v>3</v>
          </cell>
          <cell r="T95" t="str">
            <v>Responsibility</v>
          </cell>
          <cell r="U95" t="str">
            <v>Good</v>
          </cell>
          <cell r="V95" t="str">
            <v>Good</v>
          </cell>
          <cell r="W95" t="str">
            <v>Normal</v>
          </cell>
          <cell r="X95" t="str">
            <v>Angry</v>
          </cell>
          <cell r="Y95" t="str">
            <v>Happy</v>
          </cell>
          <cell r="Z95">
            <v>4</v>
          </cell>
          <cell r="AA95">
            <v>4</v>
          </cell>
          <cell r="AB95">
            <v>4</v>
          </cell>
          <cell r="AC95">
            <v>4</v>
          </cell>
          <cell r="AD95">
            <v>4</v>
          </cell>
          <cell r="AE95">
            <v>4</v>
          </cell>
          <cell r="AG95" t="str">
            <v>No Comment</v>
          </cell>
        </row>
        <row r="96">
          <cell r="B96" t="str">
            <v>Nguyen Thi An</v>
          </cell>
          <cell r="E96">
            <v>5</v>
          </cell>
          <cell r="F96">
            <v>5</v>
          </cell>
          <cell r="G96">
            <v>5</v>
          </cell>
          <cell r="H96">
            <v>5</v>
          </cell>
          <cell r="I96">
            <v>5</v>
          </cell>
          <cell r="J96">
            <v>5</v>
          </cell>
          <cell r="P96">
            <v>5</v>
          </cell>
          <cell r="Q96">
            <v>5</v>
          </cell>
          <cell r="R96">
            <v>5</v>
          </cell>
          <cell r="T96" t="str">
            <v>Chị An có tính cách vui vẻ hòa đồng  cẩn thận  chăm chỉ</v>
          </cell>
          <cell r="U96" t="str">
            <v>Chị luôn hoàn thành công việc xong mới về nhà. Trên cương vị Leader luôn đảm bảo dự án haofn thàn</v>
          </cell>
          <cell r="V96" t="str">
            <v xml:space="preserve"> Làm việc đặt dự án lên hàng đầu  luôn cố gắng tự làm trước khi phải đi nhờ mng support a</v>
          </cell>
          <cell r="W96" t="str">
            <v xml:space="preserve"> chị hay suy nghĩ làm cách nào để giúp mng tăng hiệu quả công việc  chị cố gắng đi mượn thiết bị để dự án có đủ thiết bị test </v>
          </cell>
          <cell r="X96" t="str">
            <v>Mong rằng dự án sẽ ít khó khăn và issue hơn để chị có thể về nhà sớm.</v>
          </cell>
          <cell r="Y96" t="str">
            <v>Học hỏi thêm các kinh nghiệm từ các chị leader dự án khác ạ</v>
          </cell>
          <cell r="Z96">
            <v>5</v>
          </cell>
          <cell r="AA96">
            <v>5</v>
          </cell>
          <cell r="AB96">
            <v>5</v>
          </cell>
          <cell r="AC96">
            <v>5</v>
          </cell>
          <cell r="AD96">
            <v>5</v>
          </cell>
          <cell r="AE96">
            <v>5</v>
          </cell>
          <cell r="AG96" t="str">
            <v xml:space="preserve">Chị An là 1 leader biết lắng nghe ý kiến của các member, lo lắng và quan tâm cho từng member. </v>
          </cell>
        </row>
        <row r="97">
          <cell r="B97" t="str">
            <v>Nguyen Thi An</v>
          </cell>
          <cell r="E97">
            <v>5</v>
          </cell>
          <cell r="F97">
            <v>5</v>
          </cell>
          <cell r="G97">
            <v>5</v>
          </cell>
          <cell r="H97">
            <v>5</v>
          </cell>
          <cell r="I97">
            <v>5</v>
          </cell>
          <cell r="J97">
            <v>5</v>
          </cell>
          <cell r="P97">
            <v>5</v>
          </cell>
          <cell r="Q97">
            <v>5</v>
          </cell>
          <cell r="R97">
            <v>5</v>
          </cell>
          <cell r="T97" t="str">
            <v>enthusiasm</v>
          </cell>
          <cell r="U97" t="str">
            <v>on time</v>
          </cell>
          <cell r="V97" t="str">
            <v>high</v>
          </cell>
          <cell r="W97" t="str">
            <v>high</v>
          </cell>
          <cell r="X97" t="str">
            <v>hot-tempered</v>
          </cell>
          <cell r="Y97" t="str">
            <v>curb</v>
          </cell>
          <cell r="Z97">
            <v>5</v>
          </cell>
          <cell r="AA97">
            <v>5</v>
          </cell>
          <cell r="AB97">
            <v>5</v>
          </cell>
          <cell r="AC97">
            <v>5</v>
          </cell>
          <cell r="AD97">
            <v>5</v>
          </cell>
          <cell r="AE97">
            <v>5</v>
          </cell>
          <cell r="AG97" t="str">
            <v>Sometimes hot-tempered but she's still good</v>
          </cell>
        </row>
        <row r="98">
          <cell r="B98" t="str">
            <v>Nguyen Thi An</v>
          </cell>
          <cell r="E98">
            <v>4</v>
          </cell>
          <cell r="F98">
            <v>4</v>
          </cell>
          <cell r="G98">
            <v>4</v>
          </cell>
          <cell r="H98">
            <v>4</v>
          </cell>
          <cell r="I98">
            <v>5</v>
          </cell>
          <cell r="J98">
            <v>5</v>
          </cell>
          <cell r="P98">
            <v>4</v>
          </cell>
          <cell r="Q98">
            <v>4</v>
          </cell>
          <cell r="R98">
            <v>4</v>
          </cell>
          <cell r="S98" t="str">
            <v>Sometime due to project workload, she just try to solve issue with a work around, not really willing to look for more complete solution in future.</v>
          </cell>
          <cell r="T98" t="str">
            <v>have well connection with other member in her team</v>
          </cell>
          <cell r="U98" t="str">
            <v>accomplished good result</v>
          </cell>
          <cell r="V98" t="str">
            <v>high responsibility  always try to complete work on time</v>
          </cell>
          <cell r="W98" t="str">
            <v>Almost solution based on her experience  not so creative</v>
          </cell>
          <cell r="X98" t="str">
            <v>no comment</v>
          </cell>
          <cell r="Y98" t="str">
            <v>- do more delegation but with more supervision
- try to learn more experience from other test leader
- communicate more with other teams</v>
          </cell>
          <cell r="Z98">
            <v>4</v>
          </cell>
          <cell r="AA98">
            <v>5</v>
          </cell>
          <cell r="AB98">
            <v>3</v>
          </cell>
          <cell r="AC98">
            <v>4</v>
          </cell>
          <cell r="AD98">
            <v>4</v>
          </cell>
          <cell r="AE98">
            <v>5</v>
          </cell>
          <cell r="AG98" t="str">
            <v>she should communicate more with other test leader</v>
          </cell>
        </row>
        <row r="99">
          <cell r="B99" t="str">
            <v>Nguyen Thi An</v>
          </cell>
          <cell r="Z99">
            <v>3</v>
          </cell>
          <cell r="AA99">
            <v>5</v>
          </cell>
          <cell r="AB99">
            <v>4</v>
          </cell>
          <cell r="AC99">
            <v>5</v>
          </cell>
          <cell r="AD99">
            <v>4</v>
          </cell>
          <cell r="AE99">
            <v>5</v>
          </cell>
          <cell r="AG99" t="str">
            <v>Her communication with others is very nice. She always open minded to give comments from others.</v>
          </cell>
        </row>
        <row r="100">
          <cell r="B100" t="str">
            <v>Nguyen Thi Huong</v>
          </cell>
          <cell r="E100">
            <v>4</v>
          </cell>
          <cell r="F100">
            <v>3</v>
          </cell>
          <cell r="G100">
            <v>5</v>
          </cell>
          <cell r="H100">
            <v>3</v>
          </cell>
          <cell r="I100">
            <v>5</v>
          </cell>
          <cell r="J100">
            <v>4</v>
          </cell>
          <cell r="P100">
            <v>3</v>
          </cell>
          <cell r="Q100">
            <v>3</v>
          </cell>
          <cell r="R100">
            <v>2</v>
          </cell>
          <cell r="T100" t="str">
            <v>trầm tính  tập trung và thẳng thắn</v>
          </cell>
          <cell r="U100" t="str">
            <v>sớm</v>
          </cell>
          <cell r="V100" t="str">
            <v>chăm chỉ  tinh thần làm việc tốt</v>
          </cell>
          <cell r="W100" t="str">
            <v>Hương đang trong giai đoạn học hỏi và làm đúng  chưa sáng tạo</v>
          </cell>
          <cell r="X100" t="str">
            <v>n/a</v>
          </cell>
          <cell r="Y100" t="str">
            <v>1. Cần mạnh dạn hơn đưa ra câu hỏi và ý kiến của mình
2. Cần tracking vấn đề mình đang gặp, có thể ping push leader nếu leader chưa đưa ra giải pháp cho vấn đề của mình</v>
          </cell>
          <cell r="Z100">
            <v>3</v>
          </cell>
          <cell r="AA100">
            <v>4</v>
          </cell>
          <cell r="AB100">
            <v>3</v>
          </cell>
          <cell r="AC100">
            <v>4</v>
          </cell>
          <cell r="AD100">
            <v>4</v>
          </cell>
          <cell r="AE100">
            <v>5</v>
          </cell>
          <cell r="AF100" t="str">
            <v>Hương hòa đồng và thân thiện với các member  cùng dự án nhưng ít khi nói chuyện hay giao lưu với các member khác dự án</v>
          </cell>
          <cell r="AG100" t="str">
            <v>n/a</v>
          </cell>
        </row>
        <row r="101">
          <cell r="B101" t="str">
            <v>Nguyen Thi Huong</v>
          </cell>
          <cell r="E101">
            <v>3</v>
          </cell>
          <cell r="F101">
            <v>3</v>
          </cell>
          <cell r="G101">
            <v>4</v>
          </cell>
          <cell r="H101">
            <v>4</v>
          </cell>
          <cell r="I101">
            <v>4</v>
          </cell>
          <cell r="J101">
            <v>4</v>
          </cell>
          <cell r="P101">
            <v>4</v>
          </cell>
          <cell r="Q101">
            <v>3</v>
          </cell>
          <cell r="R101">
            <v>4</v>
          </cell>
          <cell r="T101" t="str">
            <v>Responsibility</v>
          </cell>
          <cell r="U101" t="str">
            <v>Good</v>
          </cell>
          <cell r="V101" t="str">
            <v>Good</v>
          </cell>
          <cell r="W101" t="str">
            <v>Normal</v>
          </cell>
          <cell r="X101" t="str">
            <v>None</v>
          </cell>
          <cell r="Y101" t="str">
            <v>friendly</v>
          </cell>
          <cell r="Z101">
            <v>3</v>
          </cell>
          <cell r="AA101">
            <v>4</v>
          </cell>
          <cell r="AB101">
            <v>3</v>
          </cell>
          <cell r="AC101">
            <v>3</v>
          </cell>
          <cell r="AD101">
            <v>3</v>
          </cell>
          <cell r="AE101">
            <v>3</v>
          </cell>
          <cell r="AG101" t="str">
            <v>No Comment</v>
          </cell>
        </row>
        <row r="102">
          <cell r="B102" t="str">
            <v>Nguyen Thi Huong</v>
          </cell>
          <cell r="Z102">
            <v>5</v>
          </cell>
          <cell r="AA102">
            <v>5</v>
          </cell>
          <cell r="AB102">
            <v>5</v>
          </cell>
          <cell r="AC102">
            <v>5</v>
          </cell>
          <cell r="AD102">
            <v>5</v>
          </cell>
          <cell r="AE102">
            <v>5</v>
          </cell>
          <cell r="AG102" t="str">
            <v xml:space="preserve">She is a meek girl </v>
          </cell>
        </row>
        <row r="103">
          <cell r="B103" t="str">
            <v>Nguyen Thi Huyen</v>
          </cell>
          <cell r="Z103">
            <v>3</v>
          </cell>
          <cell r="AA103">
            <v>3</v>
          </cell>
          <cell r="AB103">
            <v>4</v>
          </cell>
          <cell r="AC103">
            <v>5</v>
          </cell>
          <cell r="AD103">
            <v>5</v>
          </cell>
          <cell r="AE103">
            <v>5</v>
          </cell>
          <cell r="AG103" t="str">
            <v>She is a friendly colleage</v>
          </cell>
        </row>
        <row r="104">
          <cell r="B104" t="str">
            <v>Nguyen Thi Huyen</v>
          </cell>
          <cell r="E104">
            <v>4</v>
          </cell>
          <cell r="F104">
            <v>4</v>
          </cell>
          <cell r="G104">
            <v>5</v>
          </cell>
          <cell r="H104">
            <v>4</v>
          </cell>
          <cell r="I104">
            <v>5</v>
          </cell>
          <cell r="J104">
            <v>4</v>
          </cell>
          <cell r="P104">
            <v>4</v>
          </cell>
          <cell r="Q104">
            <v>3</v>
          </cell>
          <cell r="R104">
            <v>4</v>
          </cell>
          <cell r="T104" t="str">
            <v>Friendly</v>
          </cell>
          <cell r="U104" t="str">
            <v>Good</v>
          </cell>
          <cell r="V104" t="str">
            <v>Positive</v>
          </cell>
          <cell r="W104" t="str">
            <v>Good</v>
          </cell>
          <cell r="X104" t="str">
            <v>N/A</v>
          </cell>
          <cell r="Y104" t="str">
            <v>Improve English &amp; technical skills</v>
          </cell>
          <cell r="Z104">
            <v>4</v>
          </cell>
          <cell r="AA104">
            <v>5</v>
          </cell>
          <cell r="AB104">
            <v>4</v>
          </cell>
          <cell r="AC104">
            <v>5</v>
          </cell>
          <cell r="AD104">
            <v>5</v>
          </cell>
          <cell r="AE104">
            <v>5</v>
          </cell>
          <cell r="AG104" t="str">
            <v>She has active working manners but her English &amp; technical skills need to be improved</v>
          </cell>
        </row>
        <row r="105">
          <cell r="B105" t="str">
            <v>Nguyen Thi Huyen</v>
          </cell>
          <cell r="Z105">
            <v>4</v>
          </cell>
          <cell r="AA105">
            <v>3</v>
          </cell>
          <cell r="AB105">
            <v>2</v>
          </cell>
          <cell r="AC105">
            <v>3</v>
          </cell>
          <cell r="AD105">
            <v>4</v>
          </cell>
          <cell r="AE105">
            <v>3</v>
          </cell>
          <cell r="AF105" t="str">
            <v xml:space="preserve">
</v>
          </cell>
          <cell r="AG105" t="str">
            <v>She has good knowledge about testing AVN . Study quickly</v>
          </cell>
        </row>
        <row r="106">
          <cell r="B106" t="str">
            <v>Nguyen Thi Lan</v>
          </cell>
          <cell r="E106">
            <v>5</v>
          </cell>
          <cell r="F106">
            <v>4</v>
          </cell>
          <cell r="G106">
            <v>5</v>
          </cell>
          <cell r="H106">
            <v>4</v>
          </cell>
          <cell r="I106">
            <v>4</v>
          </cell>
          <cell r="J106">
            <v>4</v>
          </cell>
          <cell r="P106">
            <v>5</v>
          </cell>
          <cell r="Q106">
            <v>5</v>
          </cell>
          <cell r="R106">
            <v>4</v>
          </cell>
          <cell r="T106" t="str">
            <v>nhanh nhẹn  hòa đồng</v>
          </cell>
          <cell r="U106" t="str">
            <v>có trách nhiệm với công việc  cố gắng hoàn thành với kết quả tốt nhất</v>
          </cell>
          <cell r="V106" t="str">
            <v>có cố gắng tìm nguyên nhân gốc rễ của vấn đề</v>
          </cell>
          <cell r="W106" t="str">
            <v>bình thường</v>
          </cell>
          <cell r="X106" t="str">
            <v>i have no idea</v>
          </cell>
          <cell r="Y106" t="str">
            <v>I have no idea</v>
          </cell>
          <cell r="Z106">
            <v>4</v>
          </cell>
          <cell r="AA106">
            <v>4</v>
          </cell>
          <cell r="AB106">
            <v>4</v>
          </cell>
          <cell r="AC106">
            <v>4</v>
          </cell>
          <cell r="AD106">
            <v>4</v>
          </cell>
          <cell r="AE106">
            <v>4</v>
          </cell>
          <cell r="AG106" t="str">
            <v>I have no idea</v>
          </cell>
        </row>
        <row r="107">
          <cell r="B107" t="str">
            <v>Nguyen Thi Lan</v>
          </cell>
          <cell r="E107">
            <v>5</v>
          </cell>
          <cell r="F107">
            <v>4</v>
          </cell>
          <cell r="G107">
            <v>5</v>
          </cell>
          <cell r="H107">
            <v>4</v>
          </cell>
          <cell r="I107">
            <v>4</v>
          </cell>
          <cell r="J107">
            <v>4</v>
          </cell>
          <cell r="P107">
            <v>3</v>
          </cell>
          <cell r="Q107">
            <v>4</v>
          </cell>
          <cell r="R107">
            <v>4</v>
          </cell>
          <cell r="T107" t="str">
            <v>- Đôi khi còn hơi tự tin thái quá về bản thân nên dẫn tới việc không đánh giá và nhìn nhận khách quan về quan điểm  khả năng của đồng nghiệp trong team. Chưa thực sự biết lắng nghe ý kiến của đồng nghiệp.</v>
          </cell>
          <cell r="U107" t="str">
            <v>Ok</v>
          </cell>
          <cell r="V107" t="str">
            <v>OK</v>
          </cell>
          <cell r="W107" t="str">
            <v>Normal</v>
          </cell>
          <cell r="X107" t="str">
            <v>- Đừng quá tự tin vào khả năng của bản thân mình.</v>
          </cell>
          <cell r="Y107" t="str">
            <v>- Biết lắng nghe đồng nghiệp hơn</v>
          </cell>
          <cell r="Z107">
            <v>3</v>
          </cell>
          <cell r="AA107">
            <v>4</v>
          </cell>
          <cell r="AB107">
            <v>3</v>
          </cell>
          <cell r="AC107">
            <v>2</v>
          </cell>
          <cell r="AD107">
            <v>4</v>
          </cell>
          <cell r="AE107">
            <v>3</v>
          </cell>
          <cell r="AG107" t="str">
            <v>- Cần biết lắng nghe hơn</v>
          </cell>
        </row>
        <row r="108">
          <cell r="B108" t="str">
            <v>Nguyen Thi Lan</v>
          </cell>
          <cell r="Z108">
            <v>5</v>
          </cell>
          <cell r="AA108">
            <v>5</v>
          </cell>
          <cell r="AB108">
            <v>5</v>
          </cell>
          <cell r="AC108">
            <v>5</v>
          </cell>
          <cell r="AD108">
            <v>5</v>
          </cell>
          <cell r="AE108">
            <v>5</v>
          </cell>
          <cell r="AG108" t="str">
            <v>carefully</v>
          </cell>
        </row>
        <row r="109">
          <cell r="B109" t="str">
            <v>Nguyen Thi Phuong</v>
          </cell>
          <cell r="E109">
            <v>5</v>
          </cell>
          <cell r="F109">
            <v>5</v>
          </cell>
          <cell r="G109">
            <v>5</v>
          </cell>
          <cell r="H109">
            <v>5</v>
          </cell>
          <cell r="I109">
            <v>5</v>
          </cell>
          <cell r="J109">
            <v>5</v>
          </cell>
          <cell r="P109">
            <v>5</v>
          </cell>
          <cell r="Q109">
            <v>5</v>
          </cell>
          <cell r="R109">
            <v>4</v>
          </cell>
          <cell r="T109" t="str">
            <v>Nhiệt tình  ham tìm hiểu  support tốt</v>
          </cell>
          <cell r="U109" t="str">
            <v>tốt</v>
          </cell>
          <cell r="V109" t="str">
            <v>tốt</v>
          </cell>
          <cell r="W109" t="str">
            <v>tốt</v>
          </cell>
          <cell r="X109" t="str">
            <v>N/A</v>
          </cell>
          <cell r="Y109" t="str">
            <v>N/A</v>
          </cell>
          <cell r="Z109">
            <v>5</v>
          </cell>
          <cell r="AA109">
            <v>5</v>
          </cell>
          <cell r="AB109">
            <v>4</v>
          </cell>
          <cell r="AC109">
            <v>5</v>
          </cell>
          <cell r="AD109">
            <v>5</v>
          </cell>
          <cell r="AE109">
            <v>5</v>
          </cell>
          <cell r="AG109" t="str">
            <v>Sáng tạo, thích ứng nhanh với dự án mới</v>
          </cell>
        </row>
        <row r="110">
          <cell r="B110" t="str">
            <v>Nguyen Thi Phuong</v>
          </cell>
          <cell r="Z110">
            <v>4</v>
          </cell>
          <cell r="AA110">
            <v>4</v>
          </cell>
          <cell r="AB110">
            <v>4</v>
          </cell>
          <cell r="AC110">
            <v>5</v>
          </cell>
          <cell r="AD110">
            <v>5</v>
          </cell>
          <cell r="AE110">
            <v>5</v>
          </cell>
          <cell r="AG110" t="str">
            <v>NO</v>
          </cell>
        </row>
        <row r="111">
          <cell r="B111" t="str">
            <v>Nguyen Thi Thanh</v>
          </cell>
          <cell r="E111">
            <v>4</v>
          </cell>
          <cell r="F111">
            <v>4</v>
          </cell>
          <cell r="G111">
            <v>4</v>
          </cell>
          <cell r="H111">
            <v>4</v>
          </cell>
          <cell r="I111">
            <v>4</v>
          </cell>
          <cell r="J111">
            <v>4</v>
          </cell>
          <cell r="P111">
            <v>4</v>
          </cell>
          <cell r="Q111">
            <v>4</v>
          </cell>
          <cell r="R111">
            <v>4</v>
          </cell>
          <cell r="T111" t="str">
            <v>Friendly  she have ability of connecting between members in project (make good team work)</v>
          </cell>
          <cell r="U111" t="str">
            <v>Good assigment skills and summary result. Write email skills is quite clear.</v>
          </cell>
          <cell r="V111" t="str">
            <v>Sometime  she should more calm down.</v>
          </cell>
          <cell r="W111" t="str">
            <v>Should think the way to do her job more quickly</v>
          </cell>
          <cell r="X111" t="str">
            <v>Should listen difficulties of others</v>
          </cell>
          <cell r="Y111" t="str">
            <v>More creative in her job and more contribute on any tasks of VT (not only internal project)</v>
          </cell>
          <cell r="Z111">
            <v>3</v>
          </cell>
          <cell r="AA111">
            <v>4</v>
          </cell>
          <cell r="AB111">
            <v>4</v>
          </cell>
          <cell r="AC111">
            <v>4</v>
          </cell>
          <cell r="AD111">
            <v>4</v>
          </cell>
          <cell r="AE111">
            <v>3</v>
          </cell>
          <cell r="AG111" t="str">
            <v>Conclusion, her management skills is quite good. She has problem solving skills.</v>
          </cell>
        </row>
        <row r="112">
          <cell r="B112" t="str">
            <v>Nguyen Thi Thanh</v>
          </cell>
          <cell r="Z112">
            <v>5</v>
          </cell>
          <cell r="AA112">
            <v>4</v>
          </cell>
          <cell r="AB112">
            <v>5</v>
          </cell>
          <cell r="AC112">
            <v>5</v>
          </cell>
          <cell r="AD112">
            <v>5</v>
          </cell>
          <cell r="AE112">
            <v>4</v>
          </cell>
          <cell r="AG112" t="str">
            <v xml:space="preserve">Outstanding </v>
          </cell>
        </row>
        <row r="113">
          <cell r="B113" t="str">
            <v>Nguyen Thi Thanh</v>
          </cell>
          <cell r="E113">
            <v>5</v>
          </cell>
          <cell r="F113">
            <v>5</v>
          </cell>
          <cell r="G113">
            <v>5</v>
          </cell>
          <cell r="H113">
            <v>5</v>
          </cell>
          <cell r="I113">
            <v>5</v>
          </cell>
          <cell r="J113">
            <v>5</v>
          </cell>
          <cell r="P113">
            <v>5</v>
          </cell>
          <cell r="Q113">
            <v>5</v>
          </cell>
          <cell r="R113">
            <v>4</v>
          </cell>
          <cell r="T113" t="str">
            <v>Cẩn thận trong công việc  nhiệt tình support</v>
          </cell>
          <cell r="U113" t="str">
            <v>tốt</v>
          </cell>
          <cell r="V113" t="str">
            <v>tốt</v>
          </cell>
          <cell r="W113" t="str">
            <v>tốt</v>
          </cell>
          <cell r="X113" t="str">
            <v>N/A</v>
          </cell>
          <cell r="Y113" t="str">
            <v>N/A</v>
          </cell>
          <cell r="Z113">
            <v>5</v>
          </cell>
          <cell r="AA113">
            <v>5</v>
          </cell>
          <cell r="AB113">
            <v>5</v>
          </cell>
          <cell r="AC113">
            <v>5</v>
          </cell>
          <cell r="AD113">
            <v>4</v>
          </cell>
          <cell r="AE113">
            <v>5</v>
          </cell>
          <cell r="AG113" t="str">
            <v>có trách nhiệm cao với công việc</v>
          </cell>
        </row>
        <row r="114">
          <cell r="B114" t="str">
            <v>Nguyen Thi Thanh</v>
          </cell>
          <cell r="E114">
            <v>5</v>
          </cell>
          <cell r="F114">
            <v>5</v>
          </cell>
          <cell r="G114">
            <v>5</v>
          </cell>
          <cell r="H114">
            <v>5</v>
          </cell>
          <cell r="I114">
            <v>5</v>
          </cell>
          <cell r="J114">
            <v>4</v>
          </cell>
          <cell r="P114">
            <v>5</v>
          </cell>
          <cell r="Q114">
            <v>4</v>
          </cell>
          <cell r="R114">
            <v>4</v>
          </cell>
          <cell r="T114" t="str">
            <v>ok</v>
          </cell>
          <cell r="U114" t="str">
            <v>ok</v>
          </cell>
          <cell r="V114" t="str">
            <v>ok</v>
          </cell>
          <cell r="W114" t="str">
            <v>Now  it is not clear</v>
          </cell>
          <cell r="X114" t="str">
            <v>Now, I am not idea</v>
          </cell>
          <cell r="Y114" t="str">
            <v>Now, I am not idea</v>
          </cell>
          <cell r="Z114">
            <v>4</v>
          </cell>
          <cell r="AA114">
            <v>5</v>
          </cell>
          <cell r="AB114">
            <v>4</v>
          </cell>
          <cell r="AC114">
            <v>5</v>
          </cell>
          <cell r="AD114">
            <v>5</v>
          </cell>
          <cell r="AE114">
            <v>5</v>
          </cell>
          <cell r="AG114" t="str">
            <v>Now, I am not idea</v>
          </cell>
        </row>
        <row r="115">
          <cell r="B115" t="str">
            <v>Nguyen Thi Thanh Na</v>
          </cell>
          <cell r="E115">
            <v>5</v>
          </cell>
          <cell r="F115">
            <v>5</v>
          </cell>
          <cell r="G115">
            <v>5</v>
          </cell>
          <cell r="H115">
            <v>5</v>
          </cell>
          <cell r="I115">
            <v>5</v>
          </cell>
          <cell r="J115">
            <v>5</v>
          </cell>
          <cell r="P115">
            <v>4</v>
          </cell>
          <cell r="Q115">
            <v>4</v>
          </cell>
          <cell r="R115">
            <v>4</v>
          </cell>
          <cell r="Z115">
            <v>5</v>
          </cell>
          <cell r="AA115">
            <v>5</v>
          </cell>
          <cell r="AB115">
            <v>5</v>
          </cell>
          <cell r="AC115">
            <v>5</v>
          </cell>
          <cell r="AD115">
            <v>5</v>
          </cell>
          <cell r="AE115">
            <v>5</v>
          </cell>
          <cell r="AF115" t="str">
            <v>She is very good, just need to talk louder</v>
          </cell>
          <cell r="AG115" t="str">
            <v>Nothing</v>
          </cell>
        </row>
        <row r="116">
          <cell r="B116" t="str">
            <v>Nguyen Thi Thanh Na</v>
          </cell>
          <cell r="E116">
            <v>5</v>
          </cell>
          <cell r="F116">
            <v>5</v>
          </cell>
          <cell r="G116">
            <v>5</v>
          </cell>
          <cell r="H116">
            <v>5</v>
          </cell>
          <cell r="I116">
            <v>5</v>
          </cell>
          <cell r="J116">
            <v>5</v>
          </cell>
          <cell r="P116">
            <v>5</v>
          </cell>
          <cell r="Q116">
            <v>5</v>
          </cell>
          <cell r="R116">
            <v>5</v>
          </cell>
          <cell r="T116" t="str">
            <v xml:space="preserve">very friendly </v>
          </cell>
          <cell r="U116" t="str">
            <v>good</v>
          </cell>
          <cell r="V116" t="str">
            <v>hard-working</v>
          </cell>
          <cell r="W116" t="str">
            <v>good</v>
          </cell>
          <cell r="X116" t="str">
            <v>no need</v>
          </cell>
          <cell r="Y116" t="str">
            <v>no need</v>
          </cell>
          <cell r="Z116">
            <v>5</v>
          </cell>
          <cell r="AA116">
            <v>5</v>
          </cell>
          <cell r="AB116">
            <v>5</v>
          </cell>
          <cell r="AC116">
            <v>5</v>
          </cell>
          <cell r="AD116">
            <v>5</v>
          </cell>
          <cell r="AE116">
            <v>5</v>
          </cell>
          <cell r="AG116" t="str">
            <v>enthusiastic</v>
          </cell>
        </row>
        <row r="117">
          <cell r="B117" t="str">
            <v>Nguyen Thi Thanh Na</v>
          </cell>
          <cell r="E117">
            <v>5</v>
          </cell>
          <cell r="F117">
            <v>5</v>
          </cell>
          <cell r="G117">
            <v>5</v>
          </cell>
          <cell r="H117">
            <v>5</v>
          </cell>
          <cell r="I117">
            <v>5</v>
          </cell>
          <cell r="J117">
            <v>5</v>
          </cell>
          <cell r="P117">
            <v>5</v>
          </cell>
          <cell r="Q117">
            <v>5</v>
          </cell>
          <cell r="R117">
            <v>5</v>
          </cell>
          <cell r="T117" t="str">
            <v>Conscientious  enthusiastic to the job</v>
          </cell>
          <cell r="U117" t="str">
            <v>Good</v>
          </cell>
          <cell r="V117" t="str">
            <v>Enthusiastic to the job</v>
          </cell>
          <cell r="W117" t="str">
            <v>Good</v>
          </cell>
          <cell r="X117" t="str">
            <v>No Need</v>
          </cell>
          <cell r="Y117" t="str">
            <v>Focus on more management tasks</v>
          </cell>
          <cell r="Z117">
            <v>5</v>
          </cell>
          <cell r="AA117">
            <v>5</v>
          </cell>
          <cell r="AB117">
            <v>5</v>
          </cell>
          <cell r="AC117">
            <v>5</v>
          </cell>
          <cell r="AD117">
            <v>5</v>
          </cell>
          <cell r="AE117">
            <v>5</v>
          </cell>
          <cell r="AG117" t="str">
            <v>Need to improve management skill</v>
          </cell>
        </row>
        <row r="118">
          <cell r="B118" t="str">
            <v>Nguyen Thi Thanh Na</v>
          </cell>
          <cell r="E118">
            <v>5</v>
          </cell>
          <cell r="F118">
            <v>5</v>
          </cell>
          <cell r="G118">
            <v>5</v>
          </cell>
          <cell r="H118">
            <v>5</v>
          </cell>
          <cell r="I118">
            <v>5</v>
          </cell>
          <cell r="J118">
            <v>5</v>
          </cell>
          <cell r="P118">
            <v>4</v>
          </cell>
          <cell r="Q118">
            <v>4</v>
          </cell>
          <cell r="R118">
            <v>4</v>
          </cell>
          <cell r="T118" t="str">
            <v>Excellent</v>
          </cell>
          <cell r="U118" t="str">
            <v>Excellent</v>
          </cell>
          <cell r="V118" t="str">
            <v>Excellent</v>
          </cell>
          <cell r="W118" t="str">
            <v>Good</v>
          </cell>
          <cell r="X118" t="str">
            <v xml:space="preserve">Be less working </v>
          </cell>
          <cell r="Y118" t="str">
            <v>Rest more</v>
          </cell>
          <cell r="Z118">
            <v>5</v>
          </cell>
          <cell r="AA118">
            <v>5</v>
          </cell>
          <cell r="AB118">
            <v>5</v>
          </cell>
          <cell r="AC118">
            <v>5</v>
          </cell>
          <cell r="AD118">
            <v>5</v>
          </cell>
          <cell r="AE118">
            <v>5</v>
          </cell>
          <cell r="AG118" t="str">
            <v>Nothing</v>
          </cell>
        </row>
        <row r="119">
          <cell r="B119" t="str">
            <v>Nguyen Thi Thanh Na</v>
          </cell>
          <cell r="E119">
            <v>5</v>
          </cell>
          <cell r="F119">
            <v>5</v>
          </cell>
          <cell r="G119">
            <v>5</v>
          </cell>
          <cell r="H119">
            <v>5</v>
          </cell>
          <cell r="I119">
            <v>5</v>
          </cell>
          <cell r="J119">
            <v>5</v>
          </cell>
          <cell r="P119">
            <v>5</v>
          </cell>
          <cell r="Q119">
            <v>5</v>
          </cell>
          <cell r="R119">
            <v>5</v>
          </cell>
          <cell r="T119" t="str">
            <v>Friendly</v>
          </cell>
          <cell r="U119" t="str">
            <v>Good</v>
          </cell>
          <cell r="V119" t="str">
            <v>Positive</v>
          </cell>
          <cell r="W119" t="str">
            <v>Creative</v>
          </cell>
          <cell r="X119" t="str">
            <v>Nothing</v>
          </cell>
          <cell r="Y119" t="str">
            <v>Nothing</v>
          </cell>
          <cell r="Z119">
            <v>5</v>
          </cell>
          <cell r="AA119">
            <v>5</v>
          </cell>
          <cell r="AB119">
            <v>5</v>
          </cell>
          <cell r="AC119">
            <v>5</v>
          </cell>
          <cell r="AD119">
            <v>5</v>
          </cell>
          <cell r="AE119">
            <v>5</v>
          </cell>
          <cell r="AG119" t="str">
            <v>She is friendly and willing to help people</v>
          </cell>
        </row>
        <row r="120">
          <cell r="B120" t="str">
            <v>Nguyen Thi Thanh Na</v>
          </cell>
          <cell r="E120">
            <v>5</v>
          </cell>
          <cell r="F120">
            <v>5</v>
          </cell>
          <cell r="G120">
            <v>5</v>
          </cell>
          <cell r="H120">
            <v>5</v>
          </cell>
          <cell r="I120">
            <v>5</v>
          </cell>
          <cell r="J120">
            <v>5</v>
          </cell>
          <cell r="P120">
            <v>5</v>
          </cell>
          <cell r="Q120">
            <v>5</v>
          </cell>
          <cell r="R120">
            <v>5</v>
          </cell>
          <cell r="T120" t="str">
            <v>Openness</v>
          </cell>
          <cell r="U120" t="str">
            <v>On time</v>
          </cell>
          <cell r="V120" t="str">
            <v>A Strong Work Ethic</v>
          </cell>
          <cell r="W120" t="str">
            <v>Making connections</v>
          </cell>
          <cell r="X120" t="str">
            <v>take less validation task</v>
          </cell>
          <cell r="Y120" t="str">
            <v>focus on management</v>
          </cell>
          <cell r="Z120">
            <v>5</v>
          </cell>
          <cell r="AA120">
            <v>5</v>
          </cell>
          <cell r="AB120">
            <v>5</v>
          </cell>
          <cell r="AC120">
            <v>5</v>
          </cell>
          <cell r="AD120">
            <v>5</v>
          </cell>
          <cell r="AE120">
            <v>5</v>
          </cell>
          <cell r="AG120" t="str">
            <v>good listener and always willing to help each other</v>
          </cell>
        </row>
        <row r="121">
          <cell r="B121" t="str">
            <v>Nguyen Thi Thanh Na</v>
          </cell>
          <cell r="E121">
            <v>5</v>
          </cell>
          <cell r="F121">
            <v>5</v>
          </cell>
          <cell r="G121">
            <v>5</v>
          </cell>
          <cell r="H121">
            <v>5</v>
          </cell>
          <cell r="I121">
            <v>5</v>
          </cell>
          <cell r="J121">
            <v>5</v>
          </cell>
          <cell r="P121">
            <v>5</v>
          </cell>
          <cell r="Q121">
            <v>5</v>
          </cell>
          <cell r="R121">
            <v>5</v>
          </cell>
          <cell r="T121" t="str">
            <v>Excellent</v>
          </cell>
          <cell r="U121" t="str">
            <v>Yes</v>
          </cell>
          <cell r="V121" t="str">
            <v>Excellent</v>
          </cell>
          <cell r="W121" t="str">
            <v>Yes</v>
          </cell>
          <cell r="X121" t="str">
            <v>N/A</v>
          </cell>
          <cell r="Y121" t="str">
            <v>More stronger</v>
          </cell>
          <cell r="Z121">
            <v>5</v>
          </cell>
          <cell r="AA121">
            <v>5</v>
          </cell>
          <cell r="AB121">
            <v>5</v>
          </cell>
          <cell r="AC121">
            <v>5</v>
          </cell>
          <cell r="AD121">
            <v>5</v>
          </cell>
          <cell r="AE121">
            <v>5</v>
          </cell>
          <cell r="AG121" t="str">
            <v>N/A</v>
          </cell>
        </row>
        <row r="122">
          <cell r="B122" t="str">
            <v>Nguyen Thi Thanh Na</v>
          </cell>
          <cell r="Z122">
            <v>5</v>
          </cell>
          <cell r="AA122">
            <v>5</v>
          </cell>
          <cell r="AB122">
            <v>5</v>
          </cell>
          <cell r="AC122">
            <v>5</v>
          </cell>
          <cell r="AD122">
            <v>5</v>
          </cell>
          <cell r="AE122">
            <v>5</v>
          </cell>
          <cell r="AG122" t="str">
            <v>She has spent her mind on her work with very high responsibility. However, if she can delegate some tasks to the right members of the team, she will have more time for herself to improve management skills, time management, to share her knowledge, and support members.</v>
          </cell>
        </row>
        <row r="123">
          <cell r="B123" t="str">
            <v>Nguyen Thi Vinh</v>
          </cell>
          <cell r="Z123">
            <v>4</v>
          </cell>
          <cell r="AA123">
            <v>5</v>
          </cell>
          <cell r="AB123">
            <v>4</v>
          </cell>
          <cell r="AC123">
            <v>4</v>
          </cell>
          <cell r="AD123">
            <v>4</v>
          </cell>
          <cell r="AE123">
            <v>5</v>
          </cell>
          <cell r="AG123" t="str">
            <v>She needs to be proactive and creative at work</v>
          </cell>
        </row>
        <row r="124">
          <cell r="B124" t="str">
            <v>Nguyen Thi Vinh</v>
          </cell>
          <cell r="Z124">
            <v>4</v>
          </cell>
          <cell r="AA124">
            <v>4</v>
          </cell>
          <cell r="AB124">
            <v>4</v>
          </cell>
          <cell r="AC124">
            <v>5</v>
          </cell>
          <cell r="AD124">
            <v>4</v>
          </cell>
          <cell r="AE124">
            <v>5</v>
          </cell>
          <cell r="AG124" t="str">
            <v>No comment</v>
          </cell>
        </row>
        <row r="125">
          <cell r="B125" t="str">
            <v>Nguyen Thi Vinh</v>
          </cell>
          <cell r="E125">
            <v>4</v>
          </cell>
          <cell r="F125">
            <v>4</v>
          </cell>
          <cell r="G125">
            <v>3</v>
          </cell>
          <cell r="H125">
            <v>3</v>
          </cell>
          <cell r="I125">
            <v>4</v>
          </cell>
          <cell r="J125">
            <v>3</v>
          </cell>
          <cell r="P125">
            <v>3</v>
          </cell>
          <cell r="Q125">
            <v>3</v>
          </cell>
          <cell r="R125">
            <v>3</v>
          </cell>
          <cell r="T125" t="str">
            <v>Friendly</v>
          </cell>
          <cell r="U125" t="str">
            <v>N/A</v>
          </cell>
          <cell r="V125" t="str">
            <v>N/A</v>
          </cell>
          <cell r="W125" t="str">
            <v>N/A</v>
          </cell>
          <cell r="X125" t="str">
            <v>N/A</v>
          </cell>
          <cell r="Y125" t="str">
            <v>Should more focus in each seminar and improve in AVN testing</v>
          </cell>
          <cell r="Z125">
            <v>3</v>
          </cell>
          <cell r="AA125">
            <v>3</v>
          </cell>
          <cell r="AB125">
            <v>3</v>
          </cell>
          <cell r="AC125">
            <v>5</v>
          </cell>
          <cell r="AD125">
            <v>4</v>
          </cell>
          <cell r="AE125">
            <v>5</v>
          </cell>
          <cell r="AG125" t="str">
            <v>Should willing to take new tasks instead of doing the same tasks</v>
          </cell>
        </row>
        <row r="126">
          <cell r="B126" t="str">
            <v>Nguyen Thu Huong</v>
          </cell>
          <cell r="Z126">
            <v>4</v>
          </cell>
          <cell r="AA126">
            <v>5</v>
          </cell>
          <cell r="AB126">
            <v>4</v>
          </cell>
          <cell r="AC126">
            <v>5</v>
          </cell>
          <cell r="AD126">
            <v>4</v>
          </cell>
          <cell r="AE126">
            <v>5</v>
          </cell>
          <cell r="AG126" t="str">
            <v>She is willing to learn new thing, good attitude</v>
          </cell>
        </row>
        <row r="127">
          <cell r="B127" t="str">
            <v>Nguyen Thu Huong</v>
          </cell>
          <cell r="E127">
            <v>5</v>
          </cell>
          <cell r="F127">
            <v>2</v>
          </cell>
          <cell r="G127">
            <v>4</v>
          </cell>
          <cell r="H127">
            <v>4</v>
          </cell>
          <cell r="I127">
            <v>3</v>
          </cell>
          <cell r="J127">
            <v>3</v>
          </cell>
          <cell r="P127">
            <v>4</v>
          </cell>
          <cell r="Q127">
            <v>3</v>
          </cell>
          <cell r="R127">
            <v>3</v>
          </cell>
          <cell r="T127" t="str">
            <v>listen and activated</v>
          </cell>
          <cell r="U127" t="str">
            <v>ontime</v>
          </cell>
          <cell r="V127" t="str">
            <v>positive</v>
          </cell>
          <cell r="W127" t="str">
            <v>work to the end</v>
          </cell>
          <cell r="X127" t="str">
            <v>depend on mentor</v>
          </cell>
          <cell r="Y127" t="str">
            <v>positive to take new knowledge in project</v>
          </cell>
          <cell r="Z127">
            <v>2</v>
          </cell>
          <cell r="AA127">
            <v>4</v>
          </cell>
          <cell r="AB127">
            <v>3</v>
          </cell>
          <cell r="AC127">
            <v>5</v>
          </cell>
          <cell r="AD127">
            <v>5</v>
          </cell>
          <cell r="AE127">
            <v>5</v>
          </cell>
          <cell r="AG127" t="str">
            <v>She is a friendly colleage</v>
          </cell>
        </row>
        <row r="128">
          <cell r="B128" t="str">
            <v>Nguyen Thu Huong</v>
          </cell>
          <cell r="E128">
            <v>4</v>
          </cell>
          <cell r="F128">
            <v>4</v>
          </cell>
          <cell r="G128">
            <v>4</v>
          </cell>
          <cell r="H128">
            <v>4</v>
          </cell>
          <cell r="I128">
            <v>4</v>
          </cell>
          <cell r="J128">
            <v>4</v>
          </cell>
          <cell r="P128">
            <v>4</v>
          </cell>
          <cell r="Q128">
            <v>4</v>
          </cell>
          <cell r="R128">
            <v>4</v>
          </cell>
          <cell r="T128" t="str">
            <v>hard-working</v>
          </cell>
          <cell r="U128" t="str">
            <v>good</v>
          </cell>
          <cell r="V128" t="str">
            <v>proactive  hard-working</v>
          </cell>
          <cell r="W128" t="str">
            <v>good</v>
          </cell>
          <cell r="X128" t="str">
            <v>need communicate strongly inside and outside team</v>
          </cell>
          <cell r="Y128" t="str">
            <v>need more proactive</v>
          </cell>
          <cell r="Z128">
            <v>4</v>
          </cell>
          <cell r="AA128">
            <v>4</v>
          </cell>
          <cell r="AB128">
            <v>4</v>
          </cell>
          <cell r="AC128">
            <v>4</v>
          </cell>
          <cell r="AD128">
            <v>4</v>
          </cell>
          <cell r="AE128">
            <v>4</v>
          </cell>
          <cell r="AG128" t="str">
            <v>no comment</v>
          </cell>
        </row>
        <row r="129">
          <cell r="B129" t="str">
            <v>Nguyen Thu Huyen</v>
          </cell>
          <cell r="E129">
            <v>4</v>
          </cell>
          <cell r="F129">
            <v>4</v>
          </cell>
          <cell r="G129">
            <v>3</v>
          </cell>
          <cell r="H129">
            <v>4</v>
          </cell>
          <cell r="I129">
            <v>4</v>
          </cell>
          <cell r="J129">
            <v>4</v>
          </cell>
          <cell r="P129">
            <v>3</v>
          </cell>
          <cell r="Q129">
            <v>4</v>
          </cell>
          <cell r="R129">
            <v>4</v>
          </cell>
          <cell r="T129" t="str">
            <v>Sociable</v>
          </cell>
          <cell r="U129" t="str">
            <v>Completion time often takes longer than plan</v>
          </cell>
          <cell r="V129" t="str">
            <v>Only work as assignment</v>
          </cell>
          <cell r="W129" t="str">
            <v>Not really good</v>
          </cell>
          <cell r="X129" t="str">
            <v>Reduce distractions</v>
          </cell>
          <cell r="Y129" t="str">
            <v>She needs to focus more on her work to keep up the schedule</v>
          </cell>
          <cell r="Z129">
            <v>4</v>
          </cell>
          <cell r="AA129">
            <v>5</v>
          </cell>
          <cell r="AB129">
            <v>4</v>
          </cell>
          <cell r="AC129">
            <v>4</v>
          </cell>
          <cell r="AD129">
            <v>4</v>
          </cell>
          <cell r="AE129">
            <v>4</v>
          </cell>
          <cell r="AG129" t="str">
            <v>N/A</v>
          </cell>
        </row>
        <row r="130">
          <cell r="B130" t="str">
            <v>Nguyen Thu Huyen</v>
          </cell>
          <cell r="Z130">
            <v>1</v>
          </cell>
          <cell r="AA130">
            <v>1</v>
          </cell>
          <cell r="AB130">
            <v>1</v>
          </cell>
          <cell r="AC130">
            <v>1</v>
          </cell>
          <cell r="AD130">
            <v>1</v>
          </cell>
          <cell r="AE130">
            <v>1</v>
          </cell>
          <cell r="AG130" t="str">
            <v>No comment</v>
          </cell>
        </row>
        <row r="131">
          <cell r="B131" t="str">
            <v>Nguyen Thu Huyen</v>
          </cell>
          <cell r="E131">
            <v>5</v>
          </cell>
          <cell r="F131">
            <v>5</v>
          </cell>
          <cell r="G131">
            <v>5</v>
          </cell>
          <cell r="H131">
            <v>5</v>
          </cell>
          <cell r="I131">
            <v>5</v>
          </cell>
          <cell r="J131">
            <v>5</v>
          </cell>
          <cell r="P131">
            <v>5</v>
          </cell>
          <cell r="Q131">
            <v>5</v>
          </cell>
          <cell r="R131">
            <v>5</v>
          </cell>
          <cell r="T131" t="str">
            <v>Cởi mở  hiền lành  dễ mến  dễ chia sẻ và tích cực trong cả công việc lẫn cuộc sống</v>
          </cell>
          <cell r="U131" t="str">
            <v>Tích cực xây dựng và hoàn thành công việc</v>
          </cell>
          <cell r="V131" t="str">
            <v xml:space="preserve">Chăm chỉ  nhiệt tình và có cố gắng </v>
          </cell>
          <cell r="W131" t="str">
            <v xml:space="preserve">Chưa được sử dụng nhiều  đa số là đang sử dụng những kinh nghiệm vốn có để làm việc </v>
          </cell>
          <cell r="X131" t="str">
            <v xml:space="preserve">Không có </v>
          </cell>
          <cell r="Y131" t="str">
            <v xml:space="preserve">Tích cực gắn kết mọi người trong team hơn để có thể tạo được 1 môi trường làm việc năng động hơn, nhiều thông tin hơn được chia sẻ, kết quả làm việc sẽ được nâng cao hơn về mặt số lượng cũng như chất lượng. </v>
          </cell>
          <cell r="Z131">
            <v>5</v>
          </cell>
          <cell r="AA131">
            <v>5</v>
          </cell>
          <cell r="AB131">
            <v>5</v>
          </cell>
          <cell r="AC131">
            <v>5</v>
          </cell>
          <cell r="AD131">
            <v>5</v>
          </cell>
          <cell r="AE131">
            <v>5</v>
          </cell>
          <cell r="AG131" t="str">
            <v>không có</v>
          </cell>
        </row>
        <row r="132">
          <cell r="B132" t="str">
            <v>Nguyen Van Duong</v>
          </cell>
          <cell r="Z132">
            <v>4</v>
          </cell>
          <cell r="AA132">
            <v>5</v>
          </cell>
          <cell r="AB132">
            <v>4</v>
          </cell>
          <cell r="AC132">
            <v>5</v>
          </cell>
          <cell r="AD132">
            <v>5</v>
          </cell>
          <cell r="AE132">
            <v>5</v>
          </cell>
          <cell r="AG132" t="str">
            <v>Anh Đường là một người nhiệt tình và quan tâm đến đồng nghiệp. Anh rất hay giúp đỡ mọi người từ công việc như giải thích cho em những điều chưa hiểu về function wifi  rất có tâm (mặc dù khác dự án) đến những điều nhỏ nhặt khác như dán kính cường lực cho em. Anh chuẩn là một người anh tốt ạ</v>
          </cell>
        </row>
        <row r="133">
          <cell r="B133" t="str">
            <v>Nguyen Van Duong</v>
          </cell>
          <cell r="E133">
            <v>5</v>
          </cell>
          <cell r="F133">
            <v>5</v>
          </cell>
          <cell r="G133">
            <v>5</v>
          </cell>
          <cell r="H133">
            <v>5</v>
          </cell>
          <cell r="I133">
            <v>5</v>
          </cell>
          <cell r="J133">
            <v>5</v>
          </cell>
          <cell r="P133">
            <v>5</v>
          </cell>
          <cell r="Q133">
            <v>5</v>
          </cell>
          <cell r="R133">
            <v>5</v>
          </cell>
          <cell r="T133" t="str">
            <v>friendly</v>
          </cell>
          <cell r="U133" t="str">
            <v>good</v>
          </cell>
          <cell r="V133" t="str">
            <v>hard-working</v>
          </cell>
          <cell r="W133" t="str">
            <v>good</v>
          </cell>
          <cell r="X133" t="str">
            <v>no need</v>
          </cell>
          <cell r="Y133" t="str">
            <v>no need</v>
          </cell>
          <cell r="Z133">
            <v>5</v>
          </cell>
          <cell r="AA133">
            <v>5</v>
          </cell>
          <cell r="AB133">
            <v>5</v>
          </cell>
          <cell r="AC133">
            <v>5</v>
          </cell>
          <cell r="AD133">
            <v>5</v>
          </cell>
          <cell r="AE133">
            <v>5</v>
          </cell>
          <cell r="AG133" t="str">
            <v>team work very good, enthusiastic</v>
          </cell>
        </row>
        <row r="134">
          <cell r="B134" t="str">
            <v>Nguyen Van Duong</v>
          </cell>
          <cell r="E134">
            <v>5</v>
          </cell>
          <cell r="F134">
            <v>5</v>
          </cell>
          <cell r="G134">
            <v>5</v>
          </cell>
          <cell r="H134">
            <v>5</v>
          </cell>
          <cell r="I134">
            <v>5</v>
          </cell>
          <cell r="J134">
            <v>5</v>
          </cell>
          <cell r="P134">
            <v>5</v>
          </cell>
          <cell r="Q134">
            <v>5</v>
          </cell>
          <cell r="R134">
            <v>5</v>
          </cell>
          <cell r="T134" t="str">
            <v>Friendly</v>
          </cell>
          <cell r="U134" t="str">
            <v>Good</v>
          </cell>
          <cell r="V134" t="str">
            <v>Positive</v>
          </cell>
          <cell r="W134" t="str">
            <v>Creative</v>
          </cell>
          <cell r="X134" t="str">
            <v>Nothing</v>
          </cell>
          <cell r="Y134" t="str">
            <v>Nothing</v>
          </cell>
          <cell r="Z134">
            <v>5</v>
          </cell>
          <cell r="AA134">
            <v>5</v>
          </cell>
          <cell r="AB134">
            <v>5</v>
          </cell>
          <cell r="AC134">
            <v>5</v>
          </cell>
          <cell r="AD134">
            <v>5</v>
          </cell>
          <cell r="AE134">
            <v>5</v>
          </cell>
          <cell r="AG134" t="str">
            <v>He is friendly and willing to help people</v>
          </cell>
        </row>
        <row r="135">
          <cell r="B135" t="str">
            <v>Pham Thi Duyen</v>
          </cell>
          <cell r="E135">
            <v>5</v>
          </cell>
          <cell r="F135">
            <v>5</v>
          </cell>
          <cell r="G135">
            <v>4</v>
          </cell>
          <cell r="H135">
            <v>5</v>
          </cell>
          <cell r="I135">
            <v>5</v>
          </cell>
          <cell r="J135">
            <v>5</v>
          </cell>
          <cell r="P135">
            <v>5</v>
          </cell>
          <cell r="Q135">
            <v>5</v>
          </cell>
          <cell r="R135">
            <v>4</v>
          </cell>
          <cell r="T135" t="str">
            <v>good</v>
          </cell>
          <cell r="U135" t="str">
            <v xml:space="preserve">good and sometimes she support other member </v>
          </cell>
          <cell r="V135" t="str">
            <v>good</v>
          </cell>
          <cell r="W135" t="str">
            <v>good</v>
          </cell>
          <cell r="X135" t="str">
            <v>N/A</v>
          </cell>
          <cell r="Y135" t="str">
            <v>N/A</v>
          </cell>
          <cell r="Z135">
            <v>5</v>
          </cell>
          <cell r="AA135">
            <v>5</v>
          </cell>
          <cell r="AB135">
            <v>4</v>
          </cell>
          <cell r="AC135">
            <v>5</v>
          </cell>
          <cell r="AD135">
            <v>5</v>
          </cell>
          <cell r="AE135">
            <v>5</v>
          </cell>
          <cell r="AG135" t="str">
            <v>N/A</v>
          </cell>
        </row>
        <row r="136">
          <cell r="B136" t="str">
            <v>Pham Thi Duyen</v>
          </cell>
          <cell r="Z136">
            <v>5</v>
          </cell>
          <cell r="AA136">
            <v>4</v>
          </cell>
          <cell r="AB136">
            <v>5</v>
          </cell>
          <cell r="AC136">
            <v>5</v>
          </cell>
          <cell r="AD136">
            <v>5</v>
          </cell>
          <cell r="AE136">
            <v>5</v>
          </cell>
          <cell r="AG136" t="str">
            <v>Thân thiện, hòa đồng, supportive</v>
          </cell>
        </row>
        <row r="137">
          <cell r="B137" t="str">
            <v>Pham Thi Duyen</v>
          </cell>
          <cell r="E137">
            <v>5</v>
          </cell>
          <cell r="F137">
            <v>4</v>
          </cell>
          <cell r="G137">
            <v>5</v>
          </cell>
          <cell r="H137">
            <v>4</v>
          </cell>
          <cell r="I137">
            <v>5</v>
          </cell>
          <cell r="J137">
            <v>4</v>
          </cell>
          <cell r="P137">
            <v>4</v>
          </cell>
          <cell r="Q137">
            <v>5</v>
          </cell>
          <cell r="R137">
            <v>4</v>
          </cell>
          <cell r="T137" t="str">
            <v>She is friendly  responsible and hard working</v>
          </cell>
          <cell r="U137" t="str">
            <v>She is always try to accomplish her task ontime</v>
          </cell>
          <cell r="V137" t="str">
            <v>Work hard and support other members enthusiastically</v>
          </cell>
          <cell r="W137" t="str">
            <v>She works well and has good idea to resolve issue</v>
          </cell>
          <cell r="X137" t="str">
            <v>Nothing</v>
          </cell>
          <cell r="Y137" t="str">
            <v>She should improve the management skill</v>
          </cell>
          <cell r="Z137">
            <v>4</v>
          </cell>
          <cell r="AA137">
            <v>4</v>
          </cell>
          <cell r="AB137">
            <v>4</v>
          </cell>
          <cell r="AC137">
            <v>5</v>
          </cell>
          <cell r="AD137">
            <v>5</v>
          </cell>
          <cell r="AE137">
            <v>5</v>
          </cell>
          <cell r="AG137" t="str">
            <v>Nothing</v>
          </cell>
        </row>
        <row r="138">
          <cell r="B138" t="str">
            <v>Pham Thi Thuy</v>
          </cell>
          <cell r="E138">
            <v>5</v>
          </cell>
          <cell r="F138">
            <v>5</v>
          </cell>
          <cell r="G138">
            <v>5</v>
          </cell>
          <cell r="H138">
            <v>5</v>
          </cell>
          <cell r="I138">
            <v>5</v>
          </cell>
          <cell r="J138">
            <v>5</v>
          </cell>
          <cell r="P138">
            <v>5</v>
          </cell>
          <cell r="Q138">
            <v>5</v>
          </cell>
          <cell r="R138">
            <v>5</v>
          </cell>
          <cell r="T138" t="str">
            <v>Helpful  willing to support</v>
          </cell>
          <cell r="U138" t="str">
            <v>focus on target</v>
          </cell>
          <cell r="V138" t="str">
            <v>Enthusiastic  carefully</v>
          </cell>
          <cell r="W138" t="str">
            <v>Proactive</v>
          </cell>
          <cell r="X138" t="str">
            <v>nothing</v>
          </cell>
          <cell r="Y138" t="str">
            <v>Sharing knowledge and advice after she understood well other members and their issue</v>
          </cell>
          <cell r="Z138">
            <v>5</v>
          </cell>
          <cell r="AA138">
            <v>5</v>
          </cell>
          <cell r="AB138">
            <v>5</v>
          </cell>
          <cell r="AC138">
            <v>5</v>
          </cell>
          <cell r="AD138">
            <v>5</v>
          </cell>
          <cell r="AE138">
            <v>5</v>
          </cell>
          <cell r="AG138" t="str">
            <v>She is a good co-worker, good leader</v>
          </cell>
        </row>
        <row r="139">
          <cell r="B139" t="str">
            <v>Pham Thi Thuy</v>
          </cell>
          <cell r="Z139">
            <v>4</v>
          </cell>
          <cell r="AA139">
            <v>4</v>
          </cell>
          <cell r="AB139">
            <v>4</v>
          </cell>
          <cell r="AC139">
            <v>4</v>
          </cell>
          <cell r="AD139">
            <v>4</v>
          </cell>
          <cell r="AE139">
            <v>4</v>
          </cell>
          <cell r="AG139" t="str">
            <v>She seems to be not ready for management tasks</v>
          </cell>
        </row>
        <row r="140">
          <cell r="B140" t="str">
            <v>Pham Thi Thuy</v>
          </cell>
          <cell r="Z140">
            <v>5</v>
          </cell>
          <cell r="AA140">
            <v>5</v>
          </cell>
          <cell r="AB140">
            <v>5</v>
          </cell>
          <cell r="AC140">
            <v>5</v>
          </cell>
          <cell r="AD140">
            <v>5</v>
          </cell>
          <cell r="AE140">
            <v>5</v>
          </cell>
          <cell r="AG140" t="str">
            <v>N/A</v>
          </cell>
        </row>
        <row r="141">
          <cell r="B141" t="str">
            <v>Than Thi Men</v>
          </cell>
          <cell r="E141">
            <v>5</v>
          </cell>
          <cell r="F141">
            <v>4</v>
          </cell>
          <cell r="G141">
            <v>5</v>
          </cell>
          <cell r="H141">
            <v>4</v>
          </cell>
          <cell r="I141">
            <v>5</v>
          </cell>
          <cell r="J141">
            <v>4</v>
          </cell>
          <cell r="P141">
            <v>5</v>
          </cell>
          <cell r="Q141">
            <v>4</v>
          </cell>
          <cell r="R141">
            <v>4</v>
          </cell>
          <cell r="T141" t="str">
            <v>Shes very kind</v>
          </cell>
          <cell r="U141" t="str">
            <v>Complete task on time</v>
          </cell>
          <cell r="V141" t="str">
            <v>Willing to support others</v>
          </cell>
          <cell r="W141" t="str">
            <v>N/A</v>
          </cell>
          <cell r="X141" t="str">
            <v>nothing</v>
          </cell>
          <cell r="Y141" t="str">
            <v>nothing</v>
          </cell>
          <cell r="Z141">
            <v>3</v>
          </cell>
          <cell r="AA141">
            <v>3</v>
          </cell>
          <cell r="AB141">
            <v>3</v>
          </cell>
          <cell r="AC141">
            <v>5</v>
          </cell>
          <cell r="AD141">
            <v>4</v>
          </cell>
          <cell r="AE141">
            <v>4</v>
          </cell>
          <cell r="AG141" t="str">
            <v>nothing</v>
          </cell>
        </row>
        <row r="142">
          <cell r="B142" t="str">
            <v>Than Thi Men</v>
          </cell>
          <cell r="Z142">
            <v>5</v>
          </cell>
          <cell r="AA142">
            <v>5</v>
          </cell>
          <cell r="AB142">
            <v>5</v>
          </cell>
          <cell r="AC142">
            <v>5</v>
          </cell>
          <cell r="AD142">
            <v>5</v>
          </cell>
          <cell r="AE142">
            <v>5</v>
          </cell>
          <cell r="AG142" t="str">
            <v>need strongly communication</v>
          </cell>
        </row>
        <row r="143">
          <cell r="B143" t="str">
            <v>Than Thi Men</v>
          </cell>
          <cell r="Z143">
            <v>5</v>
          </cell>
          <cell r="AA143">
            <v>5</v>
          </cell>
          <cell r="AB143">
            <v>5</v>
          </cell>
          <cell r="AC143">
            <v>5</v>
          </cell>
          <cell r="AD143">
            <v>5</v>
          </cell>
          <cell r="AE143">
            <v>5</v>
          </cell>
          <cell r="AG143" t="str">
            <v>she is very hardworking</v>
          </cell>
        </row>
        <row r="144">
          <cell r="B144" t="str">
            <v>To Thi Ha</v>
          </cell>
          <cell r="E144">
            <v>5</v>
          </cell>
          <cell r="F144">
            <v>5</v>
          </cell>
          <cell r="G144">
            <v>4</v>
          </cell>
          <cell r="H144">
            <v>5</v>
          </cell>
          <cell r="I144">
            <v>4</v>
          </cell>
          <cell r="J144">
            <v>4</v>
          </cell>
          <cell r="P144">
            <v>5</v>
          </cell>
          <cell r="Q144">
            <v>3</v>
          </cell>
          <cell r="R144">
            <v>5</v>
          </cell>
          <cell r="T144" t="str">
            <v>open-minded</v>
          </cell>
          <cell r="U144" t="str">
            <v>ontime</v>
          </cell>
          <cell r="V144" t="str">
            <v>positive</v>
          </cell>
          <cell r="W144" t="str">
            <v>Think and find effective method</v>
          </cell>
          <cell r="X144" t="str">
            <v>More delicate</v>
          </cell>
          <cell r="Y144" t="str">
            <v>Support other members</v>
          </cell>
          <cell r="Z144">
            <v>3</v>
          </cell>
          <cell r="AA144">
            <v>5</v>
          </cell>
          <cell r="AB144">
            <v>5</v>
          </cell>
          <cell r="AC144">
            <v>4</v>
          </cell>
          <cell r="AD144">
            <v>4</v>
          </cell>
          <cell r="AE144">
            <v>5</v>
          </cell>
          <cell r="AG144" t="str">
            <v>She is a friendly colleage</v>
          </cell>
        </row>
        <row r="145">
          <cell r="B145" t="str">
            <v>To Thi Ha</v>
          </cell>
          <cell r="E145">
            <v>4</v>
          </cell>
          <cell r="F145">
            <v>5</v>
          </cell>
          <cell r="G145">
            <v>5</v>
          </cell>
          <cell r="H145">
            <v>5</v>
          </cell>
          <cell r="I145">
            <v>4</v>
          </cell>
          <cell r="J145">
            <v>4</v>
          </cell>
          <cell r="P145">
            <v>4</v>
          </cell>
          <cell r="Q145">
            <v>4</v>
          </cell>
          <cell r="R145">
            <v>3</v>
          </cell>
          <cell r="T145" t="str">
            <v xml:space="preserve"> Sociable and fun for everyone</v>
          </cell>
          <cell r="U145" t="str">
            <v>Well done</v>
          </cell>
          <cell r="V145" t="str">
            <v>be straightforward and express personal opinions</v>
          </cell>
          <cell r="W145" t="str">
            <v>There are quite a few ideas</v>
          </cell>
          <cell r="X145" t="str">
            <v>reduce frankness when talking to people</v>
          </cell>
          <cell r="Y145" t="str">
            <v>increased humor</v>
          </cell>
          <cell r="Z145">
            <v>4</v>
          </cell>
          <cell r="AA145">
            <v>4</v>
          </cell>
          <cell r="AB145">
            <v>4</v>
          </cell>
          <cell r="AC145">
            <v>4</v>
          </cell>
          <cell r="AD145">
            <v>4</v>
          </cell>
          <cell r="AE145">
            <v>5</v>
          </cell>
          <cell r="AG145" t="str">
            <v>reduce bluntness when talking</v>
          </cell>
        </row>
        <row r="146">
          <cell r="B146" t="str">
            <v>To Thi Van Anh</v>
          </cell>
          <cell r="E146">
            <v>5</v>
          </cell>
          <cell r="F146">
            <v>5</v>
          </cell>
          <cell r="G146">
            <v>5</v>
          </cell>
          <cell r="H146">
            <v>4</v>
          </cell>
          <cell r="I146">
            <v>5</v>
          </cell>
          <cell r="J146">
            <v>5</v>
          </cell>
          <cell r="P146">
            <v>5</v>
          </cell>
          <cell r="Q146">
            <v>4</v>
          </cell>
          <cell r="R146">
            <v>5</v>
          </cell>
          <cell r="T146" t="str">
            <v>Intelligent  Logical</v>
          </cell>
          <cell r="U146" t="str">
            <v>good</v>
          </cell>
          <cell r="V146" t="str">
            <v>good</v>
          </cell>
          <cell r="W146" t="str">
            <v>have good idea</v>
          </cell>
          <cell r="X146" t="str">
            <v>n/a</v>
          </cell>
          <cell r="Y146" t="str">
            <v>n/a</v>
          </cell>
          <cell r="Z146">
            <v>5</v>
          </cell>
          <cell r="AA146">
            <v>4</v>
          </cell>
          <cell r="AB146">
            <v>5</v>
          </cell>
          <cell r="AC146">
            <v>5</v>
          </cell>
          <cell r="AD146">
            <v>5</v>
          </cell>
          <cell r="AE146">
            <v>5</v>
          </cell>
          <cell r="AG146" t="str">
            <v>n/a</v>
          </cell>
        </row>
        <row r="147">
          <cell r="B147" t="str">
            <v>To Thi Van Anh</v>
          </cell>
          <cell r="E147">
            <v>5</v>
          </cell>
          <cell r="F147">
            <v>3</v>
          </cell>
          <cell r="G147">
            <v>5</v>
          </cell>
          <cell r="H147">
            <v>5</v>
          </cell>
          <cell r="I147">
            <v>4</v>
          </cell>
          <cell r="J147">
            <v>5</v>
          </cell>
          <cell r="P147">
            <v>4</v>
          </cell>
          <cell r="Q147">
            <v>4</v>
          </cell>
          <cell r="R147">
            <v>4</v>
          </cell>
          <cell r="T147" t="str">
            <v>friendly  hardworking</v>
          </cell>
          <cell r="U147" t="str">
            <v>Good</v>
          </cell>
          <cell r="V147" t="str">
            <v>Very good</v>
          </cell>
          <cell r="W147" t="str">
            <v>Good</v>
          </cell>
          <cell r="X147" t="str">
            <v>NA</v>
          </cell>
          <cell r="Y147" t="str">
            <v xml:space="preserve">she should more open </v>
          </cell>
          <cell r="Z147">
            <v>5</v>
          </cell>
          <cell r="AA147">
            <v>4</v>
          </cell>
          <cell r="AB147">
            <v>4</v>
          </cell>
          <cell r="AC147">
            <v>4</v>
          </cell>
          <cell r="AD147">
            <v>4</v>
          </cell>
          <cell r="AE147">
            <v>3</v>
          </cell>
          <cell r="AG147" t="str">
            <v>Excellent to work with her</v>
          </cell>
        </row>
        <row r="148">
          <cell r="B148" t="str">
            <v>To Thi Van Anh</v>
          </cell>
          <cell r="Z148">
            <v>5</v>
          </cell>
          <cell r="AA148">
            <v>4</v>
          </cell>
          <cell r="AB148">
            <v>5</v>
          </cell>
          <cell r="AC148">
            <v>5</v>
          </cell>
          <cell r="AD148">
            <v>5</v>
          </cell>
          <cell r="AE148">
            <v>5</v>
          </cell>
          <cell r="AG148" t="str">
            <v>She is good at all</v>
          </cell>
        </row>
        <row r="149">
          <cell r="B149" t="str">
            <v>To Thi Van Anh</v>
          </cell>
          <cell r="E149">
            <v>5</v>
          </cell>
          <cell r="F149">
            <v>5</v>
          </cell>
          <cell r="G149">
            <v>5</v>
          </cell>
          <cell r="H149">
            <v>5</v>
          </cell>
          <cell r="I149">
            <v>5</v>
          </cell>
          <cell r="J149">
            <v>5</v>
          </cell>
          <cell r="P149">
            <v>5</v>
          </cell>
          <cell r="Q149">
            <v>5</v>
          </cell>
          <cell r="R149">
            <v>5</v>
          </cell>
          <cell r="T149" t="str">
            <v>Sáng tạo  cẩn thận và trách nhiệm cao trong công việc</v>
          </cell>
          <cell r="U149" t="str">
            <v>tốt</v>
          </cell>
          <cell r="V149" t="str">
            <v>tốt</v>
          </cell>
          <cell r="W149" t="str">
            <v>tốt</v>
          </cell>
          <cell r="X149" t="str">
            <v>N/A</v>
          </cell>
          <cell r="Y149" t="str">
            <v>N/A</v>
          </cell>
          <cell r="Z149">
            <v>5</v>
          </cell>
          <cell r="AA149">
            <v>5</v>
          </cell>
          <cell r="AB149">
            <v>5</v>
          </cell>
          <cell r="AC149">
            <v>5</v>
          </cell>
          <cell r="AD149">
            <v>5</v>
          </cell>
          <cell r="AE149">
            <v>5</v>
          </cell>
          <cell r="AG149" t="str">
            <v>Sáng tạo, cẩn thận và trách nhiệm cao trong công việc</v>
          </cell>
        </row>
        <row r="150">
          <cell r="B150" t="str">
            <v>To Thi Van Anh</v>
          </cell>
          <cell r="E150">
            <v>5</v>
          </cell>
          <cell r="F150">
            <v>4</v>
          </cell>
          <cell r="G150">
            <v>5</v>
          </cell>
          <cell r="H150">
            <v>5</v>
          </cell>
          <cell r="I150">
            <v>4</v>
          </cell>
          <cell r="J150">
            <v>5</v>
          </cell>
          <cell r="P150">
            <v>4</v>
          </cell>
          <cell r="Q150">
            <v>4</v>
          </cell>
          <cell r="R150">
            <v>4</v>
          </cell>
          <cell r="T150" t="str">
            <v>Lạnh lùng và nghiêm nghị  cứng nhắc  thẳng tính</v>
          </cell>
          <cell r="U150" t="str">
            <v>Luôn luôn thấy cố gắng để hoàn thành công việc một cách hoàn hảo nhất</v>
          </cell>
          <cell r="V150" t="str">
            <v>Tập trung  quyết đoán  luôn hướng tới sự hoàn mĩ</v>
          </cell>
          <cell r="W150" t="str">
            <v xml:space="preserve">Chưa được sử dụng nhiều  đa số là đang sử dụng những kinh nghiệm vốn có để làm việc </v>
          </cell>
          <cell r="X150" t="str">
            <v xml:space="preserve">Bớt nghiêm khắc vì nó khiến người đối diện cảm thấy khó gấn, khó chia sẻ và tạo áp lực khi làm việc </v>
          </cell>
          <cell r="Y150" t="str">
            <v xml:space="preserve">Năng nổ giao tiếp và chia sẻ nhiều hơn để các member và team có thể gắn bó với nhau hơn, vì người leader trong team rất là quan trọng, 
bên cạnh việc hoàn thành các công việc của project 1 cách tốt nhất thì vẫn cần việc thúc đẩy giao tiếp chia sẻ các thông tin về dự án cũng như kinh nghiệm giữa các thành viên. 
Hạn chế được việc mỗi ng làm 1 một việc, k liên quan gì đến nhau, cũng không chia sẻ, nói chuyện để trao đổi những vấn đề, khó khăn và cách giải quyết chúng,.... 
Hi vọng c có thể làm cho team gắn kết như một thể thống nhất hơn. 
Bên cạnh đó nó cũng khá tốt cho các bạn mới vào để các bạn đỡ thấy lạc lõng và xa lạ với team. Việc training và truyền tải thông tin cũng tốt hơn. </v>
          </cell>
          <cell r="Z150">
            <v>5</v>
          </cell>
          <cell r="AA150">
            <v>3</v>
          </cell>
          <cell r="AB150">
            <v>4</v>
          </cell>
          <cell r="AC150">
            <v>4</v>
          </cell>
          <cell r="AD150">
            <v>4</v>
          </cell>
          <cell r="AE150">
            <v>4</v>
          </cell>
          <cell r="AG150" t="str">
            <v>Không có</v>
          </cell>
        </row>
        <row r="151">
          <cell r="B151" t="str">
            <v>Tran Manh Cuong</v>
          </cell>
          <cell r="E151">
            <v>5</v>
          </cell>
          <cell r="F151">
            <v>5</v>
          </cell>
          <cell r="G151">
            <v>5</v>
          </cell>
          <cell r="H151">
            <v>5</v>
          </cell>
          <cell r="I151">
            <v>5</v>
          </cell>
          <cell r="J151">
            <v>5</v>
          </cell>
          <cell r="P151">
            <v>5</v>
          </cell>
          <cell r="Q151">
            <v>5</v>
          </cell>
          <cell r="R151">
            <v>5</v>
          </cell>
          <cell r="T151" t="str">
            <v>He is open-minded  sociable  funny</v>
          </cell>
          <cell r="U151" t="str">
            <v>He always completes work on time</v>
          </cell>
          <cell r="V151" t="str">
            <v>He is always serious at work</v>
          </cell>
          <cell r="W151" t="str">
            <v>He has creativity</v>
          </cell>
          <cell r="X151" t="str">
            <v>N/A</v>
          </cell>
          <cell r="Y151" t="str">
            <v>N/A</v>
          </cell>
          <cell r="Z151">
            <v>5</v>
          </cell>
          <cell r="AA151">
            <v>5</v>
          </cell>
          <cell r="AB151">
            <v>5</v>
          </cell>
          <cell r="AC151">
            <v>5</v>
          </cell>
          <cell r="AD151">
            <v>5</v>
          </cell>
          <cell r="AE151">
            <v>5</v>
          </cell>
          <cell r="AG151" t="str">
            <v>N/A</v>
          </cell>
        </row>
        <row r="152">
          <cell r="B152" t="str">
            <v>Tran Manh Cuong</v>
          </cell>
          <cell r="E152">
            <v>5</v>
          </cell>
          <cell r="F152">
            <v>4</v>
          </cell>
          <cell r="G152">
            <v>4</v>
          </cell>
          <cell r="H152">
            <v>4</v>
          </cell>
          <cell r="I152">
            <v>4</v>
          </cell>
          <cell r="J152">
            <v>5</v>
          </cell>
          <cell r="P152">
            <v>4</v>
          </cell>
          <cell r="Q152">
            <v>5</v>
          </cell>
          <cell r="R152">
            <v>4</v>
          </cell>
          <cell r="T152" t="str">
            <v>tốt bụng  luôn support  giúp đỡ mọi người</v>
          </cell>
          <cell r="U152" t="str">
            <v>có ý thức hoàn thành tốt và có trách nhiệm với công việc  nhưng thỉnh thoàng bị miss task</v>
          </cell>
          <cell r="V152" t="str">
            <v>luôn tìm tòi kiến thức mới  tư duy  logic tốt  đôi khi thờ ơ với công việc</v>
          </cell>
          <cell r="W152" t="str">
            <v>không linh hoạt lắm</v>
          </cell>
          <cell r="X152" t="str">
            <v>have no idea</v>
          </cell>
          <cell r="Y152" t="str">
            <v>nhiệt huyết với công việc hơn</v>
          </cell>
          <cell r="Z152">
            <v>5</v>
          </cell>
          <cell r="AA152">
            <v>4</v>
          </cell>
          <cell r="AB152">
            <v>3</v>
          </cell>
          <cell r="AC152">
            <v>5</v>
          </cell>
          <cell r="AD152">
            <v>5</v>
          </cell>
          <cell r="AE152">
            <v>4</v>
          </cell>
          <cell r="AG152" t="str">
            <v>nên nhiệt huyết với công việc hơn, tự tin đưa ra ý kiến của mình</v>
          </cell>
        </row>
        <row r="153">
          <cell r="B153" t="str">
            <v>Tran Manh Cuong</v>
          </cell>
          <cell r="Z153">
            <v>5</v>
          </cell>
          <cell r="AA153">
            <v>5</v>
          </cell>
          <cell r="AB153">
            <v>4</v>
          </cell>
          <cell r="AC153">
            <v>5</v>
          </cell>
          <cell r="AD153">
            <v>5</v>
          </cell>
          <cell r="AE153">
            <v>5</v>
          </cell>
          <cell r="AG153" t="str">
            <v>need strongly communication, more proactive</v>
          </cell>
        </row>
        <row r="154">
          <cell r="B154" t="str">
            <v>Tran Thi Ha Chinh</v>
          </cell>
          <cell r="E154">
            <v>5</v>
          </cell>
          <cell r="F154">
            <v>5</v>
          </cell>
          <cell r="G154">
            <v>5</v>
          </cell>
          <cell r="H154">
            <v>5</v>
          </cell>
          <cell r="I154">
            <v>5</v>
          </cell>
          <cell r="J154">
            <v>5</v>
          </cell>
          <cell r="P154">
            <v>4</v>
          </cell>
          <cell r="Q154">
            <v>5</v>
          </cell>
          <cell r="R154">
            <v>5</v>
          </cell>
          <cell r="T154" t="str">
            <v>optimistic</v>
          </cell>
          <cell r="U154" t="str">
            <v xml:space="preserve">work adequately as assignment  </v>
          </cell>
          <cell r="V154" t="str">
            <v>good</v>
          </cell>
          <cell r="W154" t="str">
            <v>have idea resolve problem</v>
          </cell>
          <cell r="X154" t="str">
            <v>n/a</v>
          </cell>
          <cell r="Y154" t="str">
            <v>n/a</v>
          </cell>
          <cell r="Z154">
            <v>4</v>
          </cell>
          <cell r="AA154">
            <v>5</v>
          </cell>
          <cell r="AB154">
            <v>5</v>
          </cell>
          <cell r="AC154">
            <v>4</v>
          </cell>
          <cell r="AD154">
            <v>5</v>
          </cell>
          <cell r="AE154">
            <v>5</v>
          </cell>
          <cell r="AG154" t="str">
            <v>n/a</v>
          </cell>
        </row>
        <row r="155">
          <cell r="B155" t="str">
            <v>Tran Thi Ha Chinh</v>
          </cell>
          <cell r="Z155">
            <v>5</v>
          </cell>
          <cell r="AA155">
            <v>5</v>
          </cell>
          <cell r="AB155">
            <v>5</v>
          </cell>
          <cell r="AC155">
            <v>5</v>
          </cell>
          <cell r="AD155">
            <v>5</v>
          </cell>
          <cell r="AE155">
            <v>5</v>
          </cell>
          <cell r="AG155" t="str">
            <v>NA</v>
          </cell>
        </row>
        <row r="156">
          <cell r="B156" t="str">
            <v>Tran Thi Ha Chinh</v>
          </cell>
          <cell r="Z156">
            <v>1</v>
          </cell>
          <cell r="AA156">
            <v>1</v>
          </cell>
          <cell r="AB156">
            <v>1</v>
          </cell>
          <cell r="AC156">
            <v>1</v>
          </cell>
          <cell r="AD156">
            <v>1</v>
          </cell>
          <cell r="AE156">
            <v>1</v>
          </cell>
          <cell r="AG156" t="str">
            <v>N/A</v>
          </cell>
        </row>
        <row r="157">
          <cell r="B157" t="str">
            <v>Tran Thi Hien</v>
          </cell>
          <cell r="Z157">
            <v>4</v>
          </cell>
          <cell r="AA157">
            <v>4</v>
          </cell>
          <cell r="AB157">
            <v>4</v>
          </cell>
          <cell r="AC157">
            <v>3</v>
          </cell>
          <cell r="AD157">
            <v>4</v>
          </cell>
          <cell r="AE157">
            <v>4</v>
          </cell>
          <cell r="AF157" t="str">
            <v>Chưa làm việc cùng nên rất khó đánh giá (nên hầu hết để ở 4*), tuy nhiên có 1 vài ý kiến đóng góp từ những người đã làm việc cùng nên có 3*</v>
          </cell>
          <cell r="AG157" t="str">
            <v>None</v>
          </cell>
        </row>
        <row r="158">
          <cell r="B158" t="str">
            <v>Tran Thi Hien</v>
          </cell>
          <cell r="E158">
            <v>5</v>
          </cell>
          <cell r="F158">
            <v>5</v>
          </cell>
          <cell r="G158">
            <v>5</v>
          </cell>
          <cell r="H158">
            <v>5</v>
          </cell>
          <cell r="I158">
            <v>5</v>
          </cell>
          <cell r="J158">
            <v>5</v>
          </cell>
          <cell r="P158">
            <v>5</v>
          </cell>
          <cell r="Q158">
            <v>5</v>
          </cell>
          <cell r="R158">
            <v>5</v>
          </cell>
          <cell r="T158" t="str">
            <v>Openness</v>
          </cell>
          <cell r="U158" t="str">
            <v>On time</v>
          </cell>
          <cell r="V158" t="str">
            <v>A Strong Work Ethic</v>
          </cell>
          <cell r="W158" t="str">
            <v>Making connections</v>
          </cell>
          <cell r="X158" t="str">
            <v>keep up</v>
          </cell>
          <cell r="Y158" t="str">
            <v>keep up</v>
          </cell>
          <cell r="Z158">
            <v>5</v>
          </cell>
          <cell r="AA158">
            <v>5</v>
          </cell>
          <cell r="AB158">
            <v>5</v>
          </cell>
          <cell r="AC158">
            <v>5</v>
          </cell>
          <cell r="AD158">
            <v>5</v>
          </cell>
          <cell r="AE158">
            <v>5</v>
          </cell>
          <cell r="AG158" t="str">
            <v>she is good listener and always willing to help each other</v>
          </cell>
        </row>
        <row r="159">
          <cell r="B159" t="str">
            <v>Tran Thi Hien</v>
          </cell>
          <cell r="Z159">
            <v>5</v>
          </cell>
          <cell r="AA159">
            <v>5</v>
          </cell>
          <cell r="AB159">
            <v>5</v>
          </cell>
          <cell r="AC159">
            <v>5</v>
          </cell>
          <cell r="AD159">
            <v>5</v>
          </cell>
          <cell r="AE159">
            <v>5</v>
          </cell>
          <cell r="AG159" t="str">
            <v>N/A</v>
          </cell>
        </row>
        <row r="160">
          <cell r="B160" t="str">
            <v>Tran Thi Huyen Trang</v>
          </cell>
          <cell r="E160">
            <v>5</v>
          </cell>
          <cell r="F160">
            <v>5</v>
          </cell>
          <cell r="G160">
            <v>5</v>
          </cell>
          <cell r="H160">
            <v>5</v>
          </cell>
          <cell r="I160">
            <v>5</v>
          </cell>
          <cell r="J160">
            <v>5</v>
          </cell>
          <cell r="P160">
            <v>5</v>
          </cell>
          <cell r="Q160">
            <v>5</v>
          </cell>
          <cell r="R160">
            <v>5</v>
          </cell>
          <cell r="T160" t="str">
            <v>Very Good</v>
          </cell>
          <cell r="U160" t="str">
            <v>Very Good</v>
          </cell>
          <cell r="V160" t="str">
            <v>Very Good</v>
          </cell>
          <cell r="W160" t="str">
            <v>Good</v>
          </cell>
          <cell r="X160" t="str">
            <v xml:space="preserve">less (unimportant) meeting </v>
          </cell>
          <cell r="Y160" t="str">
            <v>more (project technical) meeting</v>
          </cell>
          <cell r="Z160">
            <v>5</v>
          </cell>
          <cell r="AA160">
            <v>5</v>
          </cell>
          <cell r="AB160">
            <v>4</v>
          </cell>
          <cell r="AC160">
            <v>5</v>
          </cell>
          <cell r="AD160">
            <v>5</v>
          </cell>
          <cell r="AE160">
            <v>5</v>
          </cell>
          <cell r="AG160" t="str">
            <v>Her kids got sicks frequently, should prevent that better</v>
          </cell>
        </row>
        <row r="161">
          <cell r="B161" t="str">
            <v>Tran Thi Huyen Trang</v>
          </cell>
          <cell r="E161">
            <v>5</v>
          </cell>
          <cell r="F161">
            <v>5</v>
          </cell>
          <cell r="G161">
            <v>5</v>
          </cell>
          <cell r="H161">
            <v>5</v>
          </cell>
          <cell r="I161">
            <v>5</v>
          </cell>
          <cell r="J161">
            <v>5</v>
          </cell>
          <cell r="P161">
            <v>5</v>
          </cell>
          <cell r="Q161">
            <v>5</v>
          </cell>
          <cell r="R161">
            <v>5</v>
          </cell>
          <cell r="T161" t="str">
            <v>friendly  agressive</v>
          </cell>
          <cell r="U161" t="str">
            <v>complete on time</v>
          </cell>
          <cell r="V161" t="str">
            <v>serious  very good</v>
          </cell>
          <cell r="W161" t="str">
            <v>good</v>
          </cell>
          <cell r="X161" t="str">
            <v>NA</v>
          </cell>
          <cell r="Y161" t="str">
            <v>NA</v>
          </cell>
          <cell r="Z161">
            <v>5</v>
          </cell>
          <cell r="AA161">
            <v>5</v>
          </cell>
          <cell r="AB161">
            <v>5</v>
          </cell>
          <cell r="AC161">
            <v>5</v>
          </cell>
          <cell r="AD161">
            <v>5</v>
          </cell>
          <cell r="AE161">
            <v>5</v>
          </cell>
          <cell r="AG161" t="str">
            <v>NA</v>
          </cell>
        </row>
        <row r="162">
          <cell r="B162" t="str">
            <v>Tran Thi Huyen Trang</v>
          </cell>
          <cell r="E162">
            <v>4</v>
          </cell>
          <cell r="F162">
            <v>4</v>
          </cell>
          <cell r="G162">
            <v>4</v>
          </cell>
          <cell r="H162">
            <v>4</v>
          </cell>
          <cell r="I162">
            <v>4</v>
          </cell>
          <cell r="J162">
            <v>4</v>
          </cell>
          <cell r="P162">
            <v>4</v>
          </cell>
          <cell r="Q162">
            <v>4</v>
          </cell>
          <cell r="R162">
            <v>4</v>
          </cell>
          <cell r="T162" t="str">
            <v>nhiệt tình  trách nhiệm cao</v>
          </cell>
          <cell r="U162" t="str">
            <v>hoàn thành công việc được giao</v>
          </cell>
          <cell r="V162" t="str">
            <v>tốt</v>
          </cell>
          <cell r="W162" t="str">
            <v>có</v>
          </cell>
          <cell r="X162" t="str">
            <v>No</v>
          </cell>
          <cell r="Y162" t="str">
            <v>She's doing good</v>
          </cell>
          <cell r="Z162">
            <v>4</v>
          </cell>
          <cell r="AA162">
            <v>4</v>
          </cell>
          <cell r="AB162">
            <v>4</v>
          </cell>
          <cell r="AC162">
            <v>4</v>
          </cell>
          <cell r="AD162">
            <v>4</v>
          </cell>
          <cell r="AE162">
            <v>4</v>
          </cell>
          <cell r="AG162" t="str">
            <v>No</v>
          </cell>
        </row>
        <row r="163">
          <cell r="B163" t="str">
            <v>Tran Thi Huyen Trang</v>
          </cell>
          <cell r="E163">
            <v>5</v>
          </cell>
          <cell r="F163">
            <v>5</v>
          </cell>
          <cell r="G163">
            <v>5</v>
          </cell>
          <cell r="H163">
            <v>5</v>
          </cell>
          <cell r="I163">
            <v>5</v>
          </cell>
          <cell r="J163">
            <v>5</v>
          </cell>
          <cell r="P163">
            <v>4</v>
          </cell>
          <cell r="Q163">
            <v>4</v>
          </cell>
          <cell r="R163">
            <v>5</v>
          </cell>
          <cell r="T163" t="str">
            <v>enthusiasm</v>
          </cell>
          <cell r="U163" t="str">
            <v>Good</v>
          </cell>
          <cell r="V163" t="str">
            <v>responsbility</v>
          </cell>
          <cell r="W163" t="str">
            <v>good</v>
          </cell>
          <cell r="X163" t="str">
            <v>none</v>
          </cell>
          <cell r="Y163" t="str">
            <v>none</v>
          </cell>
          <cell r="Z163">
            <v>1</v>
          </cell>
          <cell r="AA163">
            <v>1</v>
          </cell>
          <cell r="AB163">
            <v>1</v>
          </cell>
          <cell r="AC163">
            <v>1</v>
          </cell>
          <cell r="AD163">
            <v>1</v>
          </cell>
          <cell r="AE163">
            <v>1</v>
          </cell>
          <cell r="AG163" t="str">
            <v>NA</v>
          </cell>
        </row>
        <row r="164">
          <cell r="B164" t="str">
            <v>Tran Thi Huyen Trang</v>
          </cell>
          <cell r="E164">
            <v>5</v>
          </cell>
          <cell r="F164">
            <v>5</v>
          </cell>
          <cell r="G164">
            <v>5</v>
          </cell>
          <cell r="H164">
            <v>5</v>
          </cell>
          <cell r="I164">
            <v>5</v>
          </cell>
          <cell r="J164">
            <v>5</v>
          </cell>
          <cell r="P164">
            <v>5</v>
          </cell>
          <cell r="Q164">
            <v>5</v>
          </cell>
          <cell r="R164">
            <v>5</v>
          </cell>
          <cell r="T164" t="str">
            <v xml:space="preserve">She has a lot of experience that I can learn from. </v>
          </cell>
          <cell r="U164" t="str">
            <v xml:space="preserve">Always complete effective work and on time </v>
          </cell>
          <cell r="V164" t="str">
            <v>She is also a good listener and always willing to support others</v>
          </cell>
          <cell r="W164" t="str">
            <v>N/A</v>
          </cell>
          <cell r="X164" t="str">
            <v>N/A</v>
          </cell>
          <cell r="Y164" t="str">
            <v>Should be make meetings/ via mail to sharing issue &amp; how to resolve it to all member in team</v>
          </cell>
          <cell r="Z164">
            <v>5</v>
          </cell>
          <cell r="AA164">
            <v>5</v>
          </cell>
          <cell r="AB164">
            <v>5</v>
          </cell>
          <cell r="AC164">
            <v>5</v>
          </cell>
          <cell r="AD164">
            <v>5</v>
          </cell>
          <cell r="AE164">
            <v>5</v>
          </cell>
          <cell r="AG164" t="str">
            <v>N/A</v>
          </cell>
        </row>
        <row r="165">
          <cell r="B165" t="str">
            <v>Tran Thi Huyen Trang</v>
          </cell>
          <cell r="Z165">
            <v>5</v>
          </cell>
          <cell r="AA165">
            <v>4</v>
          </cell>
          <cell r="AB165">
            <v>5</v>
          </cell>
          <cell r="AC165">
            <v>5</v>
          </cell>
          <cell r="AD165">
            <v>5</v>
          </cell>
          <cell r="AE165">
            <v>5</v>
          </cell>
          <cell r="AG165" t="str">
            <v>No</v>
          </cell>
        </row>
        <row r="166">
          <cell r="B166" t="str">
            <v>Tran Thi Kim Duyen</v>
          </cell>
          <cell r="Z166">
            <v>4</v>
          </cell>
          <cell r="AA166">
            <v>4</v>
          </cell>
          <cell r="AB166">
            <v>4</v>
          </cell>
          <cell r="AC166">
            <v>4</v>
          </cell>
          <cell r="AD166">
            <v>5</v>
          </cell>
          <cell r="AE166">
            <v>5</v>
          </cell>
          <cell r="AG166" t="str">
            <v>NA</v>
          </cell>
        </row>
        <row r="167">
          <cell r="B167" t="str">
            <v>Tran Thi Kim Duyen</v>
          </cell>
          <cell r="E167">
            <v>5</v>
          </cell>
          <cell r="F167">
            <v>5</v>
          </cell>
          <cell r="G167">
            <v>5</v>
          </cell>
          <cell r="H167">
            <v>5</v>
          </cell>
          <cell r="I167">
            <v>5</v>
          </cell>
          <cell r="J167">
            <v>5</v>
          </cell>
          <cell r="P167">
            <v>5</v>
          </cell>
          <cell r="Q167">
            <v>5</v>
          </cell>
          <cell r="R167">
            <v>5</v>
          </cell>
          <cell r="T167" t="str">
            <v xml:space="preserve">Shes kind  nice  hard working </v>
          </cell>
          <cell r="U167" t="str">
            <v>On time</v>
          </cell>
          <cell r="V167" t="str">
            <v>High resposibility in work</v>
          </cell>
          <cell r="W167" t="str">
            <v>Creativity in work</v>
          </cell>
          <cell r="X167" t="str">
            <v>No</v>
          </cell>
          <cell r="Y167" t="str">
            <v>- No</v>
          </cell>
          <cell r="Z167">
            <v>4</v>
          </cell>
          <cell r="AA167">
            <v>4</v>
          </cell>
          <cell r="AB167">
            <v>4</v>
          </cell>
          <cell r="AC167">
            <v>4</v>
          </cell>
          <cell r="AD167">
            <v>4</v>
          </cell>
          <cell r="AE167">
            <v>5</v>
          </cell>
          <cell r="AG167" t="str">
            <v>No</v>
          </cell>
        </row>
        <row r="168">
          <cell r="B168" t="str">
            <v>Tran Thi Kim Duyen</v>
          </cell>
          <cell r="Z168">
            <v>5</v>
          </cell>
          <cell r="AA168">
            <v>5</v>
          </cell>
          <cell r="AB168">
            <v>5</v>
          </cell>
          <cell r="AC168">
            <v>5</v>
          </cell>
          <cell r="AD168">
            <v>5</v>
          </cell>
          <cell r="AE168">
            <v>5</v>
          </cell>
          <cell r="AG168" t="str">
            <v xml:space="preserve"> She is a person responsible for the job, always fulfilling the assigned tasks well, being sociable and willing to help colleagues at work</v>
          </cell>
        </row>
        <row r="169">
          <cell r="B169" t="str">
            <v>Tran Thi Thuy</v>
          </cell>
          <cell r="Z169">
            <v>5</v>
          </cell>
          <cell r="AA169">
            <v>5</v>
          </cell>
          <cell r="AB169">
            <v>5</v>
          </cell>
          <cell r="AC169">
            <v>5</v>
          </cell>
          <cell r="AD169">
            <v>5</v>
          </cell>
          <cell r="AE169">
            <v>5</v>
          </cell>
          <cell r="AG169" t="str">
            <v>She is friendly and willing to help people</v>
          </cell>
        </row>
        <row r="170">
          <cell r="B170" t="str">
            <v>Tran Thi Thuy</v>
          </cell>
          <cell r="Z170">
            <v>5</v>
          </cell>
          <cell r="AA170">
            <v>5</v>
          </cell>
          <cell r="AB170">
            <v>5</v>
          </cell>
          <cell r="AC170">
            <v>5</v>
          </cell>
          <cell r="AD170">
            <v>5</v>
          </cell>
          <cell r="AE170">
            <v>5</v>
          </cell>
          <cell r="AG170" t="str">
            <v>very friendly, enthusiastic</v>
          </cell>
        </row>
        <row r="171">
          <cell r="B171" t="str">
            <v>Tran Thi Thuy</v>
          </cell>
          <cell r="E171">
            <v>5</v>
          </cell>
          <cell r="F171">
            <v>4</v>
          </cell>
          <cell r="G171">
            <v>5</v>
          </cell>
          <cell r="H171">
            <v>5</v>
          </cell>
          <cell r="I171">
            <v>4</v>
          </cell>
          <cell r="J171">
            <v>5</v>
          </cell>
          <cell r="P171">
            <v>5</v>
          </cell>
          <cell r="Q171">
            <v>5</v>
          </cell>
          <cell r="R171">
            <v>5</v>
          </cell>
          <cell r="T171" t="str">
            <v>friendly  agressive</v>
          </cell>
          <cell r="U171" t="str">
            <v>complete on time</v>
          </cell>
          <cell r="V171" t="str">
            <v>serious</v>
          </cell>
          <cell r="W171" t="str">
            <v>good</v>
          </cell>
          <cell r="X171" t="str">
            <v>NA</v>
          </cell>
          <cell r="Y171" t="str">
            <v>NA</v>
          </cell>
          <cell r="Z171">
            <v>5</v>
          </cell>
          <cell r="AA171">
            <v>5</v>
          </cell>
          <cell r="AB171">
            <v>5</v>
          </cell>
          <cell r="AC171">
            <v>5</v>
          </cell>
          <cell r="AD171">
            <v>5</v>
          </cell>
          <cell r="AE171">
            <v>5</v>
          </cell>
          <cell r="AG171" t="str">
            <v>NA</v>
          </cell>
        </row>
        <row r="172">
          <cell r="B172" t="str">
            <v>Tran Thi Van Anh</v>
          </cell>
          <cell r="Z172">
            <v>5</v>
          </cell>
          <cell r="AA172">
            <v>5</v>
          </cell>
          <cell r="AB172">
            <v>5</v>
          </cell>
          <cell r="AC172">
            <v>5</v>
          </cell>
          <cell r="AD172">
            <v>5</v>
          </cell>
          <cell r="AE172">
            <v>5</v>
          </cell>
          <cell r="AG172" t="str">
            <v>Friendly, funny</v>
          </cell>
        </row>
        <row r="173">
          <cell r="B173" t="str">
            <v>Tran Thi Van Anh</v>
          </cell>
          <cell r="E173">
            <v>3</v>
          </cell>
          <cell r="F173">
            <v>4</v>
          </cell>
          <cell r="G173">
            <v>3</v>
          </cell>
          <cell r="H173">
            <v>4</v>
          </cell>
          <cell r="I173">
            <v>4</v>
          </cell>
          <cell r="J173">
            <v>4</v>
          </cell>
          <cell r="P173">
            <v>4</v>
          </cell>
          <cell r="Q173">
            <v>4</v>
          </cell>
          <cell r="R173">
            <v>4</v>
          </cell>
          <cell r="T173" t="str">
            <v>Get angry easily  like to help others</v>
          </cell>
          <cell r="U173" t="str">
            <v>Slower than the plan</v>
          </cell>
          <cell r="V173" t="str">
            <v>Not really good</v>
          </cell>
          <cell r="W173" t="str">
            <v>Quite creative</v>
          </cell>
          <cell r="X173" t="str">
            <v>She needs to work with a more cooperative and focused attitude</v>
          </cell>
          <cell r="Y173" t="str">
            <v>Support others more</v>
          </cell>
          <cell r="Z173">
            <v>4</v>
          </cell>
          <cell r="AA173">
            <v>5</v>
          </cell>
          <cell r="AB173">
            <v>5</v>
          </cell>
          <cell r="AC173">
            <v>4</v>
          </cell>
          <cell r="AD173">
            <v>4</v>
          </cell>
          <cell r="AE173">
            <v>4</v>
          </cell>
          <cell r="AG173" t="str">
            <v>N/A</v>
          </cell>
        </row>
        <row r="174">
          <cell r="B174" t="str">
            <v>Tran Thi Van Anh</v>
          </cell>
          <cell r="E174">
            <v>3</v>
          </cell>
          <cell r="F174">
            <v>4</v>
          </cell>
          <cell r="G174">
            <v>4</v>
          </cell>
          <cell r="H174">
            <v>4</v>
          </cell>
          <cell r="I174">
            <v>4</v>
          </cell>
          <cell r="J174">
            <v>4</v>
          </cell>
          <cell r="P174">
            <v>4</v>
          </cell>
          <cell r="Q174">
            <v>4</v>
          </cell>
          <cell r="R174">
            <v>4</v>
          </cell>
          <cell r="T174" t="str">
            <v>Friendly  Kind  Active</v>
          </cell>
          <cell r="U174" t="str">
            <v>Good</v>
          </cell>
          <cell r="V174" t="str">
            <v>Good</v>
          </cell>
          <cell r="W174" t="str">
            <v>Good</v>
          </cell>
          <cell r="X174" t="str">
            <v>NA</v>
          </cell>
          <cell r="Y174" t="str">
            <v>NA</v>
          </cell>
          <cell r="Z174">
            <v>4</v>
          </cell>
          <cell r="AA174">
            <v>5</v>
          </cell>
          <cell r="AB174">
            <v>4</v>
          </cell>
          <cell r="AC174">
            <v>4</v>
          </cell>
          <cell r="AD174">
            <v>4</v>
          </cell>
          <cell r="AE174">
            <v>4</v>
          </cell>
          <cell r="AG174" t="str">
            <v>Excellent to work with her</v>
          </cell>
        </row>
        <row r="175">
          <cell r="B175" t="str">
            <v>Nguyen Kim Oanh</v>
          </cell>
          <cell r="E175">
            <v>5</v>
          </cell>
          <cell r="F175">
            <v>5</v>
          </cell>
          <cell r="G175">
            <v>5</v>
          </cell>
          <cell r="H175">
            <v>5</v>
          </cell>
          <cell r="I175">
            <v>5</v>
          </cell>
          <cell r="J175">
            <v>5</v>
          </cell>
          <cell r="P175">
            <v>5</v>
          </cell>
          <cell r="Q175">
            <v>5</v>
          </cell>
          <cell r="R175">
            <v>5</v>
          </cell>
          <cell r="S175" t="str">
            <v xml:space="preserve">Very good </v>
          </cell>
          <cell r="T175" t="str">
            <v xml:space="preserve">Good </v>
          </cell>
          <cell r="U175" t="str">
            <v xml:space="preserve">Good </v>
          </cell>
          <cell r="V175" t="str">
            <v xml:space="preserve">Good </v>
          </cell>
          <cell r="W175" t="str">
            <v xml:space="preserve">Good </v>
          </cell>
          <cell r="X175" t="str">
            <v xml:space="preserve">To be honest, i think don't have should do less. </v>
          </cell>
          <cell r="Y175" t="str">
            <v xml:space="preserve">To be honest, i think she should connect member more than. </v>
          </cell>
          <cell r="Z175">
            <v>5</v>
          </cell>
          <cell r="AA175">
            <v>5</v>
          </cell>
          <cell r="AB175">
            <v>5</v>
          </cell>
          <cell r="AC175">
            <v>5</v>
          </cell>
          <cell r="AD175">
            <v>5</v>
          </cell>
          <cell r="AE175">
            <v>5</v>
          </cell>
          <cell r="AG175" t="str">
            <v xml:space="preserve">no comment </v>
          </cell>
        </row>
        <row r="176">
          <cell r="B176" t="str">
            <v>To Thi Ha</v>
          </cell>
          <cell r="Z176">
            <v>5</v>
          </cell>
          <cell r="AA176">
            <v>5</v>
          </cell>
          <cell r="AB176">
            <v>5</v>
          </cell>
          <cell r="AC176">
            <v>5</v>
          </cell>
          <cell r="AD176">
            <v>5</v>
          </cell>
          <cell r="AE176">
            <v>5</v>
          </cell>
          <cell r="AG176" t="str">
            <v xml:space="preserve">no comment </v>
          </cell>
        </row>
        <row r="177">
          <cell r="B177" t="str">
            <v>Bui Thi Quynh Nga</v>
          </cell>
          <cell r="Z177">
            <v>5</v>
          </cell>
          <cell r="AA177">
            <v>5</v>
          </cell>
          <cell r="AB177">
            <v>5</v>
          </cell>
          <cell r="AC177">
            <v>5</v>
          </cell>
          <cell r="AD177">
            <v>5</v>
          </cell>
          <cell r="AE177">
            <v>5</v>
          </cell>
          <cell r="AG177" t="str">
            <v xml:space="preserve">no comment </v>
          </cell>
        </row>
        <row r="178">
          <cell r="B178" t="str">
            <v>Tran Van Tung</v>
          </cell>
          <cell r="Z178">
            <v>5</v>
          </cell>
          <cell r="AA178">
            <v>5</v>
          </cell>
          <cell r="AB178">
            <v>5</v>
          </cell>
          <cell r="AC178">
            <v>5</v>
          </cell>
          <cell r="AD178">
            <v>5</v>
          </cell>
          <cell r="AE178">
            <v>5</v>
          </cell>
          <cell r="AG178" t="str">
            <v>N/A</v>
          </cell>
        </row>
        <row r="179">
          <cell r="B179" t="str">
            <v>Tran Van Tung</v>
          </cell>
          <cell r="Z179">
            <v>5</v>
          </cell>
          <cell r="AA179">
            <v>4</v>
          </cell>
          <cell r="AB179">
            <v>4</v>
          </cell>
          <cell r="AC179">
            <v>4</v>
          </cell>
          <cell r="AD179">
            <v>5</v>
          </cell>
          <cell r="AE179">
            <v>5</v>
          </cell>
          <cell r="AG179" t="str">
            <v>should open when having suggestions/ comments from another members</v>
          </cell>
        </row>
        <row r="180">
          <cell r="B180" t="str">
            <v>Tran Van Tung</v>
          </cell>
          <cell r="E180">
            <v>4</v>
          </cell>
          <cell r="F180">
            <v>4</v>
          </cell>
          <cell r="G180">
            <v>5</v>
          </cell>
          <cell r="H180">
            <v>4</v>
          </cell>
          <cell r="I180">
            <v>4</v>
          </cell>
          <cell r="J180">
            <v>4</v>
          </cell>
          <cell r="P180">
            <v>5</v>
          </cell>
          <cell r="Q180">
            <v>5</v>
          </cell>
          <cell r="R180">
            <v>4</v>
          </cell>
          <cell r="T180" t="str">
            <v xml:space="preserve">funny </v>
          </cell>
          <cell r="U180" t="str">
            <v xml:space="preserve">complete on time </v>
          </cell>
          <cell r="V180" t="str">
            <v xml:space="preserve">normal </v>
          </cell>
          <cell r="W180" t="str">
            <v xml:space="preserve">work smart and have technical knowledge </v>
          </cell>
          <cell r="X180" t="str">
            <v xml:space="preserve">less complaining and less mutitasking </v>
          </cell>
          <cell r="Y180" t="str">
            <v xml:space="preserve">More well prepare to manage quality and have good supportive attitude </v>
          </cell>
          <cell r="Z180">
            <v>5</v>
          </cell>
          <cell r="AA180">
            <v>4</v>
          </cell>
          <cell r="AB180">
            <v>5</v>
          </cell>
          <cell r="AC180">
            <v>4</v>
          </cell>
          <cell r="AD180">
            <v>4</v>
          </cell>
          <cell r="AE180">
            <v>4</v>
          </cell>
          <cell r="AG180" t="str">
            <v>More willing to listen to others and try to keep working better and self quality management</v>
          </cell>
        </row>
        <row r="181">
          <cell r="B181" t="str">
            <v>Trinh Thi Hai</v>
          </cell>
          <cell r="Z181">
            <v>5</v>
          </cell>
          <cell r="AA181">
            <v>4</v>
          </cell>
          <cell r="AB181">
            <v>5</v>
          </cell>
          <cell r="AC181">
            <v>5</v>
          </cell>
          <cell r="AD181">
            <v>5</v>
          </cell>
          <cell r="AE181">
            <v>5</v>
          </cell>
          <cell r="AG181" t="str">
            <v>enthusiastic and creative</v>
          </cell>
        </row>
        <row r="182">
          <cell r="B182" t="str">
            <v>Trinh Thi Hai</v>
          </cell>
          <cell r="E182">
            <v>4</v>
          </cell>
          <cell r="F182">
            <v>5</v>
          </cell>
          <cell r="G182">
            <v>4</v>
          </cell>
          <cell r="H182">
            <v>4</v>
          </cell>
          <cell r="I182">
            <v>5</v>
          </cell>
          <cell r="J182">
            <v>4</v>
          </cell>
          <cell r="P182">
            <v>4</v>
          </cell>
          <cell r="Q182">
            <v>4</v>
          </cell>
          <cell r="R182">
            <v>4</v>
          </cell>
          <cell r="T182" t="str">
            <v>Friendly and always enthusiastic about helping people</v>
          </cell>
          <cell r="U182" t="str">
            <v>Complete work on time</v>
          </cell>
          <cell r="V182" t="str">
            <v>Has high spirit  responsibility at work and complete task carefully</v>
          </cell>
          <cell r="W182" t="str">
            <v>Has many good  ideas to solve problems</v>
          </cell>
          <cell r="X182" t="str">
            <v>She does well as a member</v>
          </cell>
          <cell r="Y182" t="str">
            <v>She did well as a member, keep going</v>
          </cell>
          <cell r="Z182">
            <v>4</v>
          </cell>
          <cell r="AA182">
            <v>5</v>
          </cell>
          <cell r="AB182">
            <v>4</v>
          </cell>
          <cell r="AC182">
            <v>4</v>
          </cell>
          <cell r="AD182">
            <v>5</v>
          </cell>
          <cell r="AE182">
            <v>5</v>
          </cell>
          <cell r="AG182" t="str">
            <v>She did well as a member, keep going</v>
          </cell>
        </row>
        <row r="183">
          <cell r="B183" t="str">
            <v>Trinh Thi Hai</v>
          </cell>
          <cell r="Z183">
            <v>5</v>
          </cell>
          <cell r="AA183">
            <v>5</v>
          </cell>
          <cell r="AB183">
            <v>5</v>
          </cell>
          <cell r="AC183">
            <v>5</v>
          </cell>
          <cell r="AD183">
            <v>5</v>
          </cell>
          <cell r="AE183">
            <v>5</v>
          </cell>
          <cell r="AG183" t="str">
            <v>NO</v>
          </cell>
        </row>
        <row r="184">
          <cell r="B184" t="str">
            <v>Trinh Thi Tam</v>
          </cell>
          <cell r="E184">
            <v>3</v>
          </cell>
          <cell r="F184">
            <v>4</v>
          </cell>
          <cell r="G184">
            <v>5</v>
          </cell>
          <cell r="H184">
            <v>4</v>
          </cell>
          <cell r="I184">
            <v>4</v>
          </cell>
          <cell r="J184">
            <v>5</v>
          </cell>
          <cell r="P184">
            <v>4</v>
          </cell>
          <cell r="Q184">
            <v>3</v>
          </cell>
          <cell r="R184">
            <v>5</v>
          </cell>
          <cell r="T184" t="str">
            <v>Helpful  willing to support</v>
          </cell>
          <cell r="U184" t="str">
            <v>focus on target</v>
          </cell>
          <cell r="V184" t="str">
            <v>Enthusiastic</v>
          </cell>
          <cell r="W184" t="str">
            <v>Proactive</v>
          </cell>
          <cell r="X184" t="str">
            <v>Nothing</v>
          </cell>
          <cell r="Y184" t="str">
            <v>need to investigate deeply SyRS, flexible thinking</v>
          </cell>
          <cell r="Z184">
            <v>4</v>
          </cell>
          <cell r="AA184">
            <v>5</v>
          </cell>
          <cell r="AB184">
            <v>4</v>
          </cell>
          <cell r="AC184">
            <v>4</v>
          </cell>
          <cell r="AD184">
            <v>4</v>
          </cell>
          <cell r="AE184">
            <v>5</v>
          </cell>
          <cell r="AG184" t="str">
            <v>need more creative and flexible thinking</v>
          </cell>
        </row>
        <row r="185">
          <cell r="B185" t="str">
            <v>Trinh Thi Tam</v>
          </cell>
          <cell r="Z185">
            <v>3</v>
          </cell>
          <cell r="AA185">
            <v>3</v>
          </cell>
          <cell r="AB185">
            <v>3</v>
          </cell>
          <cell r="AC185">
            <v>3</v>
          </cell>
          <cell r="AD185">
            <v>3</v>
          </cell>
          <cell r="AE185">
            <v>5</v>
          </cell>
          <cell r="AF185" t="str">
            <v>Not in the same project, so it is impossible to evaluate the nature of the work</v>
          </cell>
          <cell r="AG185" t="str">
            <v>Not in the same project, so it is impossible to evaluate the nature of the work</v>
          </cell>
        </row>
        <row r="186">
          <cell r="B186" t="str">
            <v>Trinh Thi Tam</v>
          </cell>
          <cell r="E186">
            <v>5</v>
          </cell>
          <cell r="F186">
            <v>5</v>
          </cell>
          <cell r="G186">
            <v>5</v>
          </cell>
          <cell r="H186">
            <v>5</v>
          </cell>
          <cell r="I186">
            <v>5</v>
          </cell>
          <cell r="J186">
            <v>5</v>
          </cell>
          <cell r="P186">
            <v>5</v>
          </cell>
          <cell r="Q186">
            <v>5</v>
          </cell>
          <cell r="R186">
            <v>5</v>
          </cell>
          <cell r="T186" t="str">
            <v>good</v>
          </cell>
          <cell r="U186" t="str">
            <v>good</v>
          </cell>
          <cell r="V186" t="str">
            <v>good</v>
          </cell>
          <cell r="W186" t="str">
            <v>good</v>
          </cell>
          <cell r="X186" t="str">
            <v>nothing</v>
          </cell>
          <cell r="Y186" t="str">
            <v>proactive</v>
          </cell>
          <cell r="Z186">
            <v>5</v>
          </cell>
          <cell r="AA186">
            <v>5</v>
          </cell>
          <cell r="AB186">
            <v>5</v>
          </cell>
          <cell r="AC186">
            <v>5</v>
          </cell>
          <cell r="AD186">
            <v>5</v>
          </cell>
          <cell r="AE186">
            <v>5</v>
          </cell>
          <cell r="AG186" t="str">
            <v xml:space="preserve">need to improve soft skill </v>
          </cell>
        </row>
        <row r="187">
          <cell r="B187" t="str">
            <v>Truong Khanh Cuong</v>
          </cell>
          <cell r="E187">
            <v>5</v>
          </cell>
          <cell r="F187">
            <v>5</v>
          </cell>
          <cell r="G187">
            <v>5</v>
          </cell>
          <cell r="H187">
            <v>5</v>
          </cell>
          <cell r="I187">
            <v>5</v>
          </cell>
          <cell r="J187">
            <v>5</v>
          </cell>
          <cell r="P187">
            <v>5</v>
          </cell>
          <cell r="Q187">
            <v>5</v>
          </cell>
          <cell r="R187">
            <v>5</v>
          </cell>
          <cell r="T187" t="str">
            <v>Very friendly</v>
          </cell>
          <cell r="U187" t="str">
            <v>high responsibility</v>
          </cell>
          <cell r="V187" t="str">
            <v>hard-working</v>
          </cell>
          <cell r="W187" t="str">
            <v>good</v>
          </cell>
          <cell r="X187" t="str">
            <v>no need</v>
          </cell>
          <cell r="Y187" t="str">
            <v>no need</v>
          </cell>
          <cell r="Z187">
            <v>5</v>
          </cell>
          <cell r="AA187">
            <v>5</v>
          </cell>
          <cell r="AB187">
            <v>5</v>
          </cell>
          <cell r="AC187">
            <v>5</v>
          </cell>
          <cell r="AD187">
            <v>5</v>
          </cell>
          <cell r="AE187">
            <v>5</v>
          </cell>
          <cell r="AG187" t="str">
            <v>enthusiasm, friendly</v>
          </cell>
        </row>
        <row r="188">
          <cell r="B188" t="str">
            <v>Truong Khanh Cuong</v>
          </cell>
          <cell r="E188">
            <v>5</v>
          </cell>
          <cell r="F188">
            <v>5</v>
          </cell>
          <cell r="G188">
            <v>5</v>
          </cell>
          <cell r="H188">
            <v>5</v>
          </cell>
          <cell r="I188">
            <v>5</v>
          </cell>
          <cell r="J188">
            <v>5</v>
          </cell>
          <cell r="P188">
            <v>5</v>
          </cell>
          <cell r="Q188">
            <v>5</v>
          </cell>
          <cell r="R188">
            <v>5</v>
          </cell>
          <cell r="T188" t="str">
            <v>Friendly with everyone</v>
          </cell>
          <cell r="U188" t="str">
            <v>Good</v>
          </cell>
          <cell r="V188" t="str">
            <v>Good</v>
          </cell>
          <cell r="W188" t="str">
            <v>Good</v>
          </cell>
          <cell r="X188" t="str">
            <v>No need</v>
          </cell>
          <cell r="Y188" t="str">
            <v>More careful</v>
          </cell>
          <cell r="Z188">
            <v>5</v>
          </cell>
          <cell r="AA188">
            <v>5</v>
          </cell>
          <cell r="AB188">
            <v>5</v>
          </cell>
          <cell r="AC188">
            <v>5</v>
          </cell>
          <cell r="AD188">
            <v>5</v>
          </cell>
          <cell r="AE188">
            <v>5</v>
          </cell>
          <cell r="AG188" t="str">
            <v>No Comment</v>
          </cell>
        </row>
        <row r="189">
          <cell r="B189" t="str">
            <v>Truong Khanh Cuong</v>
          </cell>
          <cell r="Z189">
            <v>5</v>
          </cell>
          <cell r="AA189">
            <v>5</v>
          </cell>
          <cell r="AB189">
            <v>5</v>
          </cell>
          <cell r="AC189">
            <v>5</v>
          </cell>
          <cell r="AD189">
            <v>5</v>
          </cell>
          <cell r="AE189">
            <v>5</v>
          </cell>
          <cell r="AG189" t="str">
            <v>He gets along well with colleagues and willing to support each other</v>
          </cell>
        </row>
        <row r="190">
          <cell r="B190" t="str">
            <v>Truong Thi Hanh Phuc</v>
          </cell>
          <cell r="E190">
            <v>5</v>
          </cell>
          <cell r="F190">
            <v>5</v>
          </cell>
          <cell r="G190">
            <v>4</v>
          </cell>
          <cell r="H190">
            <v>4</v>
          </cell>
          <cell r="I190">
            <v>4</v>
          </cell>
          <cell r="J190">
            <v>4</v>
          </cell>
          <cell r="P190">
            <v>5</v>
          </cell>
          <cell r="Q190">
            <v>5</v>
          </cell>
          <cell r="R190">
            <v>5</v>
          </cell>
          <cell r="T190" t="str">
            <v>open-minded  Friendly  activated</v>
          </cell>
          <cell r="U190" t="str">
            <v>ontime</v>
          </cell>
          <cell r="V190" t="str">
            <v>proactive</v>
          </cell>
          <cell r="W190" t="str">
            <v>always find the effective way to complete task</v>
          </cell>
          <cell r="X190" t="str">
            <v>Send only focus email</v>
          </cell>
          <cell r="Y190" t="str">
            <v>actively engage the team</v>
          </cell>
          <cell r="Z190">
            <v>5</v>
          </cell>
          <cell r="AA190">
            <v>5</v>
          </cell>
          <cell r="AB190">
            <v>4</v>
          </cell>
          <cell r="AC190">
            <v>3</v>
          </cell>
          <cell r="AD190">
            <v>5</v>
          </cell>
          <cell r="AE190">
            <v>4</v>
          </cell>
          <cell r="AG190" t="str">
            <v>She is a good leader</v>
          </cell>
        </row>
        <row r="191">
          <cell r="B191" t="str">
            <v>Truong Thi Hanh Phuc</v>
          </cell>
          <cell r="E191">
            <v>5</v>
          </cell>
          <cell r="F191">
            <v>5</v>
          </cell>
          <cell r="G191">
            <v>5</v>
          </cell>
          <cell r="H191">
            <v>4</v>
          </cell>
          <cell r="I191">
            <v>5</v>
          </cell>
          <cell r="J191">
            <v>5</v>
          </cell>
          <cell r="P191">
            <v>5</v>
          </cell>
          <cell r="Q191">
            <v>5</v>
          </cell>
          <cell r="R191">
            <v>5</v>
          </cell>
          <cell r="T191" t="str">
            <v>Chị Phúc là người rất nhiệt tình  hòa đồng  rất quan tâm đến vấn đề của các thành viên trong team</v>
          </cell>
          <cell r="U191" t="str">
            <v>Chị Phúc rất nhiệt tình giúp đỡ mọi người về các vấn đề trong cũng như ngoài dự án</v>
          </cell>
          <cell r="V191" t="str">
            <v>Chị Phúc rất nghiêm túc trong công việc</v>
          </cell>
          <cell r="W191" t="str">
            <v>Chị Phúc luôn sẵn lòng tiếp thu các ý tưởng mới của member để cải thiện tiến độ dự án</v>
          </cell>
          <cell r="X191" t="str">
            <v>Đôi khi chị Phúc hơi nóng tính và cuống trong việc sắp xếp task với cường độ cao</v>
          </cell>
          <cell r="Y191" t="str">
            <v>Chị Phúc có thể tăng cường tổ chức các buổi team meeting khi dự án có thời gian để giúp mọi người cởi mở với nhau hơn</v>
          </cell>
          <cell r="Z191">
            <v>4</v>
          </cell>
          <cell r="AA191">
            <v>5</v>
          </cell>
          <cell r="AB191">
            <v>4</v>
          </cell>
          <cell r="AC191">
            <v>5</v>
          </cell>
          <cell r="AD191">
            <v>5</v>
          </cell>
          <cell r="AE191">
            <v>5</v>
          </cell>
          <cell r="AG191" t="str">
            <v>Chị Phúc là người hòa đồng, dễ gần, nhiệt tình support về các vấn đề chung của dự án cũng như vấn đề cá nhân của member</v>
          </cell>
        </row>
        <row r="192">
          <cell r="B192" t="str">
            <v>Truong Thi Hanh Phuc</v>
          </cell>
          <cell r="E192">
            <v>5</v>
          </cell>
          <cell r="F192">
            <v>5</v>
          </cell>
          <cell r="G192">
            <v>4</v>
          </cell>
          <cell r="H192">
            <v>4</v>
          </cell>
          <cell r="I192">
            <v>5</v>
          </cell>
          <cell r="J192">
            <v>5</v>
          </cell>
          <cell r="P192">
            <v>4</v>
          </cell>
          <cell r="Q192">
            <v>5</v>
          </cell>
          <cell r="R192">
            <v>5</v>
          </cell>
          <cell r="T192" t="str">
            <v>Sociable and very caring for everyone</v>
          </cell>
          <cell r="U192" t="str">
            <v>Well done</v>
          </cell>
          <cell r="V192" t="str">
            <v>be straightforward and express personal opinions</v>
          </cell>
          <cell r="W192" t="str">
            <v>There are quite a few ideas</v>
          </cell>
          <cell r="X192" t="str">
            <v>In some cases a decrease in respect</v>
          </cell>
          <cell r="Y192" t="str">
            <v>In some cases increased determination</v>
          </cell>
          <cell r="Z192">
            <v>5</v>
          </cell>
          <cell r="AA192">
            <v>5</v>
          </cell>
          <cell r="AB192">
            <v>5</v>
          </cell>
          <cell r="AC192">
            <v>5</v>
          </cell>
          <cell r="AD192">
            <v>4</v>
          </cell>
          <cell r="AE192">
            <v>5</v>
          </cell>
          <cell r="AG192" t="str">
            <v>In some cases increased determination</v>
          </cell>
        </row>
        <row r="193">
          <cell r="B193" t="str">
            <v>Truong Thi Hanh Phuc</v>
          </cell>
          <cell r="Z193">
            <v>4</v>
          </cell>
          <cell r="AA193">
            <v>4</v>
          </cell>
          <cell r="AB193">
            <v>5</v>
          </cell>
          <cell r="AC193">
            <v>4</v>
          </cell>
          <cell r="AD193">
            <v>4</v>
          </cell>
          <cell r="AE193">
            <v>4</v>
          </cell>
          <cell r="AG193" t="str">
            <v>Her management skills is quite good (monitoring test progress, test result, performance of project members). I think she can share this point to other project.</v>
          </cell>
        </row>
        <row r="194">
          <cell r="B194" t="str">
            <v>Truong Thi Hanh Phuc</v>
          </cell>
          <cell r="E194">
            <v>5</v>
          </cell>
          <cell r="F194">
            <v>5</v>
          </cell>
          <cell r="G194">
            <v>5</v>
          </cell>
          <cell r="H194">
            <v>5</v>
          </cell>
          <cell r="I194">
            <v>5</v>
          </cell>
          <cell r="J194">
            <v>5</v>
          </cell>
          <cell r="P194">
            <v>5</v>
          </cell>
          <cell r="Q194">
            <v>5</v>
          </cell>
          <cell r="R194">
            <v>5</v>
          </cell>
          <cell r="T194" t="str">
            <v>hardworking  kindly  maner</v>
          </cell>
          <cell r="U194" t="str">
            <v>she is very accomplished with leader role</v>
          </cell>
          <cell r="V194" t="str">
            <v>maner  good attitute</v>
          </cell>
          <cell r="W194" t="str">
            <v>Creativity in assignment and resolve problem</v>
          </cell>
          <cell r="X194" t="str">
            <v>conservative</v>
          </cell>
          <cell r="Y194" t="str">
            <v>she is good enough to lead this team</v>
          </cell>
          <cell r="Z194">
            <v>5</v>
          </cell>
          <cell r="AA194">
            <v>5</v>
          </cell>
          <cell r="AB194">
            <v>5</v>
          </cell>
          <cell r="AC194">
            <v>5</v>
          </cell>
          <cell r="AD194">
            <v>5</v>
          </cell>
          <cell r="AE194">
            <v>5</v>
          </cell>
          <cell r="AG194" t="str">
            <v>Keep going on to lead our team</v>
          </cell>
        </row>
        <row r="195">
          <cell r="B195" t="str">
            <v>Truong Thi Hanh Phuc</v>
          </cell>
          <cell r="E195">
            <v>4</v>
          </cell>
          <cell r="F195">
            <v>5</v>
          </cell>
          <cell r="G195">
            <v>4</v>
          </cell>
          <cell r="H195">
            <v>4</v>
          </cell>
          <cell r="I195">
            <v>5</v>
          </cell>
          <cell r="J195">
            <v>5</v>
          </cell>
          <cell r="P195">
            <v>4</v>
          </cell>
          <cell r="Q195">
            <v>5</v>
          </cell>
          <cell r="R195">
            <v>5</v>
          </cell>
          <cell r="T195" t="str">
            <v>hard-working</v>
          </cell>
          <cell r="U195" t="str">
            <v>good</v>
          </cell>
          <cell r="V195" t="str">
            <v>proactive  hard-working</v>
          </cell>
          <cell r="W195" t="str">
            <v>good</v>
          </cell>
          <cell r="X195" t="str">
            <v>no comment</v>
          </cell>
          <cell r="Y195" t="str">
            <v>believe more in member in personal tasks.</v>
          </cell>
          <cell r="Z195">
            <v>5</v>
          </cell>
          <cell r="AA195">
            <v>5</v>
          </cell>
          <cell r="AB195">
            <v>5</v>
          </cell>
          <cell r="AC195">
            <v>5</v>
          </cell>
          <cell r="AD195">
            <v>5</v>
          </cell>
          <cell r="AE195">
            <v>5</v>
          </cell>
          <cell r="AG195" t="str">
            <v>no comment</v>
          </cell>
        </row>
        <row r="196">
          <cell r="B196" t="str">
            <v>Truong Thi Hanh Phuc</v>
          </cell>
          <cell r="E196">
            <v>4</v>
          </cell>
          <cell r="F196">
            <v>4</v>
          </cell>
          <cell r="G196">
            <v>4</v>
          </cell>
          <cell r="I196">
            <v>4</v>
          </cell>
          <cell r="J196">
            <v>4</v>
          </cell>
          <cell r="P196">
            <v>3</v>
          </cell>
          <cell r="Q196">
            <v>4</v>
          </cell>
          <cell r="R196">
            <v>4</v>
          </cell>
          <cell r="T196" t="str">
            <v>care for other</v>
          </cell>
          <cell r="U196" t="str">
            <v>good</v>
          </cell>
          <cell r="V196" t="str">
            <v>good</v>
          </cell>
          <cell r="W196" t="str">
            <v>good</v>
          </cell>
          <cell r="X196" t="str">
            <v xml:space="preserve">
Her personality is somewhat conservative and 
slightly self-interested</v>
          </cell>
          <cell r="Y196" t="str">
            <v>Her personality is somewhat conservative and 
slightly self-interested</v>
          </cell>
          <cell r="Z196">
            <v>4</v>
          </cell>
          <cell r="AA196">
            <v>4</v>
          </cell>
          <cell r="AB196">
            <v>4</v>
          </cell>
          <cell r="AC196">
            <v>4</v>
          </cell>
          <cell r="AD196">
            <v>4</v>
          </cell>
          <cell r="AE196">
            <v>4</v>
          </cell>
          <cell r="AG196" t="str">
            <v>Knowledge is good but should improve leader skill</v>
          </cell>
        </row>
        <row r="197">
          <cell r="B197" t="str">
            <v>Vu Dinh Thang</v>
          </cell>
          <cell r="E197">
            <v>5</v>
          </cell>
          <cell r="F197">
            <v>5</v>
          </cell>
          <cell r="G197">
            <v>5</v>
          </cell>
          <cell r="I197">
            <v>5</v>
          </cell>
          <cell r="J197">
            <v>5</v>
          </cell>
          <cell r="P197">
            <v>5</v>
          </cell>
          <cell r="Q197">
            <v>5</v>
          </cell>
          <cell r="R197">
            <v>5</v>
          </cell>
          <cell r="T197" t="str">
            <v>Smart  Study fast</v>
          </cell>
          <cell r="U197" t="str">
            <v>Fast</v>
          </cell>
          <cell r="V197" t="str">
            <v>Good</v>
          </cell>
          <cell r="W197" t="str">
            <v>High</v>
          </cell>
          <cell r="X197" t="str">
            <v>go out side</v>
          </cell>
          <cell r="Y197" t="str">
            <v>More focus on job</v>
          </cell>
          <cell r="Z197">
            <v>5</v>
          </cell>
          <cell r="AA197">
            <v>5</v>
          </cell>
          <cell r="AB197">
            <v>5</v>
          </cell>
          <cell r="AC197">
            <v>5</v>
          </cell>
          <cell r="AD197">
            <v>5</v>
          </cell>
          <cell r="AE197">
            <v>5</v>
          </cell>
          <cell r="AG197" t="str">
            <v>He's good</v>
          </cell>
        </row>
        <row r="198">
          <cell r="B198" t="str">
            <v>Vu Dinh Thang</v>
          </cell>
          <cell r="Z198">
            <v>5</v>
          </cell>
          <cell r="AA198">
            <v>5</v>
          </cell>
          <cell r="AB198">
            <v>5</v>
          </cell>
          <cell r="AC198">
            <v>5</v>
          </cell>
          <cell r="AD198">
            <v>5</v>
          </cell>
          <cell r="AE198">
            <v>5</v>
          </cell>
          <cell r="AF198" t="str">
            <v xml:space="preserve">  </v>
          </cell>
          <cell r="AG198" t="str">
            <v>He is funny guy and always eager to learn new knowledge</v>
          </cell>
        </row>
        <row r="199">
          <cell r="B199" t="str">
            <v>Vu Thi Hang</v>
          </cell>
          <cell r="E199">
            <v>4</v>
          </cell>
          <cell r="F199">
            <v>4</v>
          </cell>
          <cell r="G199">
            <v>4</v>
          </cell>
          <cell r="I199">
            <v>4</v>
          </cell>
          <cell r="J199">
            <v>4</v>
          </cell>
          <cell r="P199">
            <v>4</v>
          </cell>
          <cell r="Q199">
            <v>4</v>
          </cell>
          <cell r="R199">
            <v>3</v>
          </cell>
          <cell r="T199" t="str">
            <v>chăm chỉ  cẩn thận</v>
          </cell>
          <cell r="U199" t="str">
            <v>hoàn thành công việc được giao</v>
          </cell>
          <cell r="V199" t="str">
            <v>tốt</v>
          </cell>
          <cell r="W199" t="str">
            <v>có</v>
          </cell>
          <cell r="X199" t="str">
            <v>Nothing</v>
          </cell>
          <cell r="Y199" t="str">
            <v>Deeply investigate  about system architecture</v>
          </cell>
          <cell r="Z199">
            <v>3</v>
          </cell>
          <cell r="AA199">
            <v>4</v>
          </cell>
          <cell r="AB199">
            <v>3</v>
          </cell>
          <cell r="AC199">
            <v>4</v>
          </cell>
          <cell r="AD199">
            <v>3</v>
          </cell>
          <cell r="AE199">
            <v>4</v>
          </cell>
          <cell r="AG199" t="str">
            <v>No</v>
          </cell>
        </row>
        <row r="200">
          <cell r="B200" t="str">
            <v>Vu Thi Hang</v>
          </cell>
          <cell r="Z200">
            <v>3</v>
          </cell>
          <cell r="AA200">
            <v>3</v>
          </cell>
          <cell r="AB200">
            <v>3</v>
          </cell>
          <cell r="AC200">
            <v>3</v>
          </cell>
          <cell r="AD200">
            <v>3</v>
          </cell>
          <cell r="AE200">
            <v>4</v>
          </cell>
          <cell r="AG200" t="str">
            <v>we are not same project so I can not evaluate her</v>
          </cell>
        </row>
        <row r="201">
          <cell r="B201" t="str">
            <v>Vu Thi Hang</v>
          </cell>
          <cell r="Z201">
            <v>5</v>
          </cell>
          <cell r="AA201">
            <v>5</v>
          </cell>
          <cell r="AB201">
            <v>5</v>
          </cell>
          <cell r="AC201">
            <v>5</v>
          </cell>
          <cell r="AD201">
            <v>5</v>
          </cell>
          <cell r="AE201">
            <v>5</v>
          </cell>
          <cell r="AG201" t="str">
            <v>No</v>
          </cell>
        </row>
        <row r="202">
          <cell r="B202" t="str">
            <v>Vu Thi Thanh Hang</v>
          </cell>
          <cell r="Z202">
            <v>5</v>
          </cell>
          <cell r="AA202">
            <v>5</v>
          </cell>
          <cell r="AB202">
            <v>4</v>
          </cell>
          <cell r="AC202">
            <v>4</v>
          </cell>
          <cell r="AD202">
            <v>4</v>
          </cell>
          <cell r="AE202">
            <v>5</v>
          </cell>
          <cell r="AG202" t="str">
            <v>Enthusiastic and proactive at work</v>
          </cell>
        </row>
        <row r="203">
          <cell r="B203" t="str">
            <v>Vu Thi Thanh Hang</v>
          </cell>
          <cell r="E203">
            <v>5</v>
          </cell>
          <cell r="F203">
            <v>5</v>
          </cell>
          <cell r="G203">
            <v>5</v>
          </cell>
          <cell r="I203">
            <v>5</v>
          </cell>
          <cell r="J203">
            <v>5</v>
          </cell>
          <cell r="P203">
            <v>4</v>
          </cell>
          <cell r="Q203">
            <v>4</v>
          </cell>
          <cell r="R203">
            <v>4</v>
          </cell>
          <cell r="T203" t="str">
            <v>friendly  enthusiatic</v>
          </cell>
          <cell r="U203" t="str">
            <v>good</v>
          </cell>
          <cell r="V203" t="str">
            <v>good</v>
          </cell>
          <cell r="W203" t="str">
            <v>so so</v>
          </cell>
          <cell r="X203" t="str">
            <v>Should not be too meek. I mean that she should be more determined</v>
          </cell>
          <cell r="Y203" t="str">
            <v>She should be more creative.</v>
          </cell>
          <cell r="Z203">
            <v>4</v>
          </cell>
          <cell r="AA203">
            <v>5</v>
          </cell>
          <cell r="AB203">
            <v>4</v>
          </cell>
          <cell r="AC203">
            <v>5</v>
          </cell>
          <cell r="AD203">
            <v>5</v>
          </cell>
          <cell r="AE203">
            <v>5</v>
          </cell>
          <cell r="AG203" t="str">
            <v>N/A</v>
          </cell>
        </row>
        <row r="204">
          <cell r="B204" t="str">
            <v>Vu Thi Y</v>
          </cell>
          <cell r="E204">
            <v>5</v>
          </cell>
          <cell r="F204">
            <v>5</v>
          </cell>
          <cell r="G204">
            <v>5</v>
          </cell>
          <cell r="I204">
            <v>5</v>
          </cell>
          <cell r="J204">
            <v>5</v>
          </cell>
          <cell r="P204">
            <v>5</v>
          </cell>
          <cell r="Q204">
            <v>5</v>
          </cell>
          <cell r="R204">
            <v>5</v>
          </cell>
          <cell r="T204" t="str">
            <v>straightforward</v>
          </cell>
          <cell r="U204" t="str">
            <v xml:space="preserve">Complete work on time </v>
          </cell>
          <cell r="V204" t="str">
            <v>She has a focused attitude at work  but not actively find out</v>
          </cell>
          <cell r="W204" t="str">
            <v>She has creativity and innovation</v>
          </cell>
          <cell r="X204" t="str">
            <v>N/A</v>
          </cell>
          <cell r="Y204" t="str">
            <v>N/A</v>
          </cell>
          <cell r="Z204">
            <v>5</v>
          </cell>
          <cell r="AA204">
            <v>5</v>
          </cell>
          <cell r="AB204">
            <v>5</v>
          </cell>
          <cell r="AC204">
            <v>4</v>
          </cell>
          <cell r="AD204">
            <v>5</v>
          </cell>
          <cell r="AE204">
            <v>5</v>
          </cell>
          <cell r="AG204" t="str">
            <v>N/A</v>
          </cell>
        </row>
        <row r="205">
          <cell r="B205" t="str">
            <v>Vu Thi Y</v>
          </cell>
          <cell r="Z205">
            <v>4</v>
          </cell>
          <cell r="AA205">
            <v>4</v>
          </cell>
          <cell r="AB205">
            <v>3</v>
          </cell>
          <cell r="AC205">
            <v>4</v>
          </cell>
          <cell r="AD205">
            <v>4</v>
          </cell>
          <cell r="AE205">
            <v>4</v>
          </cell>
          <cell r="AG205" t="str">
            <v>She is going improve this year (including working and non-working)</v>
          </cell>
        </row>
        <row r="206">
          <cell r="B206" t="str">
            <v>Vu Thi Y</v>
          </cell>
          <cell r="Z206">
            <v>5</v>
          </cell>
          <cell r="AA206">
            <v>5</v>
          </cell>
          <cell r="AB206">
            <v>5</v>
          </cell>
          <cell r="AC206">
            <v>5</v>
          </cell>
          <cell r="AD206">
            <v>5</v>
          </cell>
          <cell r="AE206">
            <v>5</v>
          </cell>
          <cell r="AG206" t="str">
            <v>she is good</v>
          </cell>
        </row>
        <row r="207">
          <cell r="Z207">
            <v>4</v>
          </cell>
          <cell r="AA207">
            <v>4</v>
          </cell>
          <cell r="AB207">
            <v>3</v>
          </cell>
          <cell r="AC207">
            <v>4</v>
          </cell>
          <cell r="AD207">
            <v>4</v>
          </cell>
          <cell r="AE207">
            <v>4</v>
          </cell>
          <cell r="AG207" t="str">
            <v>She is going improve this year (including working and non-working)</v>
          </cell>
        </row>
        <row r="208">
          <cell r="E208">
            <v>4.7278903125587499</v>
          </cell>
          <cell r="F208">
            <v>4.6420207719996203</v>
          </cell>
          <cell r="G208">
            <v>4.6454578802753703</v>
          </cell>
          <cell r="I208">
            <v>4.67816214090056</v>
          </cell>
          <cell r="J208">
            <v>4.6653465016718396</v>
          </cell>
        </row>
        <row r="209">
          <cell r="E209">
            <v>4.7285300687042904</v>
          </cell>
          <cell r="F209">
            <v>4.64269337999092</v>
          </cell>
          <cell r="G209">
            <v>4.6451122465025998</v>
          </cell>
          <cell r="I209">
            <v>4.6787181588494704</v>
          </cell>
          <cell r="J209">
            <v>4.6655593125092203</v>
          </cell>
          <cell r="Z209">
            <v>5</v>
          </cell>
          <cell r="AA209">
            <v>5</v>
          </cell>
          <cell r="AB209">
            <v>5</v>
          </cell>
          <cell r="AC209">
            <v>5</v>
          </cell>
          <cell r="AD209">
            <v>5</v>
          </cell>
          <cell r="AE209">
            <v>5</v>
          </cell>
          <cell r="AG209" t="str">
            <v>No</v>
          </cell>
        </row>
      </sheetData>
      <sheetData sheetId="2" refreshError="1"/>
      <sheetData sheetId="3"/>
      <sheetData sheetId="4">
        <row r="2">
          <cell r="B2" t="str">
            <v>Truong Khanh Cuong</v>
          </cell>
        </row>
        <row r="3">
          <cell r="B3" t="str">
            <v>Truong Khanh Cuong</v>
          </cell>
        </row>
        <row r="4">
          <cell r="B4" t="str">
            <v>Truong Khanh Cuong</v>
          </cell>
        </row>
        <row r="5">
          <cell r="B5" t="str">
            <v>TO THI VAN ANH</v>
          </cell>
        </row>
        <row r="6">
          <cell r="B6" t="str">
            <v>TO THI VAN ANH</v>
          </cell>
        </row>
        <row r="7">
          <cell r="B7" t="str">
            <v>TO THI VAN ANH</v>
          </cell>
        </row>
        <row r="8">
          <cell r="B8" t="str">
            <v>TO THI VAN ANH</v>
          </cell>
        </row>
        <row r="9">
          <cell r="B9" t="str">
            <v>TO THI VAN ANH</v>
          </cell>
        </row>
        <row r="10">
          <cell r="B10" t="str">
            <v>NGUYEN THI PHUONG</v>
          </cell>
        </row>
        <row r="11">
          <cell r="B11" t="str">
            <v>NGUYEN THI PHUONG</v>
          </cell>
        </row>
        <row r="12">
          <cell r="B12" t="str">
            <v>NGUYEN THI PHUONG</v>
          </cell>
        </row>
        <row r="13">
          <cell r="B13" t="str">
            <v>TRAN THI HA CHINH</v>
          </cell>
        </row>
        <row r="14">
          <cell r="B14" t="str">
            <v>TRAN THI HA CHINH</v>
          </cell>
        </row>
        <row r="15">
          <cell r="B15" t="str">
            <v>TRAN THI HA CHINH</v>
          </cell>
        </row>
        <row r="16">
          <cell r="B16" t="str">
            <v>DANG BICH THUY</v>
          </cell>
        </row>
        <row r="17">
          <cell r="B17" t="str">
            <v>DANG BICH THUY</v>
          </cell>
        </row>
        <row r="18">
          <cell r="B18" t="str">
            <v>DANG BICH THUY</v>
          </cell>
        </row>
        <row r="19">
          <cell r="B19" t="str">
            <v>TRAN THI VAN ANH</v>
          </cell>
        </row>
        <row r="20">
          <cell r="B20" t="str">
            <v>TRAN THI VAN ANH</v>
          </cell>
        </row>
        <row r="21">
          <cell r="B21" t="str">
            <v>TRAN THI VAN ANH</v>
          </cell>
        </row>
        <row r="22">
          <cell r="B22" t="str">
            <v>NGUYEN THU HUYEN</v>
          </cell>
        </row>
        <row r="23">
          <cell r="B23" t="str">
            <v>NGUYEN THU HUYEN</v>
          </cell>
        </row>
        <row r="24">
          <cell r="B24" t="str">
            <v>NGUYEN THU HUYEN</v>
          </cell>
        </row>
        <row r="25">
          <cell r="B25" t="str">
            <v>HA THI MAI KHANH</v>
          </cell>
        </row>
        <row r="26">
          <cell r="B26" t="str">
            <v>HA THI MAI KHANH</v>
          </cell>
        </row>
        <row r="27">
          <cell r="B27" t="str">
            <v>HA THI MAI KHANH</v>
          </cell>
        </row>
        <row r="28">
          <cell r="B28" t="str">
            <v>NGUYEN VAN DUONG</v>
          </cell>
        </row>
        <row r="29">
          <cell r="B29" t="str">
            <v>NGUYEN VAN DUONG</v>
          </cell>
        </row>
        <row r="30">
          <cell r="B30" t="str">
            <v>NGUYEN VAN DUONG</v>
          </cell>
        </row>
        <row r="31">
          <cell r="B31" t="str">
            <v>LE THI PHUONG MAI</v>
          </cell>
        </row>
        <row r="32">
          <cell r="B32" t="str">
            <v>LE THI PHUONG MAI</v>
          </cell>
        </row>
        <row r="33">
          <cell r="B33" t="str">
            <v>LE THI PHUONG MAI</v>
          </cell>
        </row>
        <row r="34">
          <cell r="B34" t="str">
            <v>TRAN THI HIEN</v>
          </cell>
        </row>
        <row r="35">
          <cell r="B35" t="str">
            <v>TRAN THI HIEN</v>
          </cell>
        </row>
        <row r="36">
          <cell r="B36" t="str">
            <v>TRAN THI HIEN</v>
          </cell>
        </row>
        <row r="37">
          <cell r="B37" t="str">
            <v>NGUYEN DINH THANH</v>
          </cell>
        </row>
        <row r="38">
          <cell r="B38" t="str">
            <v>NGUYEN DINH THANH</v>
          </cell>
        </row>
        <row r="39">
          <cell r="B39" t="str">
            <v>NGUYEN DINH THANH</v>
          </cell>
        </row>
        <row r="40">
          <cell r="B40" t="str">
            <v>NGUYEN THI THANH NA</v>
          </cell>
        </row>
        <row r="41">
          <cell r="B41" t="str">
            <v>NGUYEN THI THANH NA</v>
          </cell>
        </row>
        <row r="42">
          <cell r="B42" t="str">
            <v>NGUYEN THI THANH NA</v>
          </cell>
        </row>
        <row r="43">
          <cell r="B43" t="str">
            <v>NGUYEN THI THANH NA</v>
          </cell>
        </row>
        <row r="44">
          <cell r="B44" t="str">
            <v>NGUYEN THI THANH NA</v>
          </cell>
        </row>
        <row r="45">
          <cell r="B45" t="str">
            <v>NGUYEN THI THANH NA</v>
          </cell>
        </row>
        <row r="46">
          <cell r="B46" t="str">
            <v>NGUYEN THI THANH NA</v>
          </cell>
        </row>
        <row r="47">
          <cell r="B47" t="str">
            <v>NGUYEN THI THANH NA</v>
          </cell>
        </row>
        <row r="48">
          <cell r="B48" t="str">
            <v>Chu Gia Khanh Toan</v>
          </cell>
        </row>
        <row r="49">
          <cell r="B49" t="str">
            <v>Chu Gia Khanh Toan</v>
          </cell>
        </row>
        <row r="50">
          <cell r="B50" t="str">
            <v>Chu Gia Khanh Toan</v>
          </cell>
        </row>
        <row r="51">
          <cell r="B51" t="str">
            <v>Nguyen Hong Nhung</v>
          </cell>
        </row>
        <row r="52">
          <cell r="B52" t="str">
            <v>Nguyen Hong Nhung</v>
          </cell>
        </row>
        <row r="53">
          <cell r="B53" t="str">
            <v>Nguyen Hong Nhung</v>
          </cell>
        </row>
        <row r="54">
          <cell r="B54" t="str">
            <v>Dinh Ngoc Hien</v>
          </cell>
        </row>
        <row r="55">
          <cell r="B55" t="str">
            <v>Dinh Ngoc Hien</v>
          </cell>
        </row>
        <row r="56">
          <cell r="B56" t="str">
            <v>Dinh Ngoc Hien</v>
          </cell>
        </row>
        <row r="57">
          <cell r="B57" t="str">
            <v>To Thi Ha</v>
          </cell>
        </row>
        <row r="58">
          <cell r="B58" t="str">
            <v>To Thi Ha</v>
          </cell>
        </row>
        <row r="59">
          <cell r="B59" t="str">
            <v>To Thi Ha</v>
          </cell>
        </row>
        <row r="60">
          <cell r="B60" t="str">
            <v>Nguyen Thu Huong</v>
          </cell>
        </row>
        <row r="61">
          <cell r="B61" t="str">
            <v>Nguyen Thu Huong</v>
          </cell>
        </row>
        <row r="62">
          <cell r="B62" t="str">
            <v>Nguyen Thu Huong</v>
          </cell>
        </row>
        <row r="63">
          <cell r="B63" t="str">
            <v>Nguyen Thi Vinh</v>
          </cell>
        </row>
        <row r="64">
          <cell r="B64" t="str">
            <v>Nguyen Thi Vinh</v>
          </cell>
        </row>
        <row r="65">
          <cell r="B65" t="str">
            <v>Nguyen Thi Vinh</v>
          </cell>
        </row>
        <row r="66">
          <cell r="B66" t="str">
            <v>Truong Thi Hanh Phuc</v>
          </cell>
        </row>
        <row r="67">
          <cell r="B67" t="str">
            <v>Truong Thi Hanh Phuc</v>
          </cell>
        </row>
        <row r="68">
          <cell r="B68" t="str">
            <v>Truong Thi Hanh Phuc</v>
          </cell>
        </row>
        <row r="69">
          <cell r="B69" t="str">
            <v>Truong Thi Hanh Phuc</v>
          </cell>
        </row>
        <row r="70">
          <cell r="B70" t="str">
            <v>Truong Thi Hanh Phuc</v>
          </cell>
        </row>
        <row r="71">
          <cell r="B71" t="str">
            <v>Truong Thi Hanh Phuc</v>
          </cell>
        </row>
        <row r="72">
          <cell r="B72" t="str">
            <v>Truong Thi Hanh Phuc</v>
          </cell>
        </row>
        <row r="73">
          <cell r="B73" t="str">
            <v>Nguyen Thi Huyen</v>
          </cell>
        </row>
        <row r="74">
          <cell r="B74" t="str">
            <v>Nguyen Thi Huyen</v>
          </cell>
        </row>
        <row r="75">
          <cell r="B75" t="str">
            <v>Nguyen Thi Huyen</v>
          </cell>
        </row>
        <row r="76">
          <cell r="B76" t="str">
            <v>Nguyen Thi Lan</v>
          </cell>
        </row>
        <row r="77">
          <cell r="B77" t="str">
            <v>Nguyen Thi Lan</v>
          </cell>
        </row>
        <row r="78">
          <cell r="B78" t="str">
            <v>Nguyen Thi Lan</v>
          </cell>
        </row>
        <row r="79">
          <cell r="B79" t="str">
            <v>Bui Thi Quynh Nga</v>
          </cell>
        </row>
        <row r="80">
          <cell r="B80" t="str">
            <v>Bui Thi Quynh Nga</v>
          </cell>
        </row>
        <row r="81">
          <cell r="B81" t="str">
            <v>Bui Thi Quynh Nga</v>
          </cell>
        </row>
        <row r="82">
          <cell r="B82" t="str">
            <v>Vu Thi Y</v>
          </cell>
        </row>
        <row r="83">
          <cell r="B83" t="str">
            <v>Vu Thi Y</v>
          </cell>
        </row>
        <row r="84">
          <cell r="B84" t="str">
            <v>Vu Thi Y</v>
          </cell>
        </row>
        <row r="85">
          <cell r="B85" t="str">
            <v>Nguyen Thi Thanh</v>
          </cell>
        </row>
        <row r="86">
          <cell r="B86" t="str">
            <v>Nguyen Thi Thanh</v>
          </cell>
        </row>
        <row r="87">
          <cell r="B87" t="str">
            <v>Nguyen Thi Thanh</v>
          </cell>
        </row>
        <row r="88">
          <cell r="B88" t="str">
            <v>Tran Manh Cuong</v>
          </cell>
        </row>
        <row r="89">
          <cell r="B89" t="str">
            <v>Tran Manh Cuong</v>
          </cell>
        </row>
        <row r="90">
          <cell r="B90" t="str">
            <v>Tran Manh Cuong</v>
          </cell>
        </row>
        <row r="91">
          <cell r="B91" t="str">
            <v>Le Thi Nga</v>
          </cell>
        </row>
        <row r="92">
          <cell r="B92" t="str">
            <v>Le Thi Nga</v>
          </cell>
        </row>
        <row r="93">
          <cell r="B93" t="str">
            <v>Le Thi Nga</v>
          </cell>
        </row>
        <row r="94">
          <cell r="B94" t="str">
            <v>Do Thi Hong Nhung</v>
          </cell>
        </row>
        <row r="95">
          <cell r="B95" t="str">
            <v>Do Thi Hong Nhung</v>
          </cell>
        </row>
        <row r="96">
          <cell r="B96" t="str">
            <v>Do Thi Hong Nhung</v>
          </cell>
        </row>
        <row r="97">
          <cell r="B97" t="str">
            <v>Nguyen Minh Quyen</v>
          </cell>
        </row>
        <row r="98">
          <cell r="B98" t="str">
            <v>Nguyen Minh Quyen</v>
          </cell>
        </row>
        <row r="99">
          <cell r="B99" t="str">
            <v>Nguyen Minh Quyen</v>
          </cell>
        </row>
        <row r="100">
          <cell r="B100" t="str">
            <v>Nguyen Minh Quyen</v>
          </cell>
        </row>
        <row r="101">
          <cell r="B101" t="str">
            <v>Nguyen Minh Quyen</v>
          </cell>
        </row>
        <row r="102">
          <cell r="B102" t="str">
            <v>Nguyen Minh Quyen</v>
          </cell>
        </row>
        <row r="103">
          <cell r="B103" t="str">
            <v>Nguyen Minh Quyen</v>
          </cell>
        </row>
        <row r="104">
          <cell r="B104" t="str">
            <v>Nguyen Minh Quyen</v>
          </cell>
        </row>
        <row r="105">
          <cell r="B105" t="str">
            <v>Nguyen Minh Quyen</v>
          </cell>
        </row>
        <row r="106">
          <cell r="B106" t="str">
            <v>Nguyen Minh Quyen</v>
          </cell>
        </row>
        <row r="107">
          <cell r="B107" t="str">
            <v>Nguyen Minh Quyen</v>
          </cell>
        </row>
        <row r="108">
          <cell r="B108" t="str">
            <v>Nguyen Minh Quyen</v>
          </cell>
        </row>
        <row r="109">
          <cell r="B109" t="str">
            <v>Nguyen Minh Quyen</v>
          </cell>
        </row>
        <row r="110">
          <cell r="B110" t="str">
            <v>Nguyen Minh Quyen</v>
          </cell>
        </row>
        <row r="111">
          <cell r="B111" t="str">
            <v>Nguyen Minh Quyen</v>
          </cell>
        </row>
        <row r="112">
          <cell r="B112" t="str">
            <v>Le Thu Thuy</v>
          </cell>
        </row>
        <row r="113">
          <cell r="B113" t="str">
            <v>Le Thu Thuy</v>
          </cell>
        </row>
        <row r="114">
          <cell r="B114" t="str">
            <v>Le Thu Thuy</v>
          </cell>
        </row>
        <row r="115">
          <cell r="B115" t="str">
            <v>Tran Van Tung</v>
          </cell>
        </row>
        <row r="116">
          <cell r="B116" t="str">
            <v>Tran Van Tung</v>
          </cell>
        </row>
        <row r="117">
          <cell r="B117" t="str">
            <v>Tran Van Tung</v>
          </cell>
        </row>
        <row r="118">
          <cell r="B118" t="str">
            <v>Nguyen Kim Oanh</v>
          </cell>
        </row>
        <row r="119">
          <cell r="B119" t="str">
            <v>Nguyen Kim Oanh</v>
          </cell>
        </row>
        <row r="120">
          <cell r="B120" t="str">
            <v>Nguyen Kim Oanh</v>
          </cell>
        </row>
        <row r="121">
          <cell r="B121" t="str">
            <v>Nguyen Kim Oanh</v>
          </cell>
        </row>
        <row r="122">
          <cell r="B122" t="str">
            <v>Nguyen Hong Kien</v>
          </cell>
        </row>
        <row r="123">
          <cell r="B123" t="str">
            <v>Nguyen Hong Kien</v>
          </cell>
        </row>
        <row r="124">
          <cell r="B124" t="str">
            <v>Nguyen Hong Kien</v>
          </cell>
        </row>
        <row r="125">
          <cell r="B125" t="str">
            <v>Hoang Thi Thanh</v>
          </cell>
        </row>
        <row r="126">
          <cell r="B126" t="str">
            <v>Hoang Thi Thanh</v>
          </cell>
        </row>
        <row r="127">
          <cell r="B127" t="str">
            <v>Hoang Thi Thanh</v>
          </cell>
        </row>
        <row r="128">
          <cell r="B128" t="str">
            <v>Vu Dinh Thang</v>
          </cell>
        </row>
        <row r="129">
          <cell r="B129" t="str">
            <v>Vu Dinh Thang</v>
          </cell>
        </row>
        <row r="130">
          <cell r="B130" t="str">
            <v>Vu Dinh Thang</v>
          </cell>
        </row>
        <row r="131">
          <cell r="B131" t="str">
            <v>Nguyen Thi Huong</v>
          </cell>
        </row>
        <row r="132">
          <cell r="B132" t="str">
            <v>Nguyen Thi Huong</v>
          </cell>
        </row>
        <row r="133">
          <cell r="B133" t="str">
            <v>Nguyen Thi Huong</v>
          </cell>
        </row>
        <row r="134">
          <cell r="B134" t="str">
            <v>Nguyen Thi An</v>
          </cell>
        </row>
        <row r="135">
          <cell r="B135" t="str">
            <v>Nguyen Thi An</v>
          </cell>
        </row>
        <row r="136">
          <cell r="B136" t="str">
            <v>Nguyen Thi An</v>
          </cell>
        </row>
        <row r="137">
          <cell r="B137" t="str">
            <v>Nguyen Thi An</v>
          </cell>
        </row>
        <row r="138">
          <cell r="B138" t="str">
            <v>Nguyen Thi An</v>
          </cell>
        </row>
        <row r="139">
          <cell r="B139" t="str">
            <v>Nguyen Thi An</v>
          </cell>
        </row>
        <row r="140">
          <cell r="B140" t="str">
            <v>Hoang Thi Lan</v>
          </cell>
        </row>
        <row r="141">
          <cell r="B141" t="str">
            <v>Hoang Thi Lan</v>
          </cell>
        </row>
        <row r="142">
          <cell r="B142" t="str">
            <v>Hoang Thi Lan</v>
          </cell>
        </row>
        <row r="143">
          <cell r="B143" t="str">
            <v>Nguyen Hoang Phong</v>
          </cell>
        </row>
        <row r="144">
          <cell r="B144" t="str">
            <v>Nguyen Hoang Phong</v>
          </cell>
        </row>
        <row r="145">
          <cell r="B145" t="str">
            <v>Nguyen Hoang Phong</v>
          </cell>
        </row>
        <row r="146">
          <cell r="B146" t="str">
            <v>Pham Thi Thuy</v>
          </cell>
        </row>
        <row r="147">
          <cell r="B147" t="str">
            <v>Pham Thi Thuy</v>
          </cell>
        </row>
        <row r="148">
          <cell r="B148" t="str">
            <v>Pham Thi Thuy</v>
          </cell>
        </row>
        <row r="149">
          <cell r="B149" t="str">
            <v>Le Thi Trang</v>
          </cell>
        </row>
        <row r="150">
          <cell r="B150" t="str">
            <v>Le Thi Trang</v>
          </cell>
        </row>
        <row r="151">
          <cell r="B151" t="str">
            <v>Le Thi Trang</v>
          </cell>
        </row>
        <row r="152">
          <cell r="B152" t="str">
            <v>Do Thi Ngoc Bich</v>
          </cell>
        </row>
        <row r="153">
          <cell r="B153" t="str">
            <v>Do Thi Ngoc Bich</v>
          </cell>
        </row>
        <row r="154">
          <cell r="B154" t="str">
            <v>Do Thi Ngoc Bich</v>
          </cell>
        </row>
        <row r="155">
          <cell r="B155" t="str">
            <v>Hoang Hong Nhung</v>
          </cell>
        </row>
        <row r="156">
          <cell r="B156" t="str">
            <v>Hoang Hong Nhung</v>
          </cell>
        </row>
        <row r="157">
          <cell r="B157" t="str">
            <v>Hoang Hong Nhung</v>
          </cell>
        </row>
        <row r="158">
          <cell r="B158" t="str">
            <v>Hoang Hong Nhung</v>
          </cell>
        </row>
        <row r="159">
          <cell r="B159" t="str">
            <v>Hoang Hong Nhung</v>
          </cell>
        </row>
        <row r="160">
          <cell r="B160" t="str">
            <v>Hoang Hong Nhung</v>
          </cell>
        </row>
        <row r="161">
          <cell r="B161" t="str">
            <v>Hoang Hong Nhung</v>
          </cell>
        </row>
        <row r="162">
          <cell r="B162" t="str">
            <v>Hoang Hong Nhung</v>
          </cell>
        </row>
        <row r="163">
          <cell r="B163" t="str">
            <v>Than Thi Men</v>
          </cell>
        </row>
        <row r="164">
          <cell r="B164" t="str">
            <v>Than Thi Men</v>
          </cell>
        </row>
        <row r="165">
          <cell r="B165" t="str">
            <v>Than Thi Men</v>
          </cell>
        </row>
        <row r="166">
          <cell r="B166" t="str">
            <v>Tran Thi Huyen Trang</v>
          </cell>
        </row>
        <row r="167">
          <cell r="B167" t="str">
            <v>Tran Thi Huyen Trang</v>
          </cell>
        </row>
        <row r="168">
          <cell r="B168" t="str">
            <v>Tran Thi Huyen Trang</v>
          </cell>
        </row>
        <row r="169">
          <cell r="B169" t="str">
            <v>Tran Thi Huyen Trang</v>
          </cell>
        </row>
        <row r="170">
          <cell r="B170" t="str">
            <v>Tran Thi Huyen Trang</v>
          </cell>
        </row>
        <row r="171">
          <cell r="B171" t="str">
            <v>Tran Thi Huyen Trang</v>
          </cell>
        </row>
        <row r="172">
          <cell r="B172" t="str">
            <v>Vu Thi Hang</v>
          </cell>
        </row>
        <row r="173">
          <cell r="B173" t="str">
            <v>Vu Thi Hang</v>
          </cell>
        </row>
        <row r="174">
          <cell r="B174" t="str">
            <v>Vu Thi Hang</v>
          </cell>
        </row>
        <row r="175">
          <cell r="B175" t="str">
            <v>Do Thi Hue</v>
          </cell>
        </row>
        <row r="176">
          <cell r="B176" t="str">
            <v>Do Thi Hue</v>
          </cell>
        </row>
        <row r="177">
          <cell r="B177" t="str">
            <v>Do Thi Hue</v>
          </cell>
        </row>
        <row r="178">
          <cell r="B178" t="str">
            <v>Do Thi Hue</v>
          </cell>
        </row>
        <row r="179">
          <cell r="B179" t="str">
            <v>Do Thi Hue</v>
          </cell>
        </row>
        <row r="180">
          <cell r="B180" t="str">
            <v>Do Thi Hue</v>
          </cell>
        </row>
        <row r="181">
          <cell r="B181" t="str">
            <v>Le Thi Phuong</v>
          </cell>
        </row>
        <row r="182">
          <cell r="B182" t="str">
            <v>Le Thi Phuong</v>
          </cell>
        </row>
        <row r="183">
          <cell r="B183" t="str">
            <v>Le Thi Phuong</v>
          </cell>
        </row>
        <row r="184">
          <cell r="B184" t="str">
            <v>Ngo Thi Phuong</v>
          </cell>
        </row>
        <row r="185">
          <cell r="B185" t="str">
            <v>Ngo Thi Phuong</v>
          </cell>
        </row>
        <row r="186">
          <cell r="B186" t="str">
            <v>Ngo Thi Phuong</v>
          </cell>
        </row>
        <row r="187">
          <cell r="B187" t="str">
            <v>Dien Kim Thoa</v>
          </cell>
        </row>
        <row r="188">
          <cell r="B188" t="str">
            <v>Dien Kim Thoa</v>
          </cell>
        </row>
        <row r="189">
          <cell r="B189" t="str">
            <v>Dien Kim Thoa</v>
          </cell>
        </row>
        <row r="190">
          <cell r="B190" t="str">
            <v>Tran Thi Thuy</v>
          </cell>
        </row>
        <row r="191">
          <cell r="B191" t="str">
            <v>Tran Thi Thuy</v>
          </cell>
        </row>
        <row r="192">
          <cell r="B192" t="str">
            <v>Tran Thi Thuy</v>
          </cell>
        </row>
        <row r="193">
          <cell r="B193" t="str">
            <v>Trinh Thi Tam</v>
          </cell>
        </row>
        <row r="194">
          <cell r="B194" t="str">
            <v>Trinh Thi Tam</v>
          </cell>
        </row>
        <row r="195">
          <cell r="B195" t="str">
            <v>Trinh Thi Tam</v>
          </cell>
        </row>
        <row r="196">
          <cell r="B196" t="str">
            <v>Nguyen Minh Tuan</v>
          </cell>
        </row>
        <row r="197">
          <cell r="B197" t="str">
            <v>Nguyen Minh Tuan</v>
          </cell>
        </row>
        <row r="198">
          <cell r="B198" t="str">
            <v>Nguyen Minh Tuan</v>
          </cell>
        </row>
        <row r="199">
          <cell r="B199" t="str">
            <v>Tran Thi Kim Duyen</v>
          </cell>
        </row>
        <row r="200">
          <cell r="B200" t="str">
            <v>Tran Thi Kim Duyen</v>
          </cell>
        </row>
        <row r="201">
          <cell r="B201" t="str">
            <v>Tran Thi Kim Duyen</v>
          </cell>
        </row>
        <row r="202">
          <cell r="B202" t="str">
            <v>Vu Thi Thanh Hang</v>
          </cell>
        </row>
        <row r="203">
          <cell r="B203" t="str">
            <v>Vu Thi Thanh Hang</v>
          </cell>
        </row>
        <row r="204">
          <cell r="B204" t="str">
            <v>Vu Thi Thanh Hang</v>
          </cell>
        </row>
        <row r="205">
          <cell r="B205" t="str">
            <v>Trinh Thi Hai</v>
          </cell>
        </row>
        <row r="206">
          <cell r="B206" t="str">
            <v>Trinh Thi Hai</v>
          </cell>
        </row>
        <row r="207">
          <cell r="B207" t="str">
            <v>Trinh Thi Hai</v>
          </cell>
        </row>
        <row r="208">
          <cell r="B208" t="str">
            <v>Pham Thi Duyen</v>
          </cell>
        </row>
        <row r="209">
          <cell r="B209" t="str">
            <v>Pham Thi Duyen</v>
          </cell>
        </row>
        <row r="210">
          <cell r="B210" t="str">
            <v>Pham Thi Duyen</v>
          </cell>
        </row>
        <row r="211">
          <cell r="B211" t="str">
            <v>Pham Thi Duyen</v>
          </cell>
        </row>
      </sheetData>
      <sheetData sheetId="5" refreshError="1"/>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Thuy2.pham@lge.com" TargetMode="External"/><Relationship Id="rId13" Type="http://schemas.openxmlformats.org/officeDocument/2006/relationships/hyperlink" Target="mailto:Thuynga.nguyen@lge.com" TargetMode="External"/><Relationship Id="rId18" Type="http://schemas.openxmlformats.org/officeDocument/2006/relationships/hyperlink" Target="mailto:Thuy2.pham@lge.com" TargetMode="External"/><Relationship Id="rId26" Type="http://schemas.openxmlformats.org/officeDocument/2006/relationships/hyperlink" Target="mailto:Lan.nguyen@lge.com" TargetMode="External"/><Relationship Id="rId3" Type="http://schemas.openxmlformats.org/officeDocument/2006/relationships/hyperlink" Target="mailto:Lan.hoang@lge.com" TargetMode="External"/><Relationship Id="rId21" Type="http://schemas.openxmlformats.org/officeDocument/2006/relationships/hyperlink" Target="mailto:hoangphong.nguyen@lge.com" TargetMode="External"/><Relationship Id="rId7" Type="http://schemas.openxmlformats.org/officeDocument/2006/relationships/hyperlink" Target="mailto:Kimoanh.nguyen@lge.com" TargetMode="External"/><Relationship Id="rId12" Type="http://schemas.openxmlformats.org/officeDocument/2006/relationships/hyperlink" Target="mailto:Phuong1.nguyen@lge.com" TargetMode="External"/><Relationship Id="rId17" Type="http://schemas.openxmlformats.org/officeDocument/2006/relationships/hyperlink" Target="mailto:kimoanh.nguyen@lge.com" TargetMode="External"/><Relationship Id="rId25" Type="http://schemas.openxmlformats.org/officeDocument/2006/relationships/hyperlink" Target="mailto:Phuong1.nguyen@lge.com" TargetMode="External"/><Relationship Id="rId2" Type="http://schemas.openxmlformats.org/officeDocument/2006/relationships/hyperlink" Target="https://www.ksvpro.vn/c/cuongtran.html" TargetMode="External"/><Relationship Id="rId16" Type="http://schemas.openxmlformats.org/officeDocument/2006/relationships/hyperlink" Target="mailto:kimoanh.nguyen@lge.com" TargetMode="External"/><Relationship Id="rId20" Type="http://schemas.openxmlformats.org/officeDocument/2006/relationships/hyperlink" Target="mailto:Anh.to@lge.com" TargetMode="External"/><Relationship Id="rId29" Type="http://schemas.openxmlformats.org/officeDocument/2006/relationships/hyperlink" Target="mailto:Thuynga.nguyen@lge.com" TargetMode="External"/><Relationship Id="rId1" Type="http://schemas.openxmlformats.org/officeDocument/2006/relationships/hyperlink" Target="https://www.ksvpro.vn/c/vt2_bichdo.html" TargetMode="External"/><Relationship Id="rId6" Type="http://schemas.openxmlformats.org/officeDocument/2006/relationships/hyperlink" Target="mailto:Thuy1.le@lge.com" TargetMode="External"/><Relationship Id="rId11" Type="http://schemas.openxmlformats.org/officeDocument/2006/relationships/hyperlink" Target="mailto:Kimoanh.nguyen@lge.com" TargetMode="External"/><Relationship Id="rId24" Type="http://schemas.openxmlformats.org/officeDocument/2006/relationships/hyperlink" Target="mailto:Lan.nguyen@lge.com" TargetMode="External"/><Relationship Id="rId5" Type="http://schemas.openxmlformats.org/officeDocument/2006/relationships/hyperlink" Target="mailto:Cuong.tran@lge.com" TargetMode="External"/><Relationship Id="rId15" Type="http://schemas.openxmlformats.org/officeDocument/2006/relationships/hyperlink" Target="mailto:kimoanh.nguyen@lge.com" TargetMode="External"/><Relationship Id="rId23" Type="http://schemas.openxmlformats.org/officeDocument/2006/relationships/hyperlink" Target="mailto:Lan.nguyen@lge.com" TargetMode="External"/><Relationship Id="rId28" Type="http://schemas.openxmlformats.org/officeDocument/2006/relationships/hyperlink" Target="mailto:Lan.hoang@lge.com" TargetMode="External"/><Relationship Id="rId10" Type="http://schemas.openxmlformats.org/officeDocument/2006/relationships/hyperlink" Target="mailto:Trang2.le@lge.com" TargetMode="External"/><Relationship Id="rId19" Type="http://schemas.openxmlformats.org/officeDocument/2006/relationships/hyperlink" Target="mailto:nguyet2.nguyen@lge.com" TargetMode="External"/><Relationship Id="rId31" Type="http://schemas.openxmlformats.org/officeDocument/2006/relationships/printerSettings" Target="../printerSettings/printerSettings4.bin"/><Relationship Id="rId4" Type="http://schemas.openxmlformats.org/officeDocument/2006/relationships/hyperlink" Target="mailto:Lan.nguyen@lge.com" TargetMode="External"/><Relationship Id="rId9" Type="http://schemas.openxmlformats.org/officeDocument/2006/relationships/hyperlink" Target="mailto:vi2.nguyen@lge.com" TargetMode="External"/><Relationship Id="rId14" Type="http://schemas.openxmlformats.org/officeDocument/2006/relationships/hyperlink" Target="mailto:Lan.nguyen@lge.com" TargetMode="External"/><Relationship Id="rId22" Type="http://schemas.openxmlformats.org/officeDocument/2006/relationships/hyperlink" Target="mailto:Lan.nguyen@lge.com" TargetMode="External"/><Relationship Id="rId27" Type="http://schemas.openxmlformats.org/officeDocument/2006/relationships/hyperlink" Target="mailto:Lan.nguyen@lge.com" TargetMode="External"/><Relationship Id="rId30" Type="http://schemas.openxmlformats.org/officeDocument/2006/relationships/hyperlink" Target="mailto:hoangphong.nguyen@lge.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4:G47"/>
  <sheetViews>
    <sheetView showGridLines="0" zoomScaleNormal="100" workbookViewId="0">
      <selection activeCell="D38" sqref="D38"/>
    </sheetView>
  </sheetViews>
  <sheetFormatPr defaultColWidth="9" defaultRowHeight="13.8"/>
  <cols>
    <col min="1" max="2" width="2.88671875" style="192" customWidth="1"/>
    <col min="3" max="3" width="11.33203125" style="219" customWidth="1"/>
    <col min="4" max="4" width="11.33203125" style="194" customWidth="1"/>
    <col min="5" max="5" width="59.88671875" style="192" customWidth="1"/>
    <col min="6" max="6" width="18.88671875" style="192" customWidth="1"/>
    <col min="7" max="7" width="19.109375" style="192" customWidth="1"/>
    <col min="8" max="16384" width="9" style="192"/>
  </cols>
  <sheetData>
    <row r="4" spans="2:7">
      <c r="C4" s="263" t="s">
        <v>302</v>
      </c>
      <c r="D4" s="264"/>
      <c r="E4" s="264"/>
      <c r="F4" s="264"/>
      <c r="G4" s="264"/>
    </row>
    <row r="5" spans="2:7">
      <c r="C5" s="264"/>
      <c r="D5" s="264"/>
      <c r="E5" s="264"/>
      <c r="F5" s="264"/>
      <c r="G5" s="264"/>
    </row>
    <row r="6" spans="2:7">
      <c r="C6" s="264"/>
      <c r="D6" s="264"/>
      <c r="E6" s="264"/>
      <c r="F6" s="264"/>
      <c r="G6" s="264"/>
    </row>
    <row r="7" spans="2:7" ht="27.9" customHeight="1">
      <c r="C7" s="265" t="s">
        <v>290</v>
      </c>
      <c r="D7" s="266"/>
      <c r="E7" s="266"/>
      <c r="F7" s="266"/>
      <c r="G7" s="266"/>
    </row>
    <row r="8" spans="2:7" ht="23.25" customHeight="1">
      <c r="B8" s="193" t="s">
        <v>272</v>
      </c>
      <c r="C8" s="193" t="s">
        <v>273</v>
      </c>
    </row>
    <row r="9" spans="2:7">
      <c r="C9" s="259" t="s">
        <v>274</v>
      </c>
      <c r="D9" s="259"/>
      <c r="E9" s="267" t="s">
        <v>303</v>
      </c>
      <c r="F9" s="267"/>
      <c r="G9" s="267"/>
    </row>
    <row r="10" spans="2:7" ht="43.5" customHeight="1">
      <c r="C10" s="259" t="s">
        <v>275</v>
      </c>
      <c r="D10" s="259"/>
      <c r="E10" s="268" t="s">
        <v>291</v>
      </c>
      <c r="F10" s="269"/>
      <c r="G10" s="269"/>
    </row>
    <row r="11" spans="2:7">
      <c r="C11" s="259" t="s">
        <v>276</v>
      </c>
      <c r="D11" s="259"/>
      <c r="E11" s="260" t="s">
        <v>277</v>
      </c>
      <c r="F11" s="261"/>
      <c r="G11" s="261"/>
    </row>
    <row r="13" spans="2:7" ht="23.25" customHeight="1">
      <c r="B13" s="193" t="s">
        <v>278</v>
      </c>
      <c r="C13" s="193" t="s">
        <v>279</v>
      </c>
    </row>
    <row r="14" spans="2:7">
      <c r="C14" s="195" t="s">
        <v>280</v>
      </c>
      <c r="D14" s="196" t="s">
        <v>281</v>
      </c>
      <c r="E14" s="197" t="s">
        <v>282</v>
      </c>
      <c r="F14" s="198" t="s">
        <v>283</v>
      </c>
      <c r="G14" s="198" t="s">
        <v>2</v>
      </c>
    </row>
    <row r="15" spans="2:7">
      <c r="C15" s="199" t="s">
        <v>284</v>
      </c>
      <c r="D15" s="200">
        <v>43141</v>
      </c>
      <c r="E15" s="201" t="s">
        <v>287</v>
      </c>
      <c r="F15" s="202" t="s">
        <v>286</v>
      </c>
      <c r="G15" s="202"/>
    </row>
    <row r="16" spans="2:7">
      <c r="C16" s="199" t="s">
        <v>288</v>
      </c>
      <c r="D16" s="200">
        <v>43476</v>
      </c>
      <c r="E16" s="201" t="s">
        <v>289</v>
      </c>
      <c r="F16" s="202" t="s">
        <v>286</v>
      </c>
      <c r="G16" s="202"/>
    </row>
    <row r="17" spans="3:7">
      <c r="C17" s="199"/>
      <c r="D17" s="200"/>
      <c r="E17" s="201"/>
      <c r="F17" s="202"/>
      <c r="G17" s="202"/>
    </row>
    <row r="18" spans="3:7">
      <c r="C18" s="203"/>
      <c r="D18" s="204"/>
      <c r="E18" s="205"/>
      <c r="F18" s="206"/>
      <c r="G18" s="206"/>
    </row>
    <row r="19" spans="3:7">
      <c r="C19" s="203"/>
      <c r="D19" s="204"/>
      <c r="E19" s="205"/>
      <c r="F19" s="206"/>
      <c r="G19" s="206"/>
    </row>
    <row r="20" spans="3:7">
      <c r="C20" s="203"/>
      <c r="D20" s="204"/>
      <c r="E20" s="205"/>
      <c r="F20" s="206"/>
      <c r="G20" s="206"/>
    </row>
    <row r="21" spans="3:7">
      <c r="C21" s="203"/>
      <c r="D21" s="204"/>
      <c r="E21" s="205"/>
      <c r="F21" s="206"/>
      <c r="G21" s="206"/>
    </row>
    <row r="22" spans="3:7">
      <c r="C22" s="203"/>
      <c r="D22" s="204"/>
      <c r="E22" s="205"/>
      <c r="F22" s="206"/>
      <c r="G22" s="206"/>
    </row>
    <row r="23" spans="3:7">
      <c r="C23" s="203"/>
      <c r="D23" s="204"/>
      <c r="E23" s="205"/>
      <c r="F23" s="206"/>
      <c r="G23" s="206"/>
    </row>
    <row r="24" spans="3:7">
      <c r="C24" s="203"/>
      <c r="D24" s="207"/>
      <c r="E24" s="208"/>
      <c r="F24" s="209"/>
      <c r="G24" s="206"/>
    </row>
    <row r="25" spans="3:7">
      <c r="C25" s="203"/>
      <c r="D25" s="207"/>
      <c r="E25" s="208"/>
      <c r="F25" s="209"/>
      <c r="G25" s="206"/>
    </row>
    <row r="26" spans="3:7">
      <c r="C26" s="203"/>
      <c r="D26" s="207"/>
      <c r="E26" s="208"/>
      <c r="F26" s="209"/>
      <c r="G26" s="206"/>
    </row>
    <row r="27" spans="3:7">
      <c r="C27" s="203"/>
      <c r="D27" s="207"/>
      <c r="E27" s="208"/>
      <c r="F27" s="209"/>
      <c r="G27" s="206"/>
    </row>
    <row r="28" spans="3:7">
      <c r="C28" s="203"/>
      <c r="D28" s="207"/>
      <c r="E28" s="208"/>
      <c r="F28" s="209"/>
      <c r="G28" s="206"/>
    </row>
    <row r="29" spans="3:7">
      <c r="C29" s="203"/>
      <c r="D29" s="207"/>
      <c r="E29" s="208"/>
      <c r="F29" s="209"/>
      <c r="G29" s="206"/>
    </row>
    <row r="30" spans="3:7">
      <c r="C30" s="203"/>
      <c r="D30" s="207"/>
      <c r="E30" s="208"/>
      <c r="F30" s="209"/>
      <c r="G30" s="206"/>
    </row>
    <row r="31" spans="3:7">
      <c r="C31" s="203"/>
      <c r="D31" s="207"/>
      <c r="E31" s="208"/>
      <c r="F31" s="209"/>
      <c r="G31" s="206"/>
    </row>
    <row r="32" spans="3:7">
      <c r="C32" s="203"/>
      <c r="D32" s="207"/>
      <c r="E32" s="208"/>
      <c r="F32" s="209"/>
      <c r="G32" s="206"/>
    </row>
    <row r="33" spans="2:7">
      <c r="C33" s="203"/>
      <c r="D33" s="207"/>
      <c r="E33" s="208"/>
      <c r="F33" s="209"/>
      <c r="G33" s="206"/>
    </row>
    <row r="34" spans="2:7">
      <c r="C34" s="203"/>
      <c r="D34" s="207"/>
      <c r="E34" s="208"/>
      <c r="F34" s="209"/>
      <c r="G34" s="206"/>
    </row>
    <row r="35" spans="2:7">
      <c r="C35" s="203"/>
      <c r="D35" s="207"/>
      <c r="E35" s="208"/>
      <c r="F35" s="209"/>
      <c r="G35" s="206"/>
    </row>
    <row r="36" spans="2:7">
      <c r="C36" s="203"/>
      <c r="D36" s="207"/>
      <c r="E36" s="208"/>
      <c r="F36" s="209"/>
      <c r="G36" s="206"/>
    </row>
    <row r="37" spans="2:7">
      <c r="C37" s="203"/>
      <c r="D37" s="207"/>
      <c r="E37" s="208"/>
      <c r="F37" s="209"/>
      <c r="G37" s="206"/>
    </row>
    <row r="38" spans="2:7">
      <c r="C38" s="203"/>
      <c r="D38" s="207"/>
      <c r="E38" s="208"/>
      <c r="F38" s="209"/>
      <c r="G38" s="206"/>
    </row>
    <row r="39" spans="2:7">
      <c r="C39" s="203"/>
      <c r="D39" s="207"/>
      <c r="E39" s="208"/>
      <c r="F39" s="209"/>
      <c r="G39" s="206"/>
    </row>
    <row r="40" spans="2:7">
      <c r="C40" s="203"/>
      <c r="D40" s="207"/>
      <c r="E40" s="208"/>
      <c r="F40" s="209"/>
      <c r="G40" s="206"/>
    </row>
    <row r="41" spans="2:7">
      <c r="C41" s="210"/>
      <c r="D41" s="211"/>
      <c r="E41" s="212"/>
      <c r="F41" s="213"/>
      <c r="G41" s="214"/>
    </row>
    <row r="42" spans="2:7">
      <c r="C42" s="195"/>
      <c r="D42" s="196"/>
      <c r="E42" s="197"/>
      <c r="F42" s="198"/>
      <c r="G42" s="198"/>
    </row>
    <row r="43" spans="2:7">
      <c r="C43" s="215"/>
      <c r="D43" s="216"/>
      <c r="E43" s="217"/>
      <c r="F43" s="217"/>
      <c r="G43" s="218"/>
    </row>
    <row r="44" spans="2:7">
      <c r="C44" s="215"/>
      <c r="D44" s="216"/>
      <c r="E44" s="217"/>
      <c r="F44" s="217"/>
      <c r="G44" s="218"/>
    </row>
    <row r="45" spans="2:7">
      <c r="C45" s="215"/>
      <c r="D45" s="216"/>
      <c r="E45" s="217"/>
      <c r="F45" s="217"/>
      <c r="G45" s="218"/>
    </row>
    <row r="46" spans="2:7" ht="14.25" customHeight="1"/>
    <row r="47" spans="2:7" ht="86.25" customHeight="1">
      <c r="B47" s="262" t="s">
        <v>285</v>
      </c>
      <c r="C47" s="262"/>
      <c r="D47" s="262"/>
      <c r="E47" s="262"/>
      <c r="F47" s="262"/>
      <c r="G47" s="262"/>
    </row>
  </sheetData>
  <mergeCells count="9">
    <mergeCell ref="C11:D11"/>
    <mergeCell ref="E11:G11"/>
    <mergeCell ref="B47:G47"/>
    <mergeCell ref="C4:G6"/>
    <mergeCell ref="C7:G7"/>
    <mergeCell ref="C9:D9"/>
    <mergeCell ref="E9:G9"/>
    <mergeCell ref="C10:D10"/>
    <mergeCell ref="E10:G10"/>
  </mergeCells>
  <printOptions horizontalCentered="1"/>
  <pageMargins left="0.51181102362204722" right="0.51181102362204722" top="0.74803149606299213" bottom="0.74803149606299213" header="0.31496062992125984" footer="0.31496062992125984"/>
  <pageSetup paperSize="9" scale="75"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51"/>
  <sheetViews>
    <sheetView showGridLines="0" workbookViewId="0">
      <selection activeCell="J12" sqref="J12"/>
    </sheetView>
  </sheetViews>
  <sheetFormatPr defaultColWidth="9.109375" defaultRowHeight="13.2"/>
  <cols>
    <col min="1" max="1" width="23.6640625" style="2" customWidth="1"/>
    <col min="2" max="5" width="9.109375" style="2"/>
    <col min="6" max="6" width="39" style="2" customWidth="1"/>
    <col min="7" max="8" width="9.109375" style="2"/>
    <col min="9" max="9" width="11.77734375" style="2" customWidth="1"/>
    <col min="10" max="12" width="9.109375" style="2"/>
    <col min="13" max="15" width="1.88671875" style="2" customWidth="1"/>
    <col min="16" max="16" width="36.44140625" style="2" customWidth="1"/>
    <col min="17" max="17" width="15.77734375" style="2" customWidth="1"/>
    <col min="18" max="18" width="16.5546875" style="2" customWidth="1"/>
    <col min="19" max="19" width="18.5546875" style="2" customWidth="1"/>
    <col min="20" max="25" width="18.109375" style="2" customWidth="1"/>
    <col min="26" max="16384" width="9.109375" style="2"/>
  </cols>
  <sheetData>
    <row r="1" spans="1:23" s="1" customFormat="1">
      <c r="A1" s="1" t="s">
        <v>22</v>
      </c>
      <c r="P1" s="274"/>
      <c r="Q1" s="274"/>
      <c r="R1" s="274"/>
      <c r="S1" s="274"/>
      <c r="T1" s="274"/>
      <c r="U1" s="274"/>
      <c r="V1" s="274"/>
      <c r="W1" s="274"/>
    </row>
    <row r="2" spans="1:23" ht="13.8">
      <c r="A2" s="4" t="s">
        <v>8</v>
      </c>
      <c r="B2" s="4" t="s">
        <v>9</v>
      </c>
      <c r="C2" s="4" t="s">
        <v>10</v>
      </c>
      <c r="D2" s="4" t="s">
        <v>11</v>
      </c>
      <c r="E2" s="4" t="s">
        <v>12</v>
      </c>
      <c r="F2" s="4" t="s">
        <v>13</v>
      </c>
      <c r="G2" s="4" t="s">
        <v>31</v>
      </c>
      <c r="H2" s="4" t="s">
        <v>14</v>
      </c>
      <c r="I2" s="4" t="s">
        <v>15</v>
      </c>
      <c r="J2" s="4" t="s">
        <v>16</v>
      </c>
      <c r="K2" s="4" t="s">
        <v>17</v>
      </c>
      <c r="L2" s="4" t="s">
        <v>18</v>
      </c>
      <c r="P2" s="274"/>
      <c r="Q2" s="16"/>
      <c r="R2" s="16"/>
      <c r="S2" s="17"/>
      <c r="T2" s="17"/>
      <c r="U2" s="17"/>
      <c r="V2" s="17"/>
      <c r="W2" s="274"/>
    </row>
    <row r="3" spans="1:23">
      <c r="A3" s="4"/>
      <c r="B3" s="4"/>
      <c r="C3" s="4"/>
      <c r="D3" s="4"/>
      <c r="E3" s="4"/>
      <c r="F3" s="4"/>
      <c r="G3" s="4">
        <v>22</v>
      </c>
      <c r="H3" s="4">
        <v>23</v>
      </c>
      <c r="I3" s="4">
        <v>20</v>
      </c>
      <c r="J3" s="4">
        <v>23</v>
      </c>
      <c r="K3" s="4">
        <v>22</v>
      </c>
      <c r="L3" s="4">
        <v>21</v>
      </c>
      <c r="P3" s="273" t="s">
        <v>36</v>
      </c>
      <c r="Q3" s="273" t="s">
        <v>37</v>
      </c>
      <c r="R3" s="273"/>
      <c r="S3" s="273"/>
      <c r="T3" s="273"/>
      <c r="U3" s="273"/>
      <c r="V3" s="273"/>
      <c r="W3" s="273" t="s">
        <v>2</v>
      </c>
    </row>
    <row r="4" spans="1:23" ht="26.4">
      <c r="A4" s="9"/>
      <c r="B4" s="9"/>
      <c r="C4" s="9"/>
      <c r="D4" s="9"/>
      <c r="E4" s="9"/>
      <c r="F4" s="9"/>
      <c r="G4" s="9">
        <f>G3</f>
        <v>22</v>
      </c>
      <c r="H4" s="9">
        <f>SUM($G$3:H$3)</f>
        <v>45</v>
      </c>
      <c r="I4" s="9">
        <f>SUM($G$3:I$3)</f>
        <v>65</v>
      </c>
      <c r="J4" s="9">
        <f>SUM($G$3:J$3)</f>
        <v>88</v>
      </c>
      <c r="K4" s="9">
        <f>SUM($G$3:K$3)</f>
        <v>110</v>
      </c>
      <c r="L4" s="9">
        <f>SUM($G$3:L$3)</f>
        <v>131</v>
      </c>
      <c r="P4" s="273"/>
      <c r="Q4" s="23" t="s">
        <v>304</v>
      </c>
      <c r="R4" s="23" t="s">
        <v>305</v>
      </c>
      <c r="S4" s="24" t="s">
        <v>306</v>
      </c>
      <c r="T4" s="24" t="s">
        <v>307</v>
      </c>
      <c r="U4" s="24" t="s">
        <v>308</v>
      </c>
      <c r="V4" s="13"/>
      <c r="W4" s="273"/>
    </row>
    <row r="5" spans="1:23">
      <c r="A5" s="3"/>
      <c r="P5" s="273"/>
      <c r="Q5" s="21">
        <v>2</v>
      </c>
      <c r="R5" s="21">
        <v>3</v>
      </c>
      <c r="S5" s="21">
        <v>4</v>
      </c>
      <c r="T5" s="122"/>
      <c r="U5" s="122"/>
      <c r="V5" s="21"/>
      <c r="W5" s="10"/>
    </row>
    <row r="6" spans="1:23">
      <c r="A6" s="3"/>
      <c r="P6" s="126" t="s">
        <v>23</v>
      </c>
      <c r="Q6" s="125"/>
      <c r="R6" s="125">
        <v>23</v>
      </c>
      <c r="S6" s="125"/>
      <c r="T6" s="125"/>
      <c r="U6" s="125">
        <v>29</v>
      </c>
      <c r="V6" s="125"/>
      <c r="W6" s="8"/>
    </row>
    <row r="7" spans="1:23">
      <c r="A7" s="3"/>
      <c r="P7" s="126" t="s">
        <v>4</v>
      </c>
      <c r="Q7" s="125"/>
      <c r="R7" s="125">
        <v>25</v>
      </c>
      <c r="S7" s="125"/>
      <c r="T7" s="125"/>
      <c r="U7" s="125">
        <v>45</v>
      </c>
      <c r="V7" s="125"/>
      <c r="W7" s="8"/>
    </row>
    <row r="8" spans="1:23">
      <c r="A8" s="3"/>
      <c r="P8" s="12" t="s">
        <v>6</v>
      </c>
      <c r="Q8" s="127"/>
      <c r="R8" s="127"/>
      <c r="S8" s="127"/>
      <c r="T8" s="127"/>
      <c r="U8" s="127"/>
      <c r="V8" s="127"/>
      <c r="W8" s="8"/>
    </row>
    <row r="9" spans="1:23" ht="13.8">
      <c r="A9" s="22" t="s">
        <v>45</v>
      </c>
      <c r="B9" s="273" t="s">
        <v>30</v>
      </c>
      <c r="C9" s="273"/>
      <c r="D9" s="273"/>
      <c r="F9" s="242" t="s">
        <v>309</v>
      </c>
      <c r="G9" s="8">
        <v>4.2779999999999996</v>
      </c>
      <c r="H9" s="2">
        <v>4.3</v>
      </c>
      <c r="P9" s="123" t="s">
        <v>20</v>
      </c>
      <c r="Q9" s="125">
        <v>50</v>
      </c>
      <c r="R9" s="125">
        <v>35</v>
      </c>
      <c r="S9" s="125">
        <v>37</v>
      </c>
      <c r="T9" s="125">
        <v>29</v>
      </c>
      <c r="U9" s="125">
        <v>40</v>
      </c>
      <c r="V9" s="125"/>
      <c r="W9" s="8"/>
    </row>
    <row r="10" spans="1:23" ht="13.8">
      <c r="A10" s="23" t="s">
        <v>304</v>
      </c>
      <c r="B10" s="270"/>
      <c r="C10" s="271"/>
      <c r="D10" s="272"/>
      <c r="F10" s="186" t="s">
        <v>310</v>
      </c>
      <c r="G10" s="8">
        <v>3.6900000000000057</v>
      </c>
      <c r="H10" s="2">
        <v>3.55</v>
      </c>
      <c r="P10" s="15" t="s">
        <v>214</v>
      </c>
      <c r="Q10" s="128">
        <v>0.95</v>
      </c>
      <c r="R10" s="128"/>
      <c r="S10" s="128"/>
      <c r="T10" s="128"/>
      <c r="U10" s="128"/>
      <c r="V10" s="128"/>
      <c r="W10" s="15"/>
    </row>
    <row r="11" spans="1:23" ht="13.8">
      <c r="A11" s="23" t="s">
        <v>305</v>
      </c>
      <c r="B11" s="270"/>
      <c r="C11" s="271"/>
      <c r="D11" s="272"/>
      <c r="F11" s="186" t="s">
        <v>311</v>
      </c>
      <c r="G11" s="8">
        <v>3.7650000000000015</v>
      </c>
      <c r="H11" s="2">
        <v>3.85</v>
      </c>
      <c r="P11" s="124" t="s">
        <v>43</v>
      </c>
      <c r="Q11" s="131"/>
      <c r="R11" s="131">
        <v>0.03</v>
      </c>
      <c r="S11" s="131"/>
      <c r="T11" s="131">
        <v>0.05</v>
      </c>
      <c r="U11" s="131">
        <v>0.05</v>
      </c>
      <c r="V11" s="131"/>
      <c r="W11" s="15"/>
    </row>
    <row r="12" spans="1:23" ht="13.8">
      <c r="A12" s="24" t="s">
        <v>306</v>
      </c>
      <c r="B12" s="270"/>
      <c r="C12" s="271"/>
      <c r="D12" s="272"/>
      <c r="F12" s="186" t="s">
        <v>312</v>
      </c>
      <c r="G12" s="8">
        <v>3.7550000000000057</v>
      </c>
      <c r="H12" s="2">
        <v>3.9000000000000004</v>
      </c>
      <c r="P12" s="14" t="s">
        <v>38</v>
      </c>
      <c r="Q12" s="129"/>
      <c r="R12" s="129"/>
      <c r="S12" s="129"/>
      <c r="T12" s="129"/>
      <c r="U12" s="129"/>
      <c r="V12" s="129"/>
      <c r="W12" s="14"/>
    </row>
    <row r="13" spans="1:23" ht="13.8">
      <c r="A13" s="24" t="s">
        <v>307</v>
      </c>
      <c r="B13" s="270"/>
      <c r="C13" s="271"/>
      <c r="D13" s="272"/>
      <c r="F13" s="242" t="s">
        <v>313</v>
      </c>
      <c r="G13" s="8">
        <v>4.0569999999999871</v>
      </c>
      <c r="H13" s="2">
        <v>3.8499999999999996</v>
      </c>
      <c r="P13" s="14" t="s">
        <v>39</v>
      </c>
      <c r="Q13" s="129"/>
      <c r="R13" s="129"/>
      <c r="S13" s="129"/>
      <c r="T13" s="129"/>
      <c r="U13" s="129"/>
      <c r="V13" s="129"/>
      <c r="W13" s="14"/>
    </row>
    <row r="14" spans="1:23" ht="13.8">
      <c r="A14" s="24" t="s">
        <v>308</v>
      </c>
      <c r="B14" s="270"/>
      <c r="C14" s="271"/>
      <c r="D14" s="272"/>
      <c r="F14" s="242" t="s">
        <v>314</v>
      </c>
      <c r="G14" s="8">
        <v>4.0420000000000051</v>
      </c>
      <c r="H14" s="2">
        <v>4.12</v>
      </c>
      <c r="P14" s="14" t="s">
        <v>40</v>
      </c>
      <c r="Q14" s="129"/>
      <c r="R14" s="129"/>
      <c r="S14" s="129"/>
      <c r="T14" s="129"/>
      <c r="U14" s="129"/>
      <c r="V14" s="129"/>
      <c r="W14" s="14"/>
    </row>
    <row r="15" spans="1:23" ht="27.6">
      <c r="F15" s="242" t="s">
        <v>315</v>
      </c>
      <c r="G15" s="8">
        <v>4.0690000000000026</v>
      </c>
      <c r="H15" s="2">
        <v>4.1099999999999994</v>
      </c>
      <c r="P15" s="14" t="s">
        <v>41</v>
      </c>
      <c r="Q15" s="129"/>
      <c r="R15" s="129"/>
      <c r="S15" s="129"/>
      <c r="T15" s="129"/>
      <c r="U15" s="129"/>
      <c r="V15" s="130"/>
      <c r="W15" s="14"/>
    </row>
    <row r="16" spans="1:23" ht="13.8">
      <c r="F16" s="186" t="s">
        <v>317</v>
      </c>
      <c r="G16" s="8">
        <v>3.6499999999999915</v>
      </c>
      <c r="H16" s="2">
        <v>3.6000000000000005</v>
      </c>
      <c r="P16" s="14" t="s">
        <v>42</v>
      </c>
      <c r="Q16" s="129"/>
      <c r="R16" s="129"/>
      <c r="S16" s="129"/>
      <c r="T16" s="129"/>
      <c r="U16" s="129"/>
      <c r="V16" s="129"/>
      <c r="W16" s="14"/>
    </row>
    <row r="17" spans="1:23" ht="13.8">
      <c r="F17" s="186" t="s">
        <v>318</v>
      </c>
      <c r="G17" s="8">
        <v>3.8000000000000025</v>
      </c>
      <c r="H17" s="2">
        <v>3.8</v>
      </c>
      <c r="P17" s="11" t="s">
        <v>24</v>
      </c>
      <c r="Q17" s="127"/>
      <c r="R17" s="127"/>
      <c r="S17" s="127"/>
      <c r="T17" s="127"/>
      <c r="U17" s="127"/>
      <c r="V17" s="127"/>
      <c r="W17" s="8"/>
    </row>
    <row r="18" spans="1:23" ht="13.8">
      <c r="F18" s="242" t="s">
        <v>319</v>
      </c>
      <c r="G18" s="8">
        <v>3.5599999999999832</v>
      </c>
      <c r="H18" s="2">
        <v>3.6999999999999997</v>
      </c>
      <c r="P18" s="11" t="s">
        <v>21</v>
      </c>
      <c r="Q18" s="127"/>
      <c r="R18" s="127"/>
      <c r="S18" s="127"/>
      <c r="T18" s="127"/>
      <c r="U18" s="127"/>
      <c r="V18" s="127"/>
      <c r="W18" s="8"/>
    </row>
    <row r="19" spans="1:23" ht="13.8">
      <c r="F19" s="186" t="s">
        <v>320</v>
      </c>
      <c r="G19" s="8">
        <v>2.8099999999999055</v>
      </c>
      <c r="H19" s="2">
        <v>3</v>
      </c>
      <c r="P19" s="12" t="s">
        <v>25</v>
      </c>
      <c r="Q19" s="127"/>
      <c r="R19" s="127"/>
      <c r="S19" s="127"/>
      <c r="T19" s="127"/>
      <c r="U19" s="127"/>
      <c r="V19" s="127"/>
      <c r="W19" s="8"/>
    </row>
    <row r="20" spans="1:23" ht="13.8">
      <c r="F20" s="186" t="s">
        <v>321</v>
      </c>
      <c r="G20" s="8">
        <v>3.7099999999999547</v>
      </c>
      <c r="H20" s="2">
        <v>3.85</v>
      </c>
      <c r="P20" s="11" t="s">
        <v>27</v>
      </c>
      <c r="Q20" s="127"/>
      <c r="R20" s="127"/>
      <c r="S20" s="127"/>
      <c r="T20" s="127"/>
      <c r="U20" s="127"/>
      <c r="V20" s="127"/>
      <c r="W20" s="8"/>
    </row>
    <row r="21" spans="1:23" ht="13.8">
      <c r="F21" s="186" t="s">
        <v>316</v>
      </c>
      <c r="G21" s="8">
        <v>3.2699999999999574</v>
      </c>
      <c r="H21" s="2">
        <v>3.6000000000000005</v>
      </c>
      <c r="P21" s="11" t="s">
        <v>213</v>
      </c>
      <c r="Q21" s="127"/>
      <c r="R21" s="127"/>
      <c r="S21" s="127"/>
      <c r="T21" s="127"/>
      <c r="U21" s="127"/>
      <c r="V21" s="127"/>
      <c r="W21" s="8"/>
    </row>
    <row r="29" spans="1:23">
      <c r="A29" s="40" t="s">
        <v>167</v>
      </c>
    </row>
    <row r="30" spans="1:23">
      <c r="A30" s="8" t="s">
        <v>35</v>
      </c>
    </row>
    <row r="31" spans="1:23">
      <c r="A31" s="8" t="s">
        <v>146</v>
      </c>
    </row>
    <row r="32" spans="1:23">
      <c r="A32" s="8" t="s">
        <v>55</v>
      </c>
    </row>
    <row r="33" spans="1:16">
      <c r="A33" s="222" t="s">
        <v>296</v>
      </c>
    </row>
    <row r="34" spans="1:16">
      <c r="A34" s="8" t="s">
        <v>185</v>
      </c>
      <c r="O34" s="121" t="s">
        <v>0</v>
      </c>
      <c r="P34" s="121" t="s">
        <v>44</v>
      </c>
    </row>
    <row r="35" spans="1:16">
      <c r="A35" s="8" t="s">
        <v>270</v>
      </c>
      <c r="O35" s="4">
        <v>1</v>
      </c>
      <c r="P35" s="23"/>
    </row>
    <row r="36" spans="1:16">
      <c r="A36" s="8" t="s">
        <v>34</v>
      </c>
      <c r="O36" s="4">
        <v>2</v>
      </c>
      <c r="P36" s="23"/>
    </row>
    <row r="37" spans="1:16">
      <c r="O37" s="4">
        <v>3</v>
      </c>
      <c r="P37" s="24"/>
    </row>
    <row r="38" spans="1:16">
      <c r="O38" s="4">
        <v>4</v>
      </c>
      <c r="P38" s="24"/>
    </row>
    <row r="39" spans="1:16">
      <c r="O39" s="4">
        <v>5</v>
      </c>
      <c r="P39" s="8"/>
    </row>
    <row r="40" spans="1:16">
      <c r="O40" s="4">
        <v>6</v>
      </c>
      <c r="P40" s="8"/>
    </row>
    <row r="41" spans="1:16">
      <c r="O41" s="4">
        <v>7</v>
      </c>
      <c r="P41" s="8"/>
    </row>
    <row r="42" spans="1:16">
      <c r="O42" s="4">
        <v>8</v>
      </c>
      <c r="P42" s="8"/>
    </row>
    <row r="43" spans="1:16">
      <c r="O43" s="4">
        <v>9</v>
      </c>
      <c r="P43" s="8"/>
    </row>
    <row r="44" spans="1:16">
      <c r="O44" s="4">
        <v>10</v>
      </c>
      <c r="P44" s="8"/>
    </row>
    <row r="45" spans="1:16">
      <c r="O45" s="4">
        <v>11</v>
      </c>
      <c r="P45" s="8"/>
    </row>
    <row r="46" spans="1:16">
      <c r="O46" s="4">
        <v>12</v>
      </c>
      <c r="P46" s="8"/>
    </row>
    <row r="47" spans="1:16">
      <c r="O47" s="4">
        <v>13</v>
      </c>
      <c r="P47" s="8"/>
    </row>
    <row r="48" spans="1:16">
      <c r="O48" s="4">
        <v>14</v>
      </c>
      <c r="P48" s="8"/>
    </row>
    <row r="49" spans="15:16">
      <c r="O49" s="4">
        <v>15</v>
      </c>
      <c r="P49" s="8"/>
    </row>
    <row r="50" spans="15:16">
      <c r="O50" s="4">
        <v>16</v>
      </c>
      <c r="P50" s="8"/>
    </row>
    <row r="51" spans="15:16">
      <c r="O51" s="4">
        <v>17</v>
      </c>
      <c r="P51" s="8"/>
    </row>
  </sheetData>
  <mergeCells count="12">
    <mergeCell ref="Q1:V1"/>
    <mergeCell ref="P1:P2"/>
    <mergeCell ref="W1:W2"/>
    <mergeCell ref="W3:W4"/>
    <mergeCell ref="Q3:V3"/>
    <mergeCell ref="P3:P5"/>
    <mergeCell ref="B14:D14"/>
    <mergeCell ref="B9:D9"/>
    <mergeCell ref="B10:D10"/>
    <mergeCell ref="B11:D11"/>
    <mergeCell ref="B12:D12"/>
    <mergeCell ref="B13:D13"/>
  </mergeCells>
  <conditionalFormatting sqref="Q2:R2">
    <cfRule type="duplicateValues" dxfId="353" priority="25"/>
  </conditionalFormatting>
  <conditionalFormatting sqref="A10:A11">
    <cfRule type="duplicateValues" dxfId="352" priority="22"/>
  </conditionalFormatting>
  <conditionalFormatting sqref="P3 P6:P20">
    <cfRule type="duplicateValues" dxfId="351" priority="1467"/>
  </conditionalFormatting>
  <conditionalFormatting sqref="P35:P36">
    <cfRule type="duplicateValues" dxfId="350" priority="6"/>
  </conditionalFormatting>
  <conditionalFormatting sqref="P21">
    <cfRule type="duplicateValues" dxfId="349" priority="5"/>
  </conditionalFormatting>
  <conditionalFormatting sqref="Q4">
    <cfRule type="duplicateValues" dxfId="348" priority="4"/>
  </conditionalFormatting>
  <conditionalFormatting sqref="R4">
    <cfRule type="duplicateValues" dxfId="347" priority="3"/>
  </conditionalFormatting>
  <conditionalFormatting sqref="G9:G21">
    <cfRule type="cellIs" dxfId="346" priority="1" operator="between">
      <formula>3.9</formula>
      <formula>4.19</formula>
    </cfRule>
    <cfRule type="cellIs" dxfId="345" priority="2" operator="between">
      <formula>0</formula>
      <formula>3.89</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C1:AD99"/>
  <sheetViews>
    <sheetView showGridLines="0" topLeftCell="F34" zoomScale="90" zoomScaleNormal="90" workbookViewId="0">
      <selection activeCell="W55" sqref="W55"/>
    </sheetView>
  </sheetViews>
  <sheetFormatPr defaultRowHeight="14.4"/>
  <cols>
    <col min="1" max="2" width="1.44140625" customWidth="1"/>
    <col min="3" max="3" width="14.88671875" customWidth="1"/>
    <col min="4" max="4" width="44.21875" style="38" customWidth="1"/>
    <col min="5" max="5" width="26.88671875" style="38" hidden="1" customWidth="1"/>
    <col min="6" max="6" width="24.6640625" customWidth="1"/>
    <col min="7" max="9" width="8.5546875" customWidth="1"/>
    <col min="10" max="10" width="10.44140625" customWidth="1"/>
    <col min="11" max="15" width="1.6640625" customWidth="1"/>
    <col min="16" max="16" width="25.6640625" customWidth="1"/>
    <col min="17" max="17" width="12.44140625" customWidth="1"/>
    <col min="18" max="19" width="10" customWidth="1"/>
    <col min="20" max="20" width="16.44140625" customWidth="1"/>
    <col min="21" max="21" width="34.109375" customWidth="1"/>
    <col min="22" max="22" width="12.44140625" customWidth="1"/>
    <col min="23" max="23" width="8.88671875" customWidth="1"/>
    <col min="24" max="24" width="10.109375" customWidth="1"/>
    <col min="25" max="25" width="13" hidden="1" customWidth="1"/>
    <col min="26" max="27" width="2" customWidth="1"/>
    <col min="28" max="28" width="8.88671875" style="41" customWidth="1"/>
    <col min="29" max="29" width="9.109375" style="41" customWidth="1"/>
    <col min="30" max="30" width="10.44140625" style="41" bestFit="1" customWidth="1"/>
  </cols>
  <sheetData>
    <row r="1" spans="3:30">
      <c r="D1" s="59"/>
      <c r="E1" s="59"/>
      <c r="F1" s="49"/>
      <c r="G1" s="49"/>
      <c r="H1" s="49"/>
      <c r="I1" s="49"/>
      <c r="J1" s="49"/>
      <c r="AB1" s="303" t="s">
        <v>147</v>
      </c>
      <c r="AC1" s="303"/>
      <c r="AD1" s="273" t="s">
        <v>148</v>
      </c>
    </row>
    <row r="2" spans="3:30" ht="18">
      <c r="C2" s="60" t="s">
        <v>30</v>
      </c>
      <c r="D2" s="20" t="s">
        <v>307</v>
      </c>
      <c r="E2" s="49"/>
      <c r="F2" s="49"/>
      <c r="G2" s="49"/>
      <c r="H2" s="49"/>
      <c r="I2" s="49"/>
      <c r="J2" s="49"/>
      <c r="P2" s="310" t="s">
        <v>151</v>
      </c>
      <c r="Q2" s="311"/>
      <c r="R2" s="312"/>
      <c r="S2" s="119"/>
      <c r="T2" s="120">
        <f>Q6*S6+Q14*S14+Q22*S22+Q30*S30+Q38*S38+Q46*S46+Q54*S54</f>
        <v>3.2699999999999574</v>
      </c>
      <c r="U2" s="120">
        <f>$Q$6*$T$6+$Q$14*$T$14+$Q$22*$T$22+$Q$30*$T$30+$Q$38*$T$38+$Q$46*$T$46+$Q$54*$T$54</f>
        <v>3.6000000000000005</v>
      </c>
      <c r="AB2" s="42" t="s">
        <v>149</v>
      </c>
      <c r="AC2" s="42" t="s">
        <v>150</v>
      </c>
      <c r="AD2" s="273"/>
    </row>
    <row r="3" spans="3:30">
      <c r="C3" s="60" t="s">
        <v>44</v>
      </c>
      <c r="D3" s="242" t="s">
        <v>316</v>
      </c>
      <c r="E3" s="49"/>
      <c r="F3" s="49"/>
      <c r="G3" s="49"/>
      <c r="H3" s="49"/>
      <c r="I3" s="189"/>
      <c r="J3" s="50"/>
      <c r="AB3" s="43">
        <f t="shared" ref="AB3:AB51" si="0">AC4+0.01%</f>
        <v>0.9926000999999991</v>
      </c>
      <c r="AC3" s="43">
        <f>AC4+0.75%</f>
        <v>1.0000000999999992</v>
      </c>
      <c r="AD3" s="44">
        <v>5</v>
      </c>
    </row>
    <row r="4" spans="3:30">
      <c r="D4" s="59"/>
      <c r="E4" s="59"/>
      <c r="F4" s="55"/>
      <c r="G4" s="55"/>
      <c r="H4" s="55"/>
      <c r="I4" s="55"/>
      <c r="J4" s="56"/>
      <c r="Q4" s="98">
        <f>SUM(Q6,Q14,Q22,Q30,Q38,Q46,Q54)</f>
        <v>1</v>
      </c>
      <c r="AB4" s="45">
        <f t="shared" si="0"/>
        <v>0.98519999999999908</v>
      </c>
      <c r="AC4" s="45">
        <f>AC5+0.74001%</f>
        <v>0.99250009999999911</v>
      </c>
      <c r="AD4" s="46">
        <v>4.9000000000000004</v>
      </c>
    </row>
    <row r="5" spans="3:30">
      <c r="C5" s="57" t="s">
        <v>178</v>
      </c>
      <c r="D5" s="57" t="s">
        <v>164</v>
      </c>
      <c r="E5" s="57" t="s">
        <v>168</v>
      </c>
      <c r="F5" s="57" t="s">
        <v>159</v>
      </c>
      <c r="G5" s="57" t="s">
        <v>163</v>
      </c>
      <c r="H5" s="57" t="s">
        <v>1</v>
      </c>
      <c r="I5" s="57" t="s">
        <v>145</v>
      </c>
      <c r="J5" s="58" t="s">
        <v>160</v>
      </c>
      <c r="P5" s="58" t="s">
        <v>159</v>
      </c>
      <c r="Q5" s="58" t="s">
        <v>163</v>
      </c>
      <c r="R5" s="58" t="s">
        <v>152</v>
      </c>
      <c r="S5" s="58" t="s">
        <v>57</v>
      </c>
      <c r="T5" s="172" t="s">
        <v>196</v>
      </c>
      <c r="U5" s="58" t="s">
        <v>160</v>
      </c>
      <c r="V5" s="58" t="s">
        <v>162</v>
      </c>
      <c r="W5" s="58"/>
      <c r="X5" s="58"/>
      <c r="Y5" s="58" t="s">
        <v>195</v>
      </c>
      <c r="AB5" s="47">
        <f t="shared" si="0"/>
        <v>0.97769999999999913</v>
      </c>
      <c r="AC5" s="47">
        <f t="shared" ref="AC5:AC21" si="1">AC6+0.75%</f>
        <v>0.98509999999999909</v>
      </c>
      <c r="AD5" s="48">
        <v>4.8</v>
      </c>
    </row>
    <row r="6" spans="3:30">
      <c r="C6" s="61"/>
      <c r="D6" s="62"/>
      <c r="E6" s="62"/>
      <c r="F6" s="61"/>
      <c r="G6" s="65">
        <f>SUM(G7:G99)</f>
        <v>1.0000000000000002</v>
      </c>
      <c r="H6" s="61"/>
      <c r="I6" s="61"/>
      <c r="J6" s="63"/>
      <c r="P6" s="288" t="s">
        <v>35</v>
      </c>
      <c r="Q6" s="289">
        <f>SUMIFS($G$7:$G$99,$F$7:$F$99,$P$6)</f>
        <v>0.5</v>
      </c>
      <c r="R6" s="292">
        <f>IFERROR(SUM(X6:X12)/SUM(V6:V13),0)</f>
        <v>0.96250000000000002</v>
      </c>
      <c r="S6" s="285">
        <f>IFERROR(LOOKUP(2,1/($AB$3:$AB$52&lt;=R6)/($AC$3:$AC$52&gt;=R6),$AD$3:$AD$52),0)</f>
        <v>4.5</v>
      </c>
      <c r="T6" s="285">
        <f>IFERROR(ROUND(S6,0),0)</f>
        <v>5</v>
      </c>
      <c r="U6" s="68" t="s">
        <v>153</v>
      </c>
      <c r="V6" s="39">
        <f>COUNTIFS(F:F,$P6,J:J,"="&amp;0)</f>
        <v>0</v>
      </c>
      <c r="W6" s="39">
        <v>0.85</v>
      </c>
      <c r="X6" s="39">
        <f>V6*W6</f>
        <v>0</v>
      </c>
      <c r="Y6" s="285">
        <f>IFERROR(LOOKUP(2,1/($AB$3:$AB$52&lt;=R6)/($AC$3:$AC$52&gt;=R6),$AD$3:$AD$52),0)</f>
        <v>4.5</v>
      </c>
      <c r="AB6" s="47">
        <f t="shared" si="0"/>
        <v>0.97019999999999917</v>
      </c>
      <c r="AC6" s="47">
        <f t="shared" si="1"/>
        <v>0.97759999999999914</v>
      </c>
      <c r="AD6" s="48">
        <v>4.7</v>
      </c>
    </row>
    <row r="7" spans="3:30" ht="53.4">
      <c r="C7" s="24">
        <v>1</v>
      </c>
      <c r="D7" s="86" t="s">
        <v>23</v>
      </c>
      <c r="E7" s="86" t="s">
        <v>169</v>
      </c>
      <c r="F7" s="87" t="s">
        <v>35</v>
      </c>
      <c r="G7" s="88">
        <f>IF(ISBLANK(VLOOKUP($D$3,MemberData!$D$6:$JY$18,$C7*3+1,0)),"",VLOOKUP($D$3,MemberData!$D$6:$JY$18,$C7*3+1,0))</f>
        <v>0</v>
      </c>
      <c r="H7" s="89">
        <f>IF(ISBLANK(VLOOKUP($D$3,MemberData!$D$6:$JY$18,$C7*3+2,0)),"",VLOOKUP($D$3,MemberData!$D$6:$JY$18,$C7*3+2,0))</f>
        <v>0</v>
      </c>
      <c r="I7" s="89">
        <f>IF(ISBLANK(VLOOKUP($D$3,MemberData!$D$6:$JY$18,$C7*3+3,0)),"",VLOOKUP($D$3,MemberData!$D$6:$JY$18,$C7*3+3,0))</f>
        <v>0</v>
      </c>
      <c r="J7" s="90" t="str">
        <f>IFERROR((I7-H7)/H7,"NA")</f>
        <v>NA</v>
      </c>
      <c r="P7" s="288"/>
      <c r="Q7" s="290"/>
      <c r="R7" s="293"/>
      <c r="S7" s="286"/>
      <c r="T7" s="286"/>
      <c r="U7" s="68" t="s">
        <v>154</v>
      </c>
      <c r="V7" s="39">
        <f>COUNTIFS(F:F,$P6,J:J,"&gt;"&amp;0,J:J,"&lt;="&amp;0.1)</f>
        <v>0</v>
      </c>
      <c r="W7" s="39">
        <v>0.88749999999999996</v>
      </c>
      <c r="X7" s="39">
        <f t="shared" ref="X7:X37" si="2">V7*W7</f>
        <v>0</v>
      </c>
      <c r="Y7" s="286"/>
      <c r="AB7" s="47">
        <f t="shared" si="0"/>
        <v>0.96269999999999922</v>
      </c>
      <c r="AC7" s="47">
        <f t="shared" si="1"/>
        <v>0.97009999999999919</v>
      </c>
      <c r="AD7" s="48">
        <v>4.5999999999999996</v>
      </c>
    </row>
    <row r="8" spans="3:30" ht="27">
      <c r="C8" s="24">
        <f>C7+1</f>
        <v>2</v>
      </c>
      <c r="D8" s="223" t="s">
        <v>293</v>
      </c>
      <c r="E8" s="86" t="s">
        <v>5</v>
      </c>
      <c r="F8" s="87" t="s">
        <v>35</v>
      </c>
      <c r="G8" s="88">
        <f>IF(ISBLANK(VLOOKUP($D$3,MemberData!$D$6:$JY$18,$C8*3+1,0)),"",VLOOKUP($D$3,MemberData!$D$6:$JY$18,$C8*3+1,0))</f>
        <v>0</v>
      </c>
      <c r="H8" s="89">
        <f>IF(ISBLANK(VLOOKUP($D$3,MemberData!$D$6:$JY$18,$C8*3+2,0)),"",VLOOKUP($D$3,MemberData!$D$6:$JY$18,$C8*3+2,0))</f>
        <v>0</v>
      </c>
      <c r="I8" s="89">
        <f>IF(ISBLANK(VLOOKUP($D$3,MemberData!$D$6:$JY$18,$C8*3+3,0)),"",VLOOKUP($D$3,MemberData!$D$6:$JY$18,$C8*3+3,0))</f>
        <v>0</v>
      </c>
      <c r="J8" s="90" t="str">
        <f t="shared" ref="J8:J71" si="3">IFERROR((I8-H8)/H8,"NA")</f>
        <v>NA</v>
      </c>
      <c r="P8" s="288"/>
      <c r="Q8" s="290"/>
      <c r="R8" s="293"/>
      <c r="S8" s="286"/>
      <c r="T8" s="286"/>
      <c r="U8" s="68" t="s">
        <v>155</v>
      </c>
      <c r="V8" s="39">
        <f>COUNTIFS(F:F,$P6,J:J,"&gt;"&amp;0.1,J:J,"&lt;="&amp;0.2)</f>
        <v>1</v>
      </c>
      <c r="W8" s="39">
        <v>0.92500000000000004</v>
      </c>
      <c r="X8" s="39">
        <f t="shared" si="2"/>
        <v>0.92500000000000004</v>
      </c>
      <c r="Y8" s="286"/>
      <c r="AB8" s="47">
        <f t="shared" si="0"/>
        <v>0.95519999999999927</v>
      </c>
      <c r="AC8" s="47">
        <f t="shared" si="1"/>
        <v>0.96259999999999923</v>
      </c>
      <c r="AD8" s="48">
        <v>4.5</v>
      </c>
    </row>
    <row r="9" spans="3:30" ht="27">
      <c r="C9" s="24">
        <f t="shared" ref="C9:C72" si="4">C8+1</f>
        <v>3</v>
      </c>
      <c r="D9" s="223" t="s">
        <v>292</v>
      </c>
      <c r="E9" s="86" t="s">
        <v>7</v>
      </c>
      <c r="F9" s="87" t="s">
        <v>35</v>
      </c>
      <c r="G9" s="88">
        <f>IF(ISBLANK(VLOOKUP($D$3,MemberData!$D$6:$JY$18,$C9*3+1,0)),"",VLOOKUP($D$3,MemberData!$D$6:$JY$18,$C9*3+1,0))</f>
        <v>0.25</v>
      </c>
      <c r="H9" s="89">
        <f>IF(ISBLANK(VLOOKUP($D$3,MemberData!$D$6:$JY$18,$C9*3+2,0)),"",VLOOKUP($D$3,MemberData!$D$6:$JY$18,$C9*3+2,0))</f>
        <v>8</v>
      </c>
      <c r="I9" s="89">
        <f>IF(ISBLANK(VLOOKUP($D$3,MemberData!$D$6:$JY$18,$C9*3+3,0)),"",VLOOKUP($D$3,MemberData!$D$6:$JY$18,$C9*3+3,0))</f>
        <v>9.14</v>
      </c>
      <c r="J9" s="90">
        <f t="shared" si="3"/>
        <v>0.14250000000000007</v>
      </c>
      <c r="P9" s="288"/>
      <c r="Q9" s="290"/>
      <c r="R9" s="293"/>
      <c r="S9" s="286"/>
      <c r="T9" s="286"/>
      <c r="U9" s="68" t="s">
        <v>156</v>
      </c>
      <c r="V9" s="39">
        <f>COUNTIFS(F:F,$P6,J:J,"&gt;"&amp;0.2,J:J,"&lt;="&amp;0.3)</f>
        <v>0</v>
      </c>
      <c r="W9" s="39">
        <v>0.96250000000000002</v>
      </c>
      <c r="X9" s="39">
        <f t="shared" si="2"/>
        <v>0</v>
      </c>
      <c r="Y9" s="286"/>
      <c r="AB9" s="47">
        <f t="shared" si="0"/>
        <v>0.94769999999999932</v>
      </c>
      <c r="AC9" s="47">
        <f t="shared" si="1"/>
        <v>0.95509999999999928</v>
      </c>
      <c r="AD9" s="48">
        <v>4.4000000000000004</v>
      </c>
    </row>
    <row r="10" spans="3:30" ht="27">
      <c r="C10" s="24">
        <f t="shared" si="4"/>
        <v>4</v>
      </c>
      <c r="D10" s="86" t="s">
        <v>20</v>
      </c>
      <c r="E10" s="86" t="s">
        <v>3</v>
      </c>
      <c r="F10" s="87" t="s">
        <v>35</v>
      </c>
      <c r="G10" s="88">
        <f>IF(ISBLANK(VLOOKUP($D$3,MemberData!$D$6:$JY$18,$C10*3+1,0)),"",VLOOKUP($D$3,MemberData!$D$6:$JY$18,$C10*3+1,0))</f>
        <v>0.25</v>
      </c>
      <c r="H10" s="89">
        <f>IF(ISBLANK(VLOOKUP($D$3,MemberData!$D$6:$JY$18,$C10*3+2,0)),"",VLOOKUP($D$3,MemberData!$D$6:$JY$18,$C10*3+2,0))</f>
        <v>5</v>
      </c>
      <c r="I10" s="89">
        <f>IF(ISBLANK(VLOOKUP($D$3,MemberData!$D$6:$JY$18,$C10*3+3,0)),"",VLOOKUP($D$3,MemberData!$D$6:$JY$18,$C10*3+3,0))</f>
        <v>6.89</v>
      </c>
      <c r="J10" s="90">
        <f t="shared" si="3"/>
        <v>0.37799999999999995</v>
      </c>
      <c r="P10" s="288"/>
      <c r="Q10" s="290"/>
      <c r="R10" s="293"/>
      <c r="S10" s="286"/>
      <c r="T10" s="286"/>
      <c r="U10" s="68" t="s">
        <v>157</v>
      </c>
      <c r="V10" s="39">
        <f>COUNTIFS(F:F,$P6,J:J,"&gt;"&amp;0.3)</f>
        <v>1</v>
      </c>
      <c r="W10" s="39">
        <v>1</v>
      </c>
      <c r="X10" s="39">
        <f t="shared" si="2"/>
        <v>1</v>
      </c>
      <c r="Y10" s="286"/>
      <c r="AB10" s="47">
        <f t="shared" si="0"/>
        <v>0.94019999999999937</v>
      </c>
      <c r="AC10" s="47">
        <f t="shared" si="1"/>
        <v>0.94759999999999933</v>
      </c>
      <c r="AD10" s="48">
        <v>4.3</v>
      </c>
    </row>
    <row r="11" spans="3:30" ht="27">
      <c r="C11" s="24">
        <f t="shared" si="4"/>
        <v>5</v>
      </c>
      <c r="D11" s="86" t="s">
        <v>242</v>
      </c>
      <c r="E11" s="86" t="s">
        <v>26</v>
      </c>
      <c r="F11" s="87" t="s">
        <v>35</v>
      </c>
      <c r="G11" s="88">
        <f>IF(ISBLANK(VLOOKUP($D$3,MemberData!$D$6:$JY$18,$C11*3+1,0)),"",VLOOKUP($D$3,MemberData!$D$6:$JY$18,$C11*3+1,0))</f>
        <v>0</v>
      </c>
      <c r="H11" s="89">
        <f>IF(ISBLANK(VLOOKUP($D$3,MemberData!$D$6:$JY$18,$C11*3+2,0)),"",VLOOKUP($D$3,MemberData!$D$6:$JY$18,$C11*3+2,0))</f>
        <v>0</v>
      </c>
      <c r="I11" s="89">
        <f>IF(ISBLANK(VLOOKUP($D$3,MemberData!$D$6:$JY$18,$C11*3+3,0)),"",VLOOKUP($D$3,MemberData!$D$6:$JY$18,$C11*3+3,0))</f>
        <v>0</v>
      </c>
      <c r="J11" s="90" t="str">
        <f t="shared" si="3"/>
        <v>NA</v>
      </c>
      <c r="P11" s="288"/>
      <c r="Q11" s="290"/>
      <c r="R11" s="293"/>
      <c r="S11" s="286"/>
      <c r="T11" s="286"/>
      <c r="U11" s="68" t="s">
        <v>165</v>
      </c>
      <c r="V11" s="39">
        <f>COUNTIFS(F:F,$P6,J:J,"&gt;="&amp;-0.1,J:J,"&lt;"&amp;0)</f>
        <v>0</v>
      </c>
      <c r="W11" s="39">
        <v>0.4</v>
      </c>
      <c r="X11" s="39">
        <f t="shared" si="2"/>
        <v>0</v>
      </c>
      <c r="Y11" s="286"/>
      <c r="AB11" s="47">
        <f t="shared" si="0"/>
        <v>0.93269999999999942</v>
      </c>
      <c r="AC11" s="47">
        <f t="shared" si="1"/>
        <v>0.94009999999999938</v>
      </c>
      <c r="AD11" s="48">
        <v>4.2</v>
      </c>
    </row>
    <row r="12" spans="3:30" ht="27">
      <c r="C12" s="24">
        <f t="shared" si="4"/>
        <v>6</v>
      </c>
      <c r="D12" s="86" t="s">
        <v>244</v>
      </c>
      <c r="E12" s="86" t="s">
        <v>28</v>
      </c>
      <c r="F12" s="87" t="s">
        <v>35</v>
      </c>
      <c r="G12" s="88">
        <f>IF(ISBLANK(VLOOKUP($D$3,MemberData!$D$6:$JY$18,$C12*3+1,0)),"",VLOOKUP($D$3,MemberData!$D$6:$JY$18,$C12*3+1,0))</f>
        <v>0</v>
      </c>
      <c r="H12" s="89">
        <f>IF(ISBLANK(VLOOKUP($D$3,MemberData!$D$6:$JY$18,$C12*3+2,0)),"",VLOOKUP($D$3,MemberData!$D$6:$JY$18,$C12*3+2,0))</f>
        <v>0</v>
      </c>
      <c r="I12" s="89">
        <f>IF(ISBLANK(VLOOKUP($D$3,MemberData!$D$6:$JY$18,$C12*3+3,0)),"",VLOOKUP($D$3,MemberData!$D$6:$JY$18,$C12*3+3,0))</f>
        <v>0</v>
      </c>
      <c r="J12" s="90" t="str">
        <f t="shared" si="3"/>
        <v>NA</v>
      </c>
      <c r="P12" s="288"/>
      <c r="Q12" s="290"/>
      <c r="R12" s="293"/>
      <c r="S12" s="286"/>
      <c r="T12" s="286"/>
      <c r="U12" s="68" t="s">
        <v>166</v>
      </c>
      <c r="V12" s="39">
        <f>COUNTIFS(F:F,$P6,J:J,"&lt;"&amp;-0.1,J:J,"&gt;="&amp;-0.3)</f>
        <v>0</v>
      </c>
      <c r="W12" s="39">
        <v>0.65</v>
      </c>
      <c r="X12" s="39">
        <f t="shared" si="2"/>
        <v>0</v>
      </c>
      <c r="Y12" s="286"/>
      <c r="AB12" s="47">
        <f t="shared" si="0"/>
        <v>0.92519999999999947</v>
      </c>
      <c r="AC12" s="47">
        <f t="shared" si="1"/>
        <v>0.93259999999999943</v>
      </c>
      <c r="AD12" s="48">
        <v>4.0999999999999996</v>
      </c>
    </row>
    <row r="13" spans="3:30">
      <c r="C13" s="24">
        <f t="shared" si="4"/>
        <v>7</v>
      </c>
      <c r="D13" s="223" t="s">
        <v>294</v>
      </c>
      <c r="E13" s="86"/>
      <c r="F13" s="228" t="s">
        <v>296</v>
      </c>
      <c r="G13" s="88">
        <f>IF(ISBLANK(VLOOKUP($D$3,MemberData!$D$6:$JY$18,$C13*3+1,0)),"",VLOOKUP($D$3,MemberData!$D$6:$JY$18,$C13*3+1,0))</f>
        <v>0</v>
      </c>
      <c r="H13" s="89">
        <f>IF(ISBLANK(VLOOKUP($D$3,MemberData!$D$6:$JY$18,$C13*3+2,0)),"",VLOOKUP($D$3,MemberData!$D$6:$JY$18,$C13*3+2,0))</f>
        <v>0</v>
      </c>
      <c r="I13" s="89">
        <f>IF(ISBLANK(VLOOKUP($D$3,MemberData!$D$6:$JY$18,$C13*3+3,0)),"",VLOOKUP($D$3,MemberData!$D$6:$JY$18,$C13*3+3,0))</f>
        <v>0</v>
      </c>
      <c r="J13" s="90" t="str">
        <f t="shared" si="3"/>
        <v>NA</v>
      </c>
      <c r="P13" s="288"/>
      <c r="Q13" s="291"/>
      <c r="R13" s="294"/>
      <c r="S13" s="287"/>
      <c r="T13" s="287"/>
      <c r="U13" s="68" t="s">
        <v>158</v>
      </c>
      <c r="V13" s="39">
        <f>COUNTIFS(F:F,$P6,J:J,"&lt;"&amp;-0.3)</f>
        <v>0</v>
      </c>
      <c r="W13" s="39">
        <v>1</v>
      </c>
      <c r="X13" s="39">
        <f t="shared" si="2"/>
        <v>0</v>
      </c>
      <c r="Y13" s="287"/>
      <c r="AB13" s="43">
        <f t="shared" si="0"/>
        <v>0.91769999999999952</v>
      </c>
      <c r="AC13" s="43">
        <f t="shared" si="1"/>
        <v>0.92509999999999948</v>
      </c>
      <c r="AD13" s="44">
        <v>4</v>
      </c>
    </row>
    <row r="14" spans="3:30">
      <c r="C14" s="24">
        <f t="shared" si="4"/>
        <v>8</v>
      </c>
      <c r="D14" s="223" t="s">
        <v>301</v>
      </c>
      <c r="E14" s="223"/>
      <c r="F14" s="228" t="s">
        <v>296</v>
      </c>
      <c r="G14" s="88">
        <f>IF(ISBLANK(VLOOKUP($D$3,MemberData!$D$6:$JY$18,$C14*3+1,0)),"",VLOOKUP($D$3,MemberData!$D$6:$JY$18,$C14*3+1,0))</f>
        <v>0</v>
      </c>
      <c r="H14" s="89">
        <f>IF(ISBLANK(VLOOKUP($D$3,MemberData!$D$6:$JY$18,$C14*3+2,0)),"",VLOOKUP($D$3,MemberData!$D$6:$JY$18,$C14*3+2,0))</f>
        <v>0</v>
      </c>
      <c r="I14" s="89">
        <f>IF(ISBLANK(VLOOKUP($D$3,MemberData!$D$6:$JY$18,$C14*3+3,0)),"",VLOOKUP($D$3,MemberData!$D$6:$JY$18,$C14*3+3,0))</f>
        <v>0</v>
      </c>
      <c r="J14" s="90" t="str">
        <f t="shared" si="3"/>
        <v>NA</v>
      </c>
      <c r="P14" s="295" t="s">
        <v>146</v>
      </c>
      <c r="Q14" s="313">
        <f>SUMIFS($G$7:$G$99,$F$7:$F$99,$P$14)</f>
        <v>0.3</v>
      </c>
      <c r="R14" s="300">
        <f>IFERROR(SUM(X14:X20)/SUM(V14:V21),0)</f>
        <v>0.5</v>
      </c>
      <c r="S14" s="304">
        <f t="shared" ref="S14" si="5">IFERROR(LOOKUP(2,1/($AB$3:$AB$52&lt;=R14)/($AC$3:$AC$52&gt;=R14),$AD$3:$AD$52),0)</f>
        <v>1.7999999999998899</v>
      </c>
      <c r="T14" s="304">
        <f t="shared" ref="T14" si="6">IFERROR(ROUND(S14,0),0)</f>
        <v>2</v>
      </c>
      <c r="U14" s="69" t="s">
        <v>153</v>
      </c>
      <c r="V14" s="70">
        <f>COUNTIFS(F:F,$P14,J:J,"="&amp;0)</f>
        <v>0</v>
      </c>
      <c r="W14" s="70">
        <v>0.85</v>
      </c>
      <c r="X14" s="70">
        <f t="shared" si="2"/>
        <v>0</v>
      </c>
      <c r="Y14" s="304">
        <f>IFERROR(LOOKUP(2,1/($AB$3:$AB$52&lt;=R14)/($AC$3:$AC$52&gt;=R14),$AD$3:$AD$52),0)</f>
        <v>1.7999999999998899</v>
      </c>
      <c r="AB14" s="47">
        <f t="shared" si="0"/>
        <v>0.91019999999999956</v>
      </c>
      <c r="AC14" s="47">
        <f t="shared" si="1"/>
        <v>0.91759999999999953</v>
      </c>
      <c r="AD14" s="48">
        <v>3.9</v>
      </c>
    </row>
    <row r="15" spans="3:30">
      <c r="C15" s="24">
        <f t="shared" si="4"/>
        <v>9</v>
      </c>
      <c r="D15" s="72" t="s">
        <v>237</v>
      </c>
      <c r="E15" s="72" t="s">
        <v>46</v>
      </c>
      <c r="F15" s="71" t="s">
        <v>146</v>
      </c>
      <c r="G15" s="88">
        <f>IF(ISBLANK(VLOOKUP($D$3,MemberData!$D$6:$JY$18,$C15*3+1,0)),"",VLOOKUP($D$3,MemberData!$D$6:$JY$18,$C15*3+1,0))</f>
        <v>0</v>
      </c>
      <c r="H15" s="89">
        <f>IF(ISBLANK(VLOOKUP($D$3,MemberData!$D$6:$JY$18,$C15*3+2,0)),"",VLOOKUP($D$3,MemberData!$D$6:$JY$18,$C15*3+2,0))</f>
        <v>0</v>
      </c>
      <c r="I15" s="89">
        <f>IF(ISBLANK(VLOOKUP($D$3,MemberData!$D$6:$JY$18,$C15*3+3,0)),"",VLOOKUP($D$3,MemberData!$D$6:$JY$18,$C15*3+3,0))</f>
        <v>0</v>
      </c>
      <c r="J15" s="90" t="str">
        <f t="shared" si="3"/>
        <v>NA</v>
      </c>
      <c r="P15" s="295"/>
      <c r="Q15" s="314"/>
      <c r="R15" s="301"/>
      <c r="S15" s="305"/>
      <c r="T15" s="305"/>
      <c r="U15" s="69" t="s">
        <v>154</v>
      </c>
      <c r="V15" s="70">
        <f>COUNTIFS(F:F,$P14,J:J,"&gt;"&amp;0,J:J,"&lt;="&amp;0.1)</f>
        <v>0</v>
      </c>
      <c r="W15" s="70">
        <v>0.88749999999999996</v>
      </c>
      <c r="X15" s="70">
        <f t="shared" si="2"/>
        <v>0</v>
      </c>
      <c r="Y15" s="305"/>
      <c r="AB15" s="47">
        <f t="shared" si="0"/>
        <v>0.90269999999999961</v>
      </c>
      <c r="AC15" s="47">
        <f t="shared" si="1"/>
        <v>0.91009999999999958</v>
      </c>
      <c r="AD15" s="48">
        <v>3.8</v>
      </c>
    </row>
    <row r="16" spans="3:30">
      <c r="C16" s="24">
        <f t="shared" si="4"/>
        <v>10</v>
      </c>
      <c r="D16" s="84" t="s">
        <v>42</v>
      </c>
      <c r="E16" s="84"/>
      <c r="F16" s="85" t="s">
        <v>146</v>
      </c>
      <c r="G16" s="116">
        <f>IF(ISBLANK(VLOOKUP($D$3,MemberData!$D$6:$JY$18,$C16*3+1,0)),"",VLOOKUP($D$3,MemberData!$D$6:$JY$18,$C16*3+1,0))</f>
        <v>0.15</v>
      </c>
      <c r="H16" s="117">
        <f>IF(ISBLANK(VLOOKUP($D$3,MemberData!$D$6:$JY$18,$C16*3+2,0)),"",VLOOKUP($D$3,MemberData!$D$6:$JY$18,$C16*3+2,0))</f>
        <v>0.05</v>
      </c>
      <c r="I16" s="117">
        <f>IF(ISBLANK(VLOOKUP($D$3,MemberData!$D$6:$JY$18,$C16*3+3,0)),"",VLOOKUP($D$3,MemberData!$D$6:$JY$18,$C16*3+3,0))</f>
        <v>0</v>
      </c>
      <c r="J16" s="90">
        <f>IFERROR((H16-I16)/H16,"NA")</f>
        <v>1</v>
      </c>
      <c r="P16" s="295"/>
      <c r="Q16" s="314"/>
      <c r="R16" s="301"/>
      <c r="S16" s="305"/>
      <c r="T16" s="305"/>
      <c r="U16" s="69" t="s">
        <v>155</v>
      </c>
      <c r="V16" s="70">
        <f>COUNTIFS(F:F,$P14,J:J,"&gt;"&amp;0.1,J:J,"&lt;="&amp;0.2)</f>
        <v>0</v>
      </c>
      <c r="W16" s="70">
        <v>0.92500000000000004</v>
      </c>
      <c r="X16" s="70">
        <f t="shared" si="2"/>
        <v>0</v>
      </c>
      <c r="Y16" s="305"/>
      <c r="AB16" s="47">
        <f t="shared" si="0"/>
        <v>0.89519999999999966</v>
      </c>
      <c r="AC16" s="47">
        <f t="shared" si="1"/>
        <v>0.90259999999999962</v>
      </c>
      <c r="AD16" s="48">
        <v>3.7</v>
      </c>
    </row>
    <row r="17" spans="3:30">
      <c r="C17" s="24">
        <f t="shared" si="4"/>
        <v>11</v>
      </c>
      <c r="D17" s="223" t="s">
        <v>295</v>
      </c>
      <c r="E17" s="97" t="s">
        <v>47</v>
      </c>
      <c r="F17" s="228" t="s">
        <v>296</v>
      </c>
      <c r="G17" s="116">
        <f>IF(ISBLANK(VLOOKUP($D$3,MemberData!$D$6:$JY$18,$C17*3+1,0)),"",VLOOKUP($D$3,MemberData!$D$6:$JY$18,$C17*3+1,0))</f>
        <v>0</v>
      </c>
      <c r="H17" s="117">
        <f>IF(ISBLANK(VLOOKUP($D$3,MemberData!$D$6:$JY$18,$C17*3+2,0)),"",VLOOKUP($D$3,MemberData!$D$6:$JY$18,$C17*3+2,0))</f>
        <v>0</v>
      </c>
      <c r="I17" s="117">
        <f>IF(ISBLANK(VLOOKUP($D$3,MemberData!$D$6:$JY$18,$C17*3+3,0)),"",VLOOKUP($D$3,MemberData!$D$6:$JY$18,$C17*3+3,0))</f>
        <v>0</v>
      </c>
      <c r="J17" s="90" t="str">
        <f t="shared" si="3"/>
        <v>NA</v>
      </c>
      <c r="P17" s="295"/>
      <c r="Q17" s="314"/>
      <c r="R17" s="301"/>
      <c r="S17" s="305"/>
      <c r="T17" s="305"/>
      <c r="U17" s="69" t="s">
        <v>156</v>
      </c>
      <c r="V17" s="70">
        <f>COUNTIFS(F:F,$P14,J:J,"&gt;"&amp;0.2,J:J,"&lt;="&amp;0.3)</f>
        <v>0</v>
      </c>
      <c r="W17" s="70">
        <v>0.96250000000000002</v>
      </c>
      <c r="X17" s="70">
        <f t="shared" si="2"/>
        <v>0</v>
      </c>
      <c r="Y17" s="305"/>
      <c r="AB17" s="47">
        <f t="shared" si="0"/>
        <v>0.88769999999999971</v>
      </c>
      <c r="AC17" s="47">
        <f t="shared" si="1"/>
        <v>0.89509999999999967</v>
      </c>
      <c r="AD17" s="48">
        <v>3.6</v>
      </c>
    </row>
    <row r="18" spans="3:30">
      <c r="C18" s="24">
        <f t="shared" si="4"/>
        <v>12</v>
      </c>
      <c r="D18" s="84" t="s">
        <v>40</v>
      </c>
      <c r="E18" s="84"/>
      <c r="F18" s="85" t="s">
        <v>146</v>
      </c>
      <c r="G18" s="116">
        <f>IF(ISBLANK(VLOOKUP($D$3,MemberData!$D$6:$JY$18,$C18*3+1,0)),"",VLOOKUP($D$3,MemberData!$D$6:$JY$18,$C18*3+1,0))</f>
        <v>0</v>
      </c>
      <c r="H18" s="117">
        <f>IF(ISBLANK(VLOOKUP($D$3,MemberData!$D$6:$JY$18,$C18*3+2,0)),"",VLOOKUP($D$3,MemberData!$D$6:$JY$18,$C18*3+2,0))</f>
        <v>0</v>
      </c>
      <c r="I18" s="117">
        <f>IF(ISBLANK(VLOOKUP($D$3,MemberData!$D$6:$JY$18,$C18*3+3,0)),"",VLOOKUP($D$3,MemberData!$D$6:$JY$18,$C18*3+3,0))</f>
        <v>0</v>
      </c>
      <c r="J18" s="90" t="str">
        <f>IFERROR((H18-I18)/H18,"NA")</f>
        <v>NA</v>
      </c>
      <c r="P18" s="295"/>
      <c r="Q18" s="314"/>
      <c r="R18" s="301"/>
      <c r="S18" s="305"/>
      <c r="T18" s="305"/>
      <c r="U18" s="69" t="s">
        <v>157</v>
      </c>
      <c r="V18" s="70">
        <f>COUNTIFS(F:F,$P14,J:J,"&gt;"&amp;0.3)</f>
        <v>1</v>
      </c>
      <c r="W18" s="70">
        <v>1</v>
      </c>
      <c r="X18" s="70">
        <f t="shared" si="2"/>
        <v>1</v>
      </c>
      <c r="Y18" s="305"/>
      <c r="AB18" s="47">
        <f t="shared" si="0"/>
        <v>0.88019999999999976</v>
      </c>
      <c r="AC18" s="47">
        <f t="shared" si="1"/>
        <v>0.88759999999999972</v>
      </c>
      <c r="AD18" s="48">
        <v>3.5000000000000102</v>
      </c>
    </row>
    <row r="19" spans="3:30">
      <c r="C19" s="24">
        <f t="shared" si="4"/>
        <v>13</v>
      </c>
      <c r="D19" s="223" t="s">
        <v>297</v>
      </c>
      <c r="E19" s="223" t="s">
        <v>175</v>
      </c>
      <c r="F19" s="228" t="s">
        <v>296</v>
      </c>
      <c r="G19" s="116">
        <f>IF(ISBLANK(VLOOKUP($D$3,MemberData!$D$6:$JY$18,$C19*3+1,0)),"",VLOOKUP($D$3,MemberData!$D$6:$JY$18,$C19*3+1,0))</f>
        <v>0</v>
      </c>
      <c r="H19" s="117">
        <f>IF(ISBLANK(VLOOKUP($D$3,MemberData!$D$6:$JY$18,$C19*3+2,0)),"",VLOOKUP($D$3,MemberData!$D$6:$JY$18,$C19*3+2,0))</f>
        <v>0</v>
      </c>
      <c r="I19" s="117">
        <f>IF(ISBLANK(VLOOKUP($D$3,MemberData!$D$6:$JY$18,$C19*3+3,0)),"",VLOOKUP($D$3,MemberData!$D$6:$JY$18,$C19*3+3,0))</f>
        <v>0</v>
      </c>
      <c r="J19" s="90" t="str">
        <f t="shared" si="3"/>
        <v>NA</v>
      </c>
      <c r="P19" s="295"/>
      <c r="Q19" s="314"/>
      <c r="R19" s="301"/>
      <c r="S19" s="305"/>
      <c r="T19" s="305"/>
      <c r="U19" s="69" t="s">
        <v>165</v>
      </c>
      <c r="V19" s="70">
        <f>COUNTIFS(F:F,$P14,J:J,"&gt;="&amp;-0.1,J:J,"&lt;"&amp;0)</f>
        <v>0</v>
      </c>
      <c r="W19" s="70">
        <v>0.4</v>
      </c>
      <c r="X19" s="70">
        <f t="shared" si="2"/>
        <v>0</v>
      </c>
      <c r="Y19" s="305"/>
      <c r="AB19" s="47">
        <f t="shared" si="0"/>
        <v>0.87269999999999981</v>
      </c>
      <c r="AC19" s="47">
        <f t="shared" si="1"/>
        <v>0.88009999999999977</v>
      </c>
      <c r="AD19" s="48">
        <v>3.4000000000000101</v>
      </c>
    </row>
    <row r="20" spans="3:30">
      <c r="C20" s="24">
        <f t="shared" si="4"/>
        <v>14</v>
      </c>
      <c r="D20" s="84" t="s">
        <v>38</v>
      </c>
      <c r="E20" s="84"/>
      <c r="F20" s="85" t="s">
        <v>146</v>
      </c>
      <c r="G20" s="116">
        <f>IF(ISBLANK(VLOOKUP($D$3,MemberData!$D$6:$JY$18,$C20*3+1,0)),"",VLOOKUP($D$3,MemberData!$D$6:$JY$18,$C20*3+1,0))</f>
        <v>0</v>
      </c>
      <c r="H20" s="117">
        <f>IF(ISBLANK(VLOOKUP($D$3,MemberData!$D$6:$JY$18,$C20*3+2,0)),"",VLOOKUP($D$3,MemberData!$D$6:$JY$18,$C20*3+2,0))</f>
        <v>0</v>
      </c>
      <c r="I20" s="117">
        <f>IF(ISBLANK(VLOOKUP($D$3,MemberData!$D$6:$JY$18,$C20*3+3,0)),"",VLOOKUP($D$3,MemberData!$D$6:$JY$18,$C20*3+3,0))</f>
        <v>0</v>
      </c>
      <c r="J20" s="90" t="str">
        <f>IFERROR((H20-I20)/H20,"NA")</f>
        <v>NA</v>
      </c>
      <c r="P20" s="295"/>
      <c r="Q20" s="314"/>
      <c r="R20" s="301"/>
      <c r="S20" s="305"/>
      <c r="T20" s="305"/>
      <c r="U20" s="69" t="s">
        <v>166</v>
      </c>
      <c r="V20" s="70">
        <f>COUNTIFS(F:F,$P14,J:J,"&lt;"&amp;-0.1,J:J,"&gt;="&amp;-0.3)</f>
        <v>0</v>
      </c>
      <c r="W20" s="70">
        <v>0.65</v>
      </c>
      <c r="X20" s="70">
        <f t="shared" si="2"/>
        <v>0</v>
      </c>
      <c r="Y20" s="305"/>
      <c r="AB20" s="47">
        <f t="shared" si="0"/>
        <v>0.86519999999999986</v>
      </c>
      <c r="AC20" s="47">
        <f t="shared" si="1"/>
        <v>0.87259999999999982</v>
      </c>
      <c r="AD20" s="48">
        <v>3.30000000000001</v>
      </c>
    </row>
    <row r="21" spans="3:30">
      <c r="C21" s="24">
        <f t="shared" si="4"/>
        <v>15</v>
      </c>
      <c r="D21" s="86" t="s">
        <v>247</v>
      </c>
      <c r="E21" s="86"/>
      <c r="F21" s="228" t="s">
        <v>296</v>
      </c>
      <c r="G21" s="88">
        <f>IF(ISBLANK(VLOOKUP($D$3,MemberData!$D$6:$JY$18,$C21*3+1,0)),"",VLOOKUP($D$3,MemberData!$D$6:$JY$18,$C21*3+1,0))</f>
        <v>0</v>
      </c>
      <c r="H21" s="89">
        <f>IF(ISBLANK(VLOOKUP($D$3,MemberData!$D$6:$JY$18,$C21*3+2,0)),"",VLOOKUP($D$3,MemberData!$D$6:$JY$18,$C21*3+2,0))</f>
        <v>0</v>
      </c>
      <c r="I21" s="89">
        <f>IF(ISBLANK(VLOOKUP($D$3,MemberData!$D$6:$JY$18,$C21*3+3,0)),"",VLOOKUP($D$3,MemberData!$D$6:$JY$18,$C21*3+3,0))</f>
        <v>0</v>
      </c>
      <c r="J21" s="90" t="str">
        <f>IFERROR((H21-I21)/H21,"NA")</f>
        <v>NA</v>
      </c>
      <c r="P21" s="295"/>
      <c r="Q21" s="315"/>
      <c r="R21" s="302"/>
      <c r="S21" s="306"/>
      <c r="T21" s="306"/>
      <c r="U21" s="69" t="s">
        <v>158</v>
      </c>
      <c r="V21" s="70">
        <f>COUNTIFS(F:F,$P14,J:J,"&lt;"&amp;-0.3)</f>
        <v>1</v>
      </c>
      <c r="W21" s="70">
        <v>1</v>
      </c>
      <c r="X21" s="70">
        <f t="shared" si="2"/>
        <v>1</v>
      </c>
      <c r="Y21" s="306"/>
      <c r="AB21" s="47">
        <f t="shared" si="0"/>
        <v>0.85769999999999991</v>
      </c>
      <c r="AC21" s="47">
        <f t="shared" si="1"/>
        <v>0.86509999999999987</v>
      </c>
      <c r="AD21" s="48">
        <v>3.2000000000000099</v>
      </c>
    </row>
    <row r="22" spans="3:30">
      <c r="C22" s="24">
        <f t="shared" si="4"/>
        <v>16</v>
      </c>
      <c r="D22" s="84" t="s">
        <v>174</v>
      </c>
      <c r="E22" s="84"/>
      <c r="F22" s="85" t="s">
        <v>146</v>
      </c>
      <c r="G22" s="116">
        <f>IF(ISBLANK(VLOOKUP($D$3,MemberData!$D$6:$JY$18,$C22*3+1,0)),"",VLOOKUP($D$3,MemberData!$D$6:$JY$18,$C22*3+1,0))</f>
        <v>0.15</v>
      </c>
      <c r="H22" s="117">
        <f>IF(ISBLANK(VLOOKUP($D$3,MemberData!$D$6:$JY$18,$C22*3+2,0)),"",VLOOKUP($D$3,MemberData!$D$6:$JY$18,$C22*3+2,0))</f>
        <v>0.1</v>
      </c>
      <c r="I22" s="117">
        <f>IF(ISBLANK(VLOOKUP($D$3,MemberData!$D$6:$JY$18,$C22*3+3,0)),"",VLOOKUP($D$3,MemberData!$D$6:$JY$18,$C22*3+3,0))</f>
        <v>0.15</v>
      </c>
      <c r="J22" s="90">
        <f>IFERROR((H22-I22)/H22,"NA")</f>
        <v>-0.49999999999999989</v>
      </c>
      <c r="P22" s="296" t="s">
        <v>296</v>
      </c>
      <c r="Q22" s="316">
        <f>SUMIFS($G$7:$G$99,$F$7:$F$99,$P$22)</f>
        <v>0</v>
      </c>
      <c r="R22" s="297">
        <f>IFERROR(SUM(X22:X28)/SUM(V22:V29),0)</f>
        <v>0</v>
      </c>
      <c r="S22" s="307">
        <f t="shared" ref="S22" si="7">IFERROR(LOOKUP(2,1/($AB$3:$AB$52&lt;=R22)/($AC$3:$AC$52&gt;=R22),$AD$3:$AD$52),0)</f>
        <v>9.9999999999705005E-2</v>
      </c>
      <c r="T22" s="307">
        <f t="shared" ref="T22" si="8">IFERROR(ROUND(S22,0),0)</f>
        <v>0</v>
      </c>
      <c r="U22" s="54" t="s">
        <v>153</v>
      </c>
      <c r="V22" s="64">
        <f>COUNTIFS(F:F,$P22,J:J,"="&amp;0)</f>
        <v>0</v>
      </c>
      <c r="W22" s="64">
        <v>0.85</v>
      </c>
      <c r="X22" s="64">
        <f t="shared" si="2"/>
        <v>0</v>
      </c>
      <c r="Y22" s="307">
        <f>IFERROR(LOOKUP(2,1/($AB$3:$AB$52&lt;=R22)/($AC$3:$AC$52&gt;=R22),$AD$3:$AD$52),0)</f>
        <v>9.9999999999705005E-2</v>
      </c>
      <c r="AB22" s="47">
        <f t="shared" si="0"/>
        <v>0.85009999999999997</v>
      </c>
      <c r="AC22" s="47">
        <f>AB22+0.75%</f>
        <v>0.85759999999999992</v>
      </c>
      <c r="AD22" s="48">
        <v>3.1000000000000099</v>
      </c>
    </row>
    <row r="23" spans="3:30" ht="27">
      <c r="C23" s="24">
        <f t="shared" si="4"/>
        <v>17</v>
      </c>
      <c r="D23" s="72" t="s">
        <v>172</v>
      </c>
      <c r="E23" s="72" t="s">
        <v>176</v>
      </c>
      <c r="F23" s="71" t="s">
        <v>146</v>
      </c>
      <c r="G23" s="88">
        <f>IF(ISBLANK(VLOOKUP($D$3,MemberData!$D$6:$JY$18,$C23*3+1,0)),"",VLOOKUP($D$3,MemberData!$D$6:$JY$18,$C23*3+1,0))</f>
        <v>0</v>
      </c>
      <c r="H23" s="89">
        <f>IF(ISBLANK(VLOOKUP($D$3,MemberData!$D$6:$JY$18,$C23*3+2,0)),"",VLOOKUP($D$3,MemberData!$D$6:$JY$18,$C23*3+2,0))</f>
        <v>0</v>
      </c>
      <c r="I23" s="89">
        <f>IF(ISBLANK(VLOOKUP($D$3,MemberData!$D$6:$JY$18,$C23*3+3,0)),"",VLOOKUP($D$3,MemberData!$D$6:$JY$18,$C23*3+3,0))</f>
        <v>0</v>
      </c>
      <c r="J23" s="90" t="str">
        <f>IFERROR((I23-H23)/H23,"NA")</f>
        <v>NA</v>
      </c>
      <c r="P23" s="296"/>
      <c r="Q23" s="317"/>
      <c r="R23" s="298"/>
      <c r="S23" s="308"/>
      <c r="T23" s="308"/>
      <c r="U23" s="54" t="s">
        <v>154</v>
      </c>
      <c r="V23" s="64">
        <f>COUNTIFS(F:F,$P22,J:J,"&gt;"&amp;0,J:J,"&lt;="&amp;0.1)</f>
        <v>0</v>
      </c>
      <c r="W23" s="64">
        <v>0.88749999999999996</v>
      </c>
      <c r="X23" s="64">
        <f t="shared" si="2"/>
        <v>0</v>
      </c>
      <c r="Y23" s="308"/>
      <c r="AB23" s="51">
        <f t="shared" si="0"/>
        <v>0.82179999999999997</v>
      </c>
      <c r="AC23" s="51">
        <v>0.85</v>
      </c>
      <c r="AD23" s="52">
        <v>3.0000000000000102</v>
      </c>
    </row>
    <row r="24" spans="3:30" ht="27">
      <c r="C24" s="24">
        <f t="shared" si="4"/>
        <v>18</v>
      </c>
      <c r="D24" s="72" t="s">
        <v>173</v>
      </c>
      <c r="E24" s="72" t="s">
        <v>177</v>
      </c>
      <c r="F24" s="71" t="s">
        <v>146</v>
      </c>
      <c r="G24" s="88" t="str">
        <f>IF(ISBLANK(VLOOKUP($D$3,MemberData!$D$6:$JY$18,$C24*3+1,0)),"",VLOOKUP($D$3,MemberData!$D$6:$JY$18,$C24*3+1,0))</f>
        <v/>
      </c>
      <c r="H24" s="89" t="str">
        <f>IF(ISBLANK(VLOOKUP($D$3,MemberData!$D$6:$JY$18,$C24*3+2,0)),"",VLOOKUP($D$3,MemberData!$D$6:$JY$18,$C24*3+2,0))</f>
        <v/>
      </c>
      <c r="I24" s="89" t="str">
        <f>IF(ISBLANK(VLOOKUP($D$3,MemberData!$D$6:$JY$18,$C24*3+3,0)),"",VLOOKUP($D$3,MemberData!$D$6:$JY$18,$C24*3+3,0))</f>
        <v/>
      </c>
      <c r="J24" s="90" t="str">
        <f>IFERROR((I24-H24)/H24,"NA")</f>
        <v>NA</v>
      </c>
      <c r="P24" s="296"/>
      <c r="Q24" s="317"/>
      <c r="R24" s="298"/>
      <c r="S24" s="308"/>
      <c r="T24" s="308"/>
      <c r="U24" s="54" t="s">
        <v>155</v>
      </c>
      <c r="V24" s="64">
        <f>COUNTIFS(F:F,$P22,J:J,"&gt;"&amp;0.1,J:J,"&lt;="&amp;0.2)</f>
        <v>0</v>
      </c>
      <c r="W24" s="64">
        <v>0.92500000000000004</v>
      </c>
      <c r="X24" s="64">
        <f t="shared" si="2"/>
        <v>0</v>
      </c>
      <c r="Y24" s="308"/>
      <c r="AB24" s="47">
        <f t="shared" si="0"/>
        <v>0.79349999999999998</v>
      </c>
      <c r="AC24" s="47">
        <f t="shared" ref="AC24:AC52" si="9">AC23-2.83%</f>
        <v>0.82169999999999999</v>
      </c>
      <c r="AD24" s="48">
        <v>2.9</v>
      </c>
    </row>
    <row r="25" spans="3:30">
      <c r="C25" s="24">
        <f t="shared" si="4"/>
        <v>19</v>
      </c>
      <c r="D25" s="72" t="s">
        <v>49</v>
      </c>
      <c r="E25" s="72"/>
      <c r="F25" s="71" t="s">
        <v>34</v>
      </c>
      <c r="G25" s="88">
        <f>IF(ISBLANK(VLOOKUP($D$3,MemberData!$D$6:$JY$18,$C25*3+1,0)),"",VLOOKUP($D$3,MemberData!$D$6:$JY$18,$C25*3+1,0))</f>
        <v>0.04</v>
      </c>
      <c r="H25" s="89">
        <f>IF(ISBLANK(VLOOKUP($D$3,MemberData!$D$6:$JY$18,$C25*3+2,0)),"",VLOOKUP($D$3,MemberData!$D$6:$JY$18,$C25*3+2,0))</f>
        <v>550</v>
      </c>
      <c r="I25" s="89">
        <f>IF(ISBLANK(VLOOKUP($D$3,MemberData!$D$6:$JY$18,$C25*3+3,0)),"",VLOOKUP($D$3,MemberData!$D$6:$JY$18,$C25*3+3,0))</f>
        <v>0</v>
      </c>
      <c r="J25" s="90">
        <f t="shared" si="3"/>
        <v>-1</v>
      </c>
      <c r="P25" s="296"/>
      <c r="Q25" s="317"/>
      <c r="R25" s="298"/>
      <c r="S25" s="308"/>
      <c r="T25" s="308"/>
      <c r="U25" s="54" t="s">
        <v>156</v>
      </c>
      <c r="V25" s="64">
        <f>COUNTIFS(F:F,$P22,J:J,"&gt;"&amp;0.2,J:J,"&lt;="&amp;0.3)</f>
        <v>0</v>
      </c>
      <c r="W25" s="64">
        <v>0.96250000000000002</v>
      </c>
      <c r="X25" s="64">
        <f t="shared" si="2"/>
        <v>0</v>
      </c>
      <c r="Y25" s="308"/>
      <c r="AB25" s="47">
        <f t="shared" si="0"/>
        <v>0.76519999999999999</v>
      </c>
      <c r="AC25" s="47">
        <f t="shared" si="9"/>
        <v>0.79339999999999999</v>
      </c>
      <c r="AD25" s="48">
        <v>2.8</v>
      </c>
    </row>
    <row r="26" spans="3:30">
      <c r="C26" s="24">
        <f t="shared" si="4"/>
        <v>20</v>
      </c>
      <c r="D26" s="72" t="s">
        <v>50</v>
      </c>
      <c r="E26" s="72"/>
      <c r="F26" s="71" t="s">
        <v>270</v>
      </c>
      <c r="G26" s="88">
        <f>IF(ISBLANK(VLOOKUP($D$3,MemberData!$D$6:$JY$18,$C26*3+1,0)),"",VLOOKUP($D$3,MemberData!$D$6:$JY$18,$C26*3+1,0))</f>
        <v>0.04</v>
      </c>
      <c r="H26" s="89">
        <f>IF(ISBLANK(VLOOKUP($D$3,MemberData!$D$6:$JY$18,$C26*3+2,0)),"",VLOOKUP($D$3,MemberData!$D$6:$JY$18,$C26*3+2,0))</f>
        <v>3</v>
      </c>
      <c r="I26" s="89">
        <f>IF(ISBLANK(VLOOKUP($D$3,MemberData!$D$6:$JY$18,$C26*3+3,0)),"",VLOOKUP($D$3,MemberData!$D$6:$JY$18,$C26*3+3,0))</f>
        <v>3</v>
      </c>
      <c r="J26" s="90">
        <f t="shared" si="3"/>
        <v>0</v>
      </c>
      <c r="P26" s="296"/>
      <c r="Q26" s="317"/>
      <c r="R26" s="298"/>
      <c r="S26" s="308"/>
      <c r="T26" s="308"/>
      <c r="U26" s="54" t="s">
        <v>157</v>
      </c>
      <c r="V26" s="64">
        <f>COUNTIFS(F:F,$P22,J:J,"&gt;"&amp;0.3)</f>
        <v>0</v>
      </c>
      <c r="W26" s="64">
        <v>1</v>
      </c>
      <c r="X26" s="64">
        <f t="shared" si="2"/>
        <v>0</v>
      </c>
      <c r="Y26" s="308"/>
      <c r="AB26" s="47">
        <f t="shared" si="0"/>
        <v>0.7369</v>
      </c>
      <c r="AC26" s="47">
        <f t="shared" si="9"/>
        <v>0.7651</v>
      </c>
      <c r="AD26" s="48">
        <v>2.6999999999999802</v>
      </c>
    </row>
    <row r="27" spans="3:30">
      <c r="C27" s="24">
        <f t="shared" si="4"/>
        <v>21</v>
      </c>
      <c r="D27" s="72" t="s">
        <v>51</v>
      </c>
      <c r="E27" s="72"/>
      <c r="F27" s="71" t="s">
        <v>270</v>
      </c>
      <c r="G27" s="88">
        <f>IF(ISBLANK(VLOOKUP($D$3,MemberData!$D$6:$JY$18,$C27*3+1,0)),"",VLOOKUP($D$3,MemberData!$D$6:$JY$18,$C27*3+1,0))</f>
        <v>0.03</v>
      </c>
      <c r="H27" s="89">
        <f>IF(ISBLANK(VLOOKUP($D$3,MemberData!$D$6:$JY$18,$C27*3+2,0)),"",VLOOKUP($D$3,MemberData!$D$6:$JY$18,$C27*3+2,0))</f>
        <v>3</v>
      </c>
      <c r="I27" s="89">
        <f>IF(ISBLANK(VLOOKUP($D$3,MemberData!$D$6:$JY$18,$C27*3+3,0)),"",VLOOKUP($D$3,MemberData!$D$6:$JY$18,$C27*3+3,0))</f>
        <v>3</v>
      </c>
      <c r="J27" s="90">
        <f t="shared" si="3"/>
        <v>0</v>
      </c>
      <c r="P27" s="296"/>
      <c r="Q27" s="317"/>
      <c r="R27" s="298"/>
      <c r="S27" s="308"/>
      <c r="T27" s="308"/>
      <c r="U27" s="54" t="s">
        <v>165</v>
      </c>
      <c r="V27" s="64">
        <f>COUNTIFS(F:F,$P22,J:J,"&gt;="&amp;-0.1,J:J,"&lt;"&amp;0)</f>
        <v>0</v>
      </c>
      <c r="W27" s="64">
        <v>0.4</v>
      </c>
      <c r="X27" s="64">
        <f t="shared" si="2"/>
        <v>0</v>
      </c>
      <c r="Y27" s="308"/>
      <c r="AB27" s="47">
        <f t="shared" si="0"/>
        <v>0.70860000000000001</v>
      </c>
      <c r="AC27" s="47">
        <f t="shared" si="9"/>
        <v>0.73680000000000001</v>
      </c>
      <c r="AD27" s="48">
        <v>2.5999999999999699</v>
      </c>
    </row>
    <row r="28" spans="3:30">
      <c r="C28" s="24">
        <f t="shared" si="4"/>
        <v>22</v>
      </c>
      <c r="D28" s="72" t="s">
        <v>52</v>
      </c>
      <c r="E28" s="72"/>
      <c r="F28" s="71" t="s">
        <v>270</v>
      </c>
      <c r="G28" s="88">
        <f>IF(ISBLANK(VLOOKUP($D$3,MemberData!$D$6:$JY$18,$C28*3+1,0)),"",VLOOKUP($D$3,MemberData!$D$6:$JY$18,$C28*3+1,0))</f>
        <v>0.03</v>
      </c>
      <c r="H28" s="89">
        <f>IF(ISBLANK(VLOOKUP($D$3,MemberData!$D$6:$JY$18,$C28*3+2,0)),"",VLOOKUP($D$3,MemberData!$D$6:$JY$18,$C28*3+2,0))</f>
        <v>3</v>
      </c>
      <c r="I28" s="89" t="str">
        <f>IF(ISBLANK(VLOOKUP($D$3,MemberData!$D$6:$JY$18,$C28*3+3,0)),"",VLOOKUP($D$3,MemberData!$D$6:$JY$18,$C28*3+3,0))</f>
        <v> 4</v>
      </c>
      <c r="J28" s="90" t="str">
        <f t="shared" si="3"/>
        <v>NA</v>
      </c>
      <c r="P28" s="296"/>
      <c r="Q28" s="317"/>
      <c r="R28" s="298"/>
      <c r="S28" s="308"/>
      <c r="T28" s="308"/>
      <c r="U28" s="54" t="s">
        <v>166</v>
      </c>
      <c r="V28" s="64">
        <f>COUNTIFS(F:F,$P22,J:J,"&lt;"&amp;-0.1,J:J,"&gt;="&amp;-0.3)</f>
        <v>0</v>
      </c>
      <c r="W28" s="64">
        <v>0.65</v>
      </c>
      <c r="X28" s="64">
        <f t="shared" si="2"/>
        <v>0</v>
      </c>
      <c r="Y28" s="308"/>
      <c r="AB28" s="47">
        <f t="shared" si="0"/>
        <v>0.68030000000000002</v>
      </c>
      <c r="AC28" s="47">
        <f t="shared" si="9"/>
        <v>0.70850000000000002</v>
      </c>
      <c r="AD28" s="48">
        <v>2.49999999999996</v>
      </c>
    </row>
    <row r="29" spans="3:30">
      <c r="C29" s="24">
        <f t="shared" si="4"/>
        <v>23</v>
      </c>
      <c r="D29" s="72" t="s">
        <v>53</v>
      </c>
      <c r="E29" s="72"/>
      <c r="F29" s="71" t="s">
        <v>34</v>
      </c>
      <c r="G29" s="88">
        <f>IF(ISBLANK(VLOOKUP($D$3,MemberData!$D$6:$JY$18,$C29*3+1,0)),"",VLOOKUP($D$3,MemberData!$D$6:$JY$18,$C29*3+1,0))</f>
        <v>0</v>
      </c>
      <c r="H29" s="89">
        <f>IF(ISBLANK(VLOOKUP($D$3,MemberData!$D$6:$JY$18,$C29*3+2,0)),"",VLOOKUP($D$3,MemberData!$D$6:$JY$18,$C29*3+2,0))</f>
        <v>0</v>
      </c>
      <c r="I29" s="89">
        <f>IF(ISBLANK(VLOOKUP($D$3,MemberData!$D$6:$JY$18,$C29*3+3,0)),"",VLOOKUP($D$3,MemberData!$D$6:$JY$18,$C29*3+3,0))</f>
        <v>0</v>
      </c>
      <c r="J29" s="90" t="str">
        <f t="shared" si="3"/>
        <v>NA</v>
      </c>
      <c r="P29" s="296"/>
      <c r="Q29" s="318"/>
      <c r="R29" s="299"/>
      <c r="S29" s="309"/>
      <c r="T29" s="309"/>
      <c r="U29" s="54" t="s">
        <v>158</v>
      </c>
      <c r="V29" s="64">
        <f>COUNTIFS(F:F,$P22,J:J,"&lt;"&amp;-0.3)</f>
        <v>0</v>
      </c>
      <c r="W29" s="64">
        <v>1</v>
      </c>
      <c r="X29" s="64">
        <f t="shared" si="2"/>
        <v>0</v>
      </c>
      <c r="Y29" s="309"/>
      <c r="AB29" s="47">
        <f t="shared" si="0"/>
        <v>0.65200000000000002</v>
      </c>
      <c r="AC29" s="47">
        <f t="shared" si="9"/>
        <v>0.68020000000000003</v>
      </c>
      <c r="AD29" s="48">
        <v>2.3999999999999502</v>
      </c>
    </row>
    <row r="30" spans="3:30">
      <c r="C30" s="24">
        <f t="shared" si="4"/>
        <v>24</v>
      </c>
      <c r="D30" s="223" t="s">
        <v>298</v>
      </c>
      <c r="E30" s="72"/>
      <c r="F30" s="228" t="s">
        <v>34</v>
      </c>
      <c r="G30" s="88">
        <f>IF(ISBLANK(VLOOKUP($D$3,MemberData!$D$6:$JY$18,$C30*3+1,0)),"",VLOOKUP($D$3,MemberData!$D$6:$JY$18,$C30*3+1,0))</f>
        <v>0.03</v>
      </c>
      <c r="H30" s="89">
        <f>IF(ISBLANK(VLOOKUP($D$3,MemberData!$D$6:$JY$18,$C30*3+2,0)),"",VLOOKUP($D$3,MemberData!$D$6:$JY$18,$C30*3+2,0))</f>
        <v>3</v>
      </c>
      <c r="I30" s="89" t="str">
        <f>IF(ISBLANK(VLOOKUP($D$3,MemberData!$D$6:$JY$18,$C30*3+3,0)),"",VLOOKUP($D$3,MemberData!$D$6:$JY$18,$C30*3+3,0))</f>
        <v> 3</v>
      </c>
      <c r="J30" s="90" t="str">
        <f t="shared" si="3"/>
        <v>NA</v>
      </c>
      <c r="P30" s="275" t="s">
        <v>34</v>
      </c>
      <c r="Q30" s="276">
        <f>SUMIFS($G$7:$G$99,$F$7:$F$99,$P$30)</f>
        <v>0.1</v>
      </c>
      <c r="R30" s="279">
        <f>IFERROR(SUM(X30:X36)/SUM(V30:V37),0)</f>
        <v>0.5</v>
      </c>
      <c r="S30" s="282">
        <f t="shared" ref="S30" si="10">IFERROR(LOOKUP(2,1/($AB$3:$AB$52&lt;=R30)/($AC$3:$AC$52&gt;=R30),$AD$3:$AD$52),0)</f>
        <v>1.7999999999998899</v>
      </c>
      <c r="T30" s="282">
        <f t="shared" ref="T30" si="11">IFERROR(ROUND(S30,0),0)</f>
        <v>2</v>
      </c>
      <c r="U30" s="66" t="s">
        <v>153</v>
      </c>
      <c r="V30" s="67">
        <f>COUNTIFS(F:F,$P30,J:J,"="&amp;0)</f>
        <v>0</v>
      </c>
      <c r="W30" s="67">
        <v>0.85</v>
      </c>
      <c r="X30" s="67">
        <f t="shared" si="2"/>
        <v>0</v>
      </c>
      <c r="Y30" s="282">
        <f>IFERROR(LOOKUP(2,1/($AB$3:$AB$52&lt;=R30)/($AC$3:$AC$52&gt;=R30),$AD$3:$AD$52),0)</f>
        <v>1.7999999999998899</v>
      </c>
      <c r="AB30" s="47">
        <f t="shared" si="0"/>
        <v>0.62370000000000003</v>
      </c>
      <c r="AC30" s="47">
        <f t="shared" si="9"/>
        <v>0.65190000000000003</v>
      </c>
      <c r="AD30" s="48">
        <v>2.2999999999999399</v>
      </c>
    </row>
    <row r="31" spans="3:30">
      <c r="C31" s="24">
        <f t="shared" si="4"/>
        <v>25</v>
      </c>
      <c r="D31" s="72" t="s">
        <v>54</v>
      </c>
      <c r="E31" s="72"/>
      <c r="F31" s="71" t="s">
        <v>34</v>
      </c>
      <c r="G31" s="88">
        <f>IF(ISBLANK(VLOOKUP($D$3,MemberData!$D$6:$JY$18,$C31*3+1,0)),"",VLOOKUP($D$3,MemberData!$D$6:$JY$18,$C31*3+1,0))</f>
        <v>0.03</v>
      </c>
      <c r="H31" s="89">
        <f>IF(ISBLANK(VLOOKUP($D$3,MemberData!$D$6:$JY$18,$C31*3+2,0)),"",VLOOKUP($D$3,MemberData!$D$6:$JY$18,$C31*3+2,0))</f>
        <v>3</v>
      </c>
      <c r="I31" s="89">
        <f>IF(ISBLANK(VLOOKUP($D$3,MemberData!$D$6:$JY$18,$C31*3+3,0)),"",VLOOKUP($D$3,MemberData!$D$6:$JY$18,$C31*3+3,0))</f>
        <v>4</v>
      </c>
      <c r="J31" s="90">
        <f t="shared" si="3"/>
        <v>0.33333333333333331</v>
      </c>
      <c r="P31" s="275"/>
      <c r="Q31" s="277"/>
      <c r="R31" s="280"/>
      <c r="S31" s="283"/>
      <c r="T31" s="283"/>
      <c r="U31" s="66" t="s">
        <v>154</v>
      </c>
      <c r="V31" s="67">
        <f>COUNTIFS(F:F,$P30,J:J,"&gt;"&amp;0,J:J,"&lt;="&amp;0.1)</f>
        <v>0</v>
      </c>
      <c r="W31" s="67">
        <v>0.88749999999999996</v>
      </c>
      <c r="X31" s="67">
        <f t="shared" si="2"/>
        <v>0</v>
      </c>
      <c r="Y31" s="283"/>
      <c r="AB31" s="47">
        <f t="shared" si="0"/>
        <v>0.59540000000000004</v>
      </c>
      <c r="AC31" s="47">
        <f t="shared" si="9"/>
        <v>0.62360000000000004</v>
      </c>
      <c r="AD31" s="48">
        <v>2.19999999999993</v>
      </c>
    </row>
    <row r="32" spans="3:30">
      <c r="C32" s="24">
        <f t="shared" si="4"/>
        <v>26</v>
      </c>
      <c r="D32" s="86" t="s">
        <v>197</v>
      </c>
      <c r="E32" s="86"/>
      <c r="F32" s="87" t="s">
        <v>34</v>
      </c>
      <c r="G32" s="88" t="str">
        <f>IF(ISBLANK(VLOOKUP($D$3,MemberData!$D$6:$JY$18,$C32*3+1,0)),"",VLOOKUP($D$3,MemberData!$D$6:$JY$18,$C32*3+1,0))</f>
        <v/>
      </c>
      <c r="H32" s="89" t="str">
        <f>IF(ISBLANK(VLOOKUP($D$3,MemberData!$D$6:$JY$18,$C32*3+2,0)),"",VLOOKUP($D$3,MemberData!$D$6:$JY$18,$C32*3+2,0))</f>
        <v/>
      </c>
      <c r="I32" s="89" t="str">
        <f>IF(ISBLANK(VLOOKUP($D$3,MemberData!$D$6:$JY$18,$C32*3+3,0)),"",VLOOKUP($D$3,MemberData!$D$6:$JY$18,$C32*3+3,0))</f>
        <v/>
      </c>
      <c r="J32" s="90" t="str">
        <f t="shared" si="3"/>
        <v>NA</v>
      </c>
      <c r="P32" s="275"/>
      <c r="Q32" s="277"/>
      <c r="R32" s="280"/>
      <c r="S32" s="283"/>
      <c r="T32" s="283"/>
      <c r="U32" s="66" t="s">
        <v>155</v>
      </c>
      <c r="V32" s="67">
        <f>COUNTIFS(F:F,$P30,J:J,"&gt;"&amp;0.1,J:J,"&lt;="&amp;0.2)</f>
        <v>0</v>
      </c>
      <c r="W32" s="67">
        <v>0.92500000000000004</v>
      </c>
      <c r="X32" s="67">
        <f t="shared" si="2"/>
        <v>0</v>
      </c>
      <c r="Y32" s="283"/>
      <c r="AB32" s="47">
        <f t="shared" si="0"/>
        <v>0.56710000000000005</v>
      </c>
      <c r="AC32" s="47">
        <f t="shared" si="9"/>
        <v>0.59530000000000005</v>
      </c>
      <c r="AD32" s="48">
        <v>2.0999999999999202</v>
      </c>
    </row>
    <row r="33" spans="3:30">
      <c r="C33" s="24">
        <f t="shared" si="4"/>
        <v>27</v>
      </c>
      <c r="D33" s="84" t="s">
        <v>29</v>
      </c>
      <c r="E33" s="84"/>
      <c r="F33" s="85" t="s">
        <v>34</v>
      </c>
      <c r="G33" s="116" t="str">
        <f>IF(ISBLANK(VLOOKUP($D$3,MemberData!$D$6:$JY$18,$C33*3+1,0)),"",VLOOKUP($D$3,MemberData!$D$6:$JY$18,$C33*3+1,0))</f>
        <v/>
      </c>
      <c r="H33" s="117" t="str">
        <f>IF(ISBLANK(VLOOKUP($D$3,MemberData!$D$6:$JY$18,$C33*3+2,0)),"",VLOOKUP($D$3,MemberData!$D$6:$JY$18,$C33*3+2,0))</f>
        <v/>
      </c>
      <c r="I33" s="117" t="str">
        <f>IF(ISBLANK(VLOOKUP($D$3,MemberData!$D$6:$JY$18,$C33*3+3,0)),"",VLOOKUP($D$3,MemberData!$D$6:$JY$18,$C33*3+3,0))</f>
        <v/>
      </c>
      <c r="J33" s="90" t="str">
        <f t="shared" si="3"/>
        <v>NA</v>
      </c>
      <c r="P33" s="275"/>
      <c r="Q33" s="277"/>
      <c r="R33" s="280"/>
      <c r="S33" s="283"/>
      <c r="T33" s="283"/>
      <c r="U33" s="66" t="s">
        <v>156</v>
      </c>
      <c r="V33" s="67">
        <f>COUNTIFS(F:F,$P30,J:J,"&gt;"&amp;0.2,J:J,"&lt;="&amp;0.3)</f>
        <v>0</v>
      </c>
      <c r="W33" s="67">
        <v>0.96250000000000002</v>
      </c>
      <c r="X33" s="67">
        <f t="shared" si="2"/>
        <v>0</v>
      </c>
      <c r="Y33" s="283"/>
      <c r="AB33" s="47">
        <f t="shared" si="0"/>
        <v>0.53880000000000006</v>
      </c>
      <c r="AC33" s="47">
        <f t="shared" si="9"/>
        <v>0.56700000000000006</v>
      </c>
      <c r="AD33" s="48">
        <v>1.9999999999999101</v>
      </c>
    </row>
    <row r="34" spans="3:30">
      <c r="C34" s="24">
        <f t="shared" si="4"/>
        <v>28</v>
      </c>
      <c r="D34" s="72" t="s">
        <v>254</v>
      </c>
      <c r="E34" s="72"/>
      <c r="F34" s="71" t="s">
        <v>55</v>
      </c>
      <c r="G34" s="88">
        <f>IF(ISBLANK(VLOOKUP($D$3,MemberData!$D$6:$JY$18,$C34*3+1,0)),"",VLOOKUP($D$3,MemberData!$D$6:$JY$18,$C34*3+1,0))</f>
        <v>0</v>
      </c>
      <c r="H34" s="89">
        <f>IF(ISBLANK(VLOOKUP($D$3,MemberData!$D$6:$JY$18,$C34*3+2,0)),"",VLOOKUP($D$3,MemberData!$D$6:$JY$18,$C34*3+2,0))</f>
        <v>0</v>
      </c>
      <c r="I34" s="89">
        <f>IF(ISBLANK(VLOOKUP($D$3,MemberData!$D$6:$JY$18,$C34*3+3,0)),"",VLOOKUP($D$3,MemberData!$D$6:$JY$18,$C34*3+3,0))</f>
        <v>0</v>
      </c>
      <c r="J34" s="90" t="str">
        <f t="shared" si="3"/>
        <v>NA</v>
      </c>
      <c r="P34" s="275"/>
      <c r="Q34" s="277"/>
      <c r="R34" s="280"/>
      <c r="S34" s="283"/>
      <c r="T34" s="283"/>
      <c r="U34" s="66" t="s">
        <v>157</v>
      </c>
      <c r="V34" s="67">
        <f>COUNTIFS(F:F,$P30,J:J,"&gt;"&amp;0.3)</f>
        <v>1</v>
      </c>
      <c r="W34" s="67">
        <v>1</v>
      </c>
      <c r="X34" s="67">
        <f t="shared" si="2"/>
        <v>1</v>
      </c>
      <c r="Y34" s="283"/>
      <c r="AB34" s="47">
        <f t="shared" si="0"/>
        <v>0.51050000000000006</v>
      </c>
      <c r="AC34" s="47">
        <f t="shared" si="9"/>
        <v>0.53870000000000007</v>
      </c>
      <c r="AD34" s="48">
        <v>1.8999999999999</v>
      </c>
    </row>
    <row r="35" spans="3:30">
      <c r="C35" s="24">
        <f t="shared" si="4"/>
        <v>29</v>
      </c>
      <c r="D35" s="72" t="s">
        <v>183</v>
      </c>
      <c r="E35" s="72"/>
      <c r="F35" s="71" t="s">
        <v>55</v>
      </c>
      <c r="G35" s="88" t="str">
        <f>IF(ISBLANK(VLOOKUP($D$3,MemberData!$D$6:$JY$18,$C35*3+1,0)),"",VLOOKUP($D$3,MemberData!$D$6:$JY$18,$C35*3+1,0))</f>
        <v/>
      </c>
      <c r="H35" s="89" t="str">
        <f>IF(ISBLANK(VLOOKUP($D$3,MemberData!$D$6:$JY$18,$C35*3+2,0)),"",VLOOKUP($D$3,MemberData!$D$6:$JY$18,$C35*3+2,0))</f>
        <v/>
      </c>
      <c r="I35" s="89" t="str">
        <f>IF(ISBLANK(VLOOKUP($D$3,MemberData!$D$6:$JY$18,$C35*3+3,0)),"",VLOOKUP($D$3,MemberData!$D$6:$JY$18,$C35*3+3,0))</f>
        <v/>
      </c>
      <c r="J35" s="90" t="str">
        <f t="shared" si="3"/>
        <v>NA</v>
      </c>
      <c r="P35" s="275"/>
      <c r="Q35" s="277"/>
      <c r="R35" s="280"/>
      <c r="S35" s="283"/>
      <c r="T35" s="283"/>
      <c r="U35" s="66" t="s">
        <v>165</v>
      </c>
      <c r="V35" s="67">
        <f>COUNTIFS(F:F,$P30,J:J,"&gt;="&amp;-0.1,J:J,"&lt;"&amp;0)</f>
        <v>0</v>
      </c>
      <c r="W35" s="67">
        <v>0.4</v>
      </c>
      <c r="X35" s="67">
        <f t="shared" si="2"/>
        <v>0</v>
      </c>
      <c r="Y35" s="283"/>
      <c r="AB35" s="47">
        <f t="shared" si="0"/>
        <v>0.48220000000000007</v>
      </c>
      <c r="AC35" s="47">
        <f t="shared" si="9"/>
        <v>0.51040000000000008</v>
      </c>
      <c r="AD35" s="48">
        <v>1.7999999999998899</v>
      </c>
    </row>
    <row r="36" spans="3:30">
      <c r="C36" s="24">
        <f t="shared" si="4"/>
        <v>30</v>
      </c>
      <c r="D36" s="72" t="s">
        <v>184</v>
      </c>
      <c r="E36" s="72"/>
      <c r="F36" s="71" t="s">
        <v>55</v>
      </c>
      <c r="G36" s="88" t="str">
        <f>IF(ISBLANK(VLOOKUP($D$3,MemberData!$D$6:$JY$18,$C36*3+1,0)),"",VLOOKUP($D$3,MemberData!$D$6:$JY$18,$C36*3+1,0))</f>
        <v/>
      </c>
      <c r="H36" s="89" t="str">
        <f>IF(ISBLANK(VLOOKUP($D$3,MemberData!$D$6:$JY$18,$C36*3+2,0)),"",VLOOKUP($D$3,MemberData!$D$6:$JY$18,$C36*3+2,0))</f>
        <v/>
      </c>
      <c r="I36" s="89" t="str">
        <f>IF(ISBLANK(VLOOKUP($D$3,MemberData!$D$6:$JY$18,$C36*3+3,0)),"",VLOOKUP($D$3,MemberData!$D$6:$JY$18,$C36*3+3,0))</f>
        <v/>
      </c>
      <c r="J36" s="90" t="str">
        <f t="shared" si="3"/>
        <v>NA</v>
      </c>
      <c r="P36" s="275"/>
      <c r="Q36" s="277"/>
      <c r="R36" s="280"/>
      <c r="S36" s="283"/>
      <c r="T36" s="283"/>
      <c r="U36" s="66" t="s">
        <v>166</v>
      </c>
      <c r="V36" s="67">
        <f>COUNTIFS(F:F,$P30,J:J,"&lt;"&amp;-0.1,J:J,"&gt;="&amp;-0.3)</f>
        <v>0</v>
      </c>
      <c r="W36" s="67">
        <v>0.65</v>
      </c>
      <c r="X36" s="67">
        <f t="shared" si="2"/>
        <v>0</v>
      </c>
      <c r="Y36" s="283"/>
      <c r="AB36" s="47">
        <f t="shared" si="0"/>
        <v>0.45390000000000008</v>
      </c>
      <c r="AC36" s="47">
        <f t="shared" si="9"/>
        <v>0.48210000000000008</v>
      </c>
      <c r="AD36" s="48">
        <v>1.6999999999998801</v>
      </c>
    </row>
    <row r="37" spans="3:30">
      <c r="C37" s="24">
        <f t="shared" si="4"/>
        <v>31</v>
      </c>
      <c r="D37" s="72" t="s">
        <v>48</v>
      </c>
      <c r="E37" s="72"/>
      <c r="F37" s="71" t="s">
        <v>296</v>
      </c>
      <c r="G37" s="88">
        <f>IF(ISBLANK(VLOOKUP($D$3,MemberData!$D$6:$JY$18,$C37*3+1,0)),"",VLOOKUP($D$3,MemberData!$D$6:$JY$18,$C37*3+1,0))</f>
        <v>0</v>
      </c>
      <c r="H37" s="89">
        <f>IF(ISBLANK(VLOOKUP($D$3,MemberData!$D$6:$JY$18,$C37*3+2,0)),"",VLOOKUP($D$3,MemberData!$D$6:$JY$18,$C37*3+2,0))</f>
        <v>0</v>
      </c>
      <c r="I37" s="89">
        <f>IF(ISBLANK(VLOOKUP($D$3,MemberData!$D$6:$JY$18,$C37*3+3,0)),"",VLOOKUP($D$3,MemberData!$D$6:$JY$18,$C37*3+3,0))</f>
        <v>0</v>
      </c>
      <c r="J37" s="90" t="str">
        <f t="shared" si="3"/>
        <v>NA</v>
      </c>
      <c r="P37" s="275"/>
      <c r="Q37" s="278"/>
      <c r="R37" s="281"/>
      <c r="S37" s="284"/>
      <c r="T37" s="284"/>
      <c r="U37" s="66" t="s">
        <v>158</v>
      </c>
      <c r="V37" s="67">
        <f>COUNTIFS(F:F,$P30,J:J,"&lt;"&amp;-0.3)</f>
        <v>1</v>
      </c>
      <c r="W37" s="67">
        <v>1</v>
      </c>
      <c r="X37" s="67">
        <f t="shared" si="2"/>
        <v>1</v>
      </c>
      <c r="Y37" s="284"/>
      <c r="AB37" s="47">
        <f t="shared" si="0"/>
        <v>0.42560000000000009</v>
      </c>
      <c r="AC37" s="47">
        <f t="shared" si="9"/>
        <v>0.45380000000000009</v>
      </c>
      <c r="AD37" s="48">
        <v>1.59999999999987</v>
      </c>
    </row>
    <row r="38" spans="3:30">
      <c r="C38" s="24">
        <f t="shared" si="4"/>
        <v>32</v>
      </c>
      <c r="D38" s="72" t="s">
        <v>180</v>
      </c>
      <c r="E38" s="72"/>
      <c r="F38" s="71" t="s">
        <v>185</v>
      </c>
      <c r="G38" s="88" t="str">
        <f>IF(ISBLANK(VLOOKUP($D$3,MemberData!$D$6:$JY$18,$C38*3+1,0)),"",VLOOKUP($D$3,MemberData!$D$6:$JY$18,$C38*3+1,0))</f>
        <v/>
      </c>
      <c r="H38" s="89" t="str">
        <f>IF(ISBLANK(VLOOKUP($D$3,MemberData!$D$6:$JY$18,$C38*3+2,0)),"",VLOOKUP($D$3,MemberData!$D$6:$JY$18,$C38*3+2,0))</f>
        <v/>
      </c>
      <c r="I38" s="89" t="str">
        <f>IF(ISBLANK(VLOOKUP($D$3,MemberData!$D$6:$JY$18,$C38*3+3,0)),"",VLOOKUP($D$3,MemberData!$D$6:$JY$18,$C38*3+3,0))</f>
        <v/>
      </c>
      <c r="J38" s="90" t="str">
        <f t="shared" si="3"/>
        <v>NA</v>
      </c>
      <c r="P38" s="288" t="s">
        <v>55</v>
      </c>
      <c r="Q38" s="289">
        <f>SUMIFS($G$7:$G$99,$F$7:$F$99,$P$38)</f>
        <v>0</v>
      </c>
      <c r="R38" s="292">
        <f>IFERROR(SUM(X38:X44)/SUM(V38:V45),0)</f>
        <v>0</v>
      </c>
      <c r="S38" s="285">
        <f t="shared" ref="S38" si="12">IFERROR(LOOKUP(2,1/($AB$3:$AB$52&lt;=R38)/($AC$3:$AC$52&gt;=R38),$AD$3:$AD$52),0)</f>
        <v>9.9999999999705005E-2</v>
      </c>
      <c r="T38" s="285">
        <f t="shared" ref="T38" si="13">IFERROR(ROUND(S38,0),0)</f>
        <v>0</v>
      </c>
      <c r="U38" s="68" t="s">
        <v>153</v>
      </c>
      <c r="V38" s="39">
        <f>COUNTIFS(F:F,$P38,J:J,"="&amp;0)</f>
        <v>0</v>
      </c>
      <c r="W38" s="39">
        <v>0.85</v>
      </c>
      <c r="X38" s="39">
        <f t="shared" ref="X38:X53" si="14">V38*W38</f>
        <v>0</v>
      </c>
      <c r="Y38" s="285">
        <f>IFERROR(LOOKUP(2,1/($AB$3:$AB$52&lt;=R38)/($AC$3:$AC$52&gt;=R38),$AD$3:$AD$52),0)</f>
        <v>9.9999999999705005E-2</v>
      </c>
      <c r="AB38" s="47">
        <f t="shared" si="0"/>
        <v>0.3973000000000001</v>
      </c>
      <c r="AC38" s="47">
        <f t="shared" si="9"/>
        <v>0.4255000000000001</v>
      </c>
      <c r="AD38" s="48">
        <v>1.4999999999998599</v>
      </c>
    </row>
    <row r="39" spans="3:30">
      <c r="C39" s="24">
        <f t="shared" si="4"/>
        <v>33</v>
      </c>
      <c r="D39" s="86" t="s">
        <v>188</v>
      </c>
      <c r="E39" s="72"/>
      <c r="F39" s="71" t="s">
        <v>185</v>
      </c>
      <c r="G39" s="88" t="str">
        <f>IF(ISBLANK(VLOOKUP($D$3,MemberData!$D$6:$JY$18,$C39*3+1,0)),"",VLOOKUP($D$3,MemberData!$D$6:$JY$18,$C39*3+1,0))</f>
        <v/>
      </c>
      <c r="H39" s="89" t="str">
        <f>IF(ISBLANK(VLOOKUP($D$3,MemberData!$D$6:$JY$18,$C39*3+2,0)),"",VLOOKUP($D$3,MemberData!$D$6:$JY$18,$C39*3+2,0))</f>
        <v/>
      </c>
      <c r="I39" s="89" t="str">
        <f>IF(ISBLANK(VLOOKUP($D$3,MemberData!$D$6:$JY$18,$C39*3+3,0)),"",VLOOKUP($D$3,MemberData!$D$6:$JY$18,$C39*3+3,0))</f>
        <v/>
      </c>
      <c r="J39" s="90" t="str">
        <f t="shared" si="3"/>
        <v>NA</v>
      </c>
      <c r="P39" s="288"/>
      <c r="Q39" s="290"/>
      <c r="R39" s="293"/>
      <c r="S39" s="286"/>
      <c r="T39" s="286"/>
      <c r="U39" s="68" t="s">
        <v>154</v>
      </c>
      <c r="V39" s="39">
        <f>COUNTIFS(F:F,$P38,J:J,"&gt;"&amp;0,J:J,"&lt;="&amp;0.1)</f>
        <v>0</v>
      </c>
      <c r="W39" s="39">
        <v>0.88749999999999996</v>
      </c>
      <c r="X39" s="39">
        <f t="shared" si="14"/>
        <v>0</v>
      </c>
      <c r="Y39" s="286"/>
      <c r="AB39" s="47">
        <f t="shared" si="0"/>
        <v>0.36900000000000011</v>
      </c>
      <c r="AC39" s="47">
        <f t="shared" si="9"/>
        <v>0.39720000000000011</v>
      </c>
      <c r="AD39" s="48">
        <v>1.39999999999985</v>
      </c>
    </row>
    <row r="40" spans="3:30">
      <c r="C40" s="170">
        <f t="shared" si="4"/>
        <v>34</v>
      </c>
      <c r="D40" s="86" t="s">
        <v>23</v>
      </c>
      <c r="E40" s="72" t="s">
        <v>189</v>
      </c>
      <c r="F40" s="87" t="s">
        <v>35</v>
      </c>
      <c r="G40" s="88" t="str">
        <f>IF(ISBLANK(VLOOKUP($D$3,MemberData!$D$6:$JY$18,$C40*3+1,0)),"",VLOOKUP($D$3,MemberData!$D$6:$JY$18,$C40*3+1,0))</f>
        <v/>
      </c>
      <c r="H40" s="89" t="str">
        <f>IF(ISBLANK(VLOOKUP($D$3,MemberData!$D$6:$JY$18,$C40*3+2,0)),"",VLOOKUP($D$3,MemberData!$D$6:$JY$18,$C40*3+2,0))</f>
        <v/>
      </c>
      <c r="I40" s="89" t="str">
        <f>IF(ISBLANK(VLOOKUP($D$3,MemberData!$D$6:$JY$18,$C40*3+3,0)),"",VLOOKUP($D$3,MemberData!$D$6:$JY$18,$C40*3+3,0))</f>
        <v/>
      </c>
      <c r="J40" s="90" t="str">
        <f t="shared" ref="J40:J48" si="15">IFERROR((I40-H40)/H40,"NA")</f>
        <v>NA</v>
      </c>
      <c r="P40" s="288"/>
      <c r="Q40" s="290"/>
      <c r="R40" s="293"/>
      <c r="S40" s="286"/>
      <c r="T40" s="286"/>
      <c r="U40" s="68" t="s">
        <v>155</v>
      </c>
      <c r="V40" s="39">
        <f>COUNTIFS(F:F,$P38,J:J,"&gt;"&amp;0.1,J:J,"&lt;="&amp;0.2)</f>
        <v>0</v>
      </c>
      <c r="W40" s="39">
        <v>0.92500000000000004</v>
      </c>
      <c r="X40" s="39">
        <f t="shared" si="14"/>
        <v>0</v>
      </c>
      <c r="Y40" s="286"/>
      <c r="AB40" s="47">
        <f t="shared" si="0"/>
        <v>0.34070000000000011</v>
      </c>
      <c r="AC40" s="47">
        <f t="shared" si="9"/>
        <v>0.36890000000000012</v>
      </c>
      <c r="AD40" s="48">
        <v>1.29999999999983</v>
      </c>
    </row>
    <row r="41" spans="3:30">
      <c r="C41" s="170">
        <f t="shared" si="4"/>
        <v>35</v>
      </c>
      <c r="D41" s="223" t="s">
        <v>293</v>
      </c>
      <c r="E41" s="72" t="s">
        <v>189</v>
      </c>
      <c r="F41" s="87" t="s">
        <v>35</v>
      </c>
      <c r="G41" s="88" t="str">
        <f>IF(ISBLANK(VLOOKUP($D$3,MemberData!$D$6:$JY$18,$C41*3+1,0)),"",VLOOKUP($D$3,MemberData!$D$6:$JY$18,$C41*3+1,0))</f>
        <v/>
      </c>
      <c r="H41" s="89" t="str">
        <f>IF(ISBLANK(VLOOKUP($D$3,MemberData!$D$6:$JY$18,$C41*3+2,0)),"",VLOOKUP($D$3,MemberData!$D$6:$JY$18,$C41*3+2,0))</f>
        <v/>
      </c>
      <c r="I41" s="89" t="str">
        <f>IF(ISBLANK(VLOOKUP($D$3,MemberData!$D$6:$JY$18,$C41*3+3,0)),"",VLOOKUP($D$3,MemberData!$D$6:$JY$18,$C41*3+3,0))</f>
        <v/>
      </c>
      <c r="J41" s="90" t="str">
        <f t="shared" si="15"/>
        <v>NA</v>
      </c>
      <c r="P41" s="288"/>
      <c r="Q41" s="290"/>
      <c r="R41" s="293"/>
      <c r="S41" s="286"/>
      <c r="T41" s="286"/>
      <c r="U41" s="68" t="s">
        <v>156</v>
      </c>
      <c r="V41" s="39">
        <f>COUNTIFS(F:F,$P38,J:J,"&gt;"&amp;0.2,J:J,"&lt;="&amp;0.3)</f>
        <v>0</v>
      </c>
      <c r="W41" s="39">
        <v>0.96250000000000002</v>
      </c>
      <c r="X41" s="39">
        <f t="shared" si="14"/>
        <v>0</v>
      </c>
      <c r="Y41" s="286"/>
      <c r="AB41" s="47">
        <f t="shared" si="0"/>
        <v>0.31240000000000012</v>
      </c>
      <c r="AC41" s="47">
        <f t="shared" si="9"/>
        <v>0.34060000000000012</v>
      </c>
      <c r="AD41" s="48">
        <v>1.1999999999998201</v>
      </c>
    </row>
    <row r="42" spans="3:30">
      <c r="C42" s="170">
        <f t="shared" si="4"/>
        <v>36</v>
      </c>
      <c r="D42" s="223" t="s">
        <v>292</v>
      </c>
      <c r="E42" s="72" t="s">
        <v>189</v>
      </c>
      <c r="F42" s="87" t="s">
        <v>35</v>
      </c>
      <c r="G42" s="88" t="str">
        <f>IF(ISBLANK(VLOOKUP($D$3,MemberData!$D$6:$JY$18,$C42*3+1,0)),"",VLOOKUP($D$3,MemberData!$D$6:$JY$18,$C42*3+1,0))</f>
        <v/>
      </c>
      <c r="H42" s="89" t="str">
        <f>IF(ISBLANK(VLOOKUP($D$3,MemberData!$D$6:$JY$18,$C42*3+2,0)),"",VLOOKUP($D$3,MemberData!$D$6:$JY$18,$C42*3+2,0))</f>
        <v/>
      </c>
      <c r="I42" s="89" t="str">
        <f>IF(ISBLANK(VLOOKUP($D$3,MemberData!$D$6:$JY$18,$C42*3+3,0)),"",VLOOKUP($D$3,MemberData!$D$6:$JY$18,$C42*3+3,0))</f>
        <v/>
      </c>
      <c r="J42" s="90" t="str">
        <f t="shared" si="15"/>
        <v>NA</v>
      </c>
      <c r="P42" s="288"/>
      <c r="Q42" s="290"/>
      <c r="R42" s="293"/>
      <c r="S42" s="286"/>
      <c r="T42" s="286"/>
      <c r="U42" s="68" t="s">
        <v>157</v>
      </c>
      <c r="V42" s="39">
        <f>COUNTIFS(F:F,$P38,J:J,"&gt;"&amp;0.3)</f>
        <v>0</v>
      </c>
      <c r="W42" s="39">
        <v>1</v>
      </c>
      <c r="X42" s="39">
        <f t="shared" si="14"/>
        <v>0</v>
      </c>
      <c r="Y42" s="286"/>
      <c r="AB42" s="47">
        <f t="shared" si="0"/>
        <v>0.28410000000000013</v>
      </c>
      <c r="AC42" s="47">
        <f t="shared" si="9"/>
        <v>0.31230000000000013</v>
      </c>
      <c r="AD42" s="48">
        <v>1.09999999999981</v>
      </c>
    </row>
    <row r="43" spans="3:30">
      <c r="C43" s="170">
        <f t="shared" si="4"/>
        <v>37</v>
      </c>
      <c r="D43" s="86" t="s">
        <v>20</v>
      </c>
      <c r="E43" s="72" t="s">
        <v>189</v>
      </c>
      <c r="F43" s="87" t="s">
        <v>35</v>
      </c>
      <c r="G43" s="88" t="str">
        <f>IF(ISBLANK(VLOOKUP($D$3,MemberData!$D$6:$JY$18,$C43*3+1,0)),"",VLOOKUP($D$3,MemberData!$D$6:$JY$18,$C43*3+1,0))</f>
        <v/>
      </c>
      <c r="H43" s="89" t="str">
        <f>IF(ISBLANK(VLOOKUP($D$3,MemberData!$D$6:$JY$18,$C43*3+2,0)),"",VLOOKUP($D$3,MemberData!$D$6:$JY$18,$C43*3+2,0))</f>
        <v/>
      </c>
      <c r="I43" s="89" t="str">
        <f>IF(ISBLANK(VLOOKUP($D$3,MemberData!$D$6:$JY$18,$C43*3+3,0)),"",VLOOKUP($D$3,MemberData!$D$6:$JY$18,$C43*3+3,0))</f>
        <v/>
      </c>
      <c r="J43" s="90" t="str">
        <f t="shared" si="15"/>
        <v>NA</v>
      </c>
      <c r="P43" s="288"/>
      <c r="Q43" s="290"/>
      <c r="R43" s="293"/>
      <c r="S43" s="286"/>
      <c r="T43" s="286"/>
      <c r="U43" s="68" t="s">
        <v>165</v>
      </c>
      <c r="V43" s="39">
        <f>COUNTIFS(F:F,$P38,J:J,"&gt;="&amp;-0.1,J:J,"&lt;"&amp;0)</f>
        <v>0</v>
      </c>
      <c r="W43" s="39">
        <v>0.4</v>
      </c>
      <c r="X43" s="39">
        <f t="shared" si="14"/>
        <v>0</v>
      </c>
      <c r="Y43" s="286"/>
      <c r="AB43" s="47">
        <f t="shared" si="0"/>
        <v>0.25580000000000014</v>
      </c>
      <c r="AC43" s="47">
        <f t="shared" si="9"/>
        <v>0.28400000000000014</v>
      </c>
      <c r="AD43" s="48">
        <v>0.99999999999980005</v>
      </c>
    </row>
    <row r="44" spans="3:30">
      <c r="C44" s="170">
        <f t="shared" si="4"/>
        <v>38</v>
      </c>
      <c r="D44" s="86" t="s">
        <v>242</v>
      </c>
      <c r="E44" s="72" t="s">
        <v>189</v>
      </c>
      <c r="F44" s="87" t="s">
        <v>35</v>
      </c>
      <c r="G44" s="88" t="str">
        <f>IF(ISBLANK(VLOOKUP($D$3,MemberData!$D$6:$JY$18,$C44*3+1,0)),"",VLOOKUP($D$3,MemberData!$D$6:$JY$18,$C44*3+1,0))</f>
        <v/>
      </c>
      <c r="H44" s="89" t="str">
        <f>IF(ISBLANK(VLOOKUP($D$3,MemberData!$D$6:$JY$18,$C44*3+2,0)),"",VLOOKUP($D$3,MemberData!$D$6:$JY$18,$C44*3+2,0))</f>
        <v/>
      </c>
      <c r="I44" s="89" t="str">
        <f>IF(ISBLANK(VLOOKUP($D$3,MemberData!$D$6:$JY$18,$C44*3+3,0)),"",VLOOKUP($D$3,MemberData!$D$6:$JY$18,$C44*3+3,0))</f>
        <v/>
      </c>
      <c r="J44" s="90" t="str">
        <f t="shared" si="15"/>
        <v>NA</v>
      </c>
      <c r="P44" s="288"/>
      <c r="Q44" s="290"/>
      <c r="R44" s="293"/>
      <c r="S44" s="286"/>
      <c r="T44" s="286"/>
      <c r="U44" s="68" t="s">
        <v>166</v>
      </c>
      <c r="V44" s="39">
        <f>COUNTIFS(F:F,$P38,J:J,"&lt;"&amp;-0.1,J:J,"&gt;="&amp;-0.3)</f>
        <v>0</v>
      </c>
      <c r="W44" s="39">
        <v>0.65</v>
      </c>
      <c r="X44" s="39">
        <f t="shared" si="14"/>
        <v>0</v>
      </c>
      <c r="Y44" s="286"/>
      <c r="AB44" s="47">
        <f t="shared" si="0"/>
        <v>0.22750000000000015</v>
      </c>
      <c r="AC44" s="47">
        <f t="shared" si="9"/>
        <v>0.25570000000000015</v>
      </c>
      <c r="AD44" s="48">
        <v>0.89999999999978997</v>
      </c>
    </row>
    <row r="45" spans="3:30">
      <c r="C45" s="170">
        <f t="shared" si="4"/>
        <v>39</v>
      </c>
      <c r="D45" s="86" t="s">
        <v>244</v>
      </c>
      <c r="E45" s="72" t="s">
        <v>189</v>
      </c>
      <c r="F45" s="87" t="s">
        <v>35</v>
      </c>
      <c r="G45" s="88" t="str">
        <f>IF(ISBLANK(VLOOKUP($D$3,MemberData!$D$6:$JY$18,$C45*3+1,0)),"",VLOOKUP($D$3,MemberData!$D$6:$JY$18,$C45*3+1,0))</f>
        <v/>
      </c>
      <c r="H45" s="89" t="str">
        <f>IF(ISBLANK(VLOOKUP($D$3,MemberData!$D$6:$JY$18,$C45*3+2,0)),"",VLOOKUP($D$3,MemberData!$D$6:$JY$18,$C45*3+2,0))</f>
        <v/>
      </c>
      <c r="I45" s="89" t="str">
        <f>IF(ISBLANK(VLOOKUP($D$3,MemberData!$D$6:$JY$18,$C45*3+3,0)),"",VLOOKUP($D$3,MemberData!$D$6:$JY$18,$C45*3+3,0))</f>
        <v/>
      </c>
      <c r="J45" s="90" t="str">
        <f t="shared" si="15"/>
        <v>NA</v>
      </c>
      <c r="P45" s="288"/>
      <c r="Q45" s="291"/>
      <c r="R45" s="294"/>
      <c r="S45" s="287"/>
      <c r="T45" s="287"/>
      <c r="U45" s="68" t="s">
        <v>158</v>
      </c>
      <c r="V45" s="39">
        <f>COUNTIFS(F:F,$P38,J:J,"&lt;"&amp;-0.3)</f>
        <v>0</v>
      </c>
      <c r="W45" s="39">
        <v>1</v>
      </c>
      <c r="X45" s="39">
        <f t="shared" si="14"/>
        <v>0</v>
      </c>
      <c r="Y45" s="287"/>
      <c r="AB45" s="47">
        <f t="shared" si="0"/>
        <v>0.19920000000000015</v>
      </c>
      <c r="AC45" s="47">
        <f t="shared" si="9"/>
        <v>0.22740000000000016</v>
      </c>
      <c r="AD45" s="48">
        <v>0.79999999999978</v>
      </c>
    </row>
    <row r="46" spans="3:30">
      <c r="C46" s="170">
        <f t="shared" si="4"/>
        <v>40</v>
      </c>
      <c r="D46" s="223" t="s">
        <v>294</v>
      </c>
      <c r="E46" s="223" t="s">
        <v>189</v>
      </c>
      <c r="F46" s="228" t="s">
        <v>296</v>
      </c>
      <c r="G46" s="88" t="str">
        <f>IF(ISBLANK(VLOOKUP($D$3,MemberData!$D$6:$JY$18,$C46*3+1,0)),"",VLOOKUP($D$3,MemberData!$D$6:$JY$18,$C46*3+1,0))</f>
        <v/>
      </c>
      <c r="H46" s="89" t="str">
        <f>IF(ISBLANK(VLOOKUP($D$3,MemberData!$D$6:$JY$18,$C46*3+2,0)),"",VLOOKUP($D$3,MemberData!$D$6:$JY$18,$C46*3+2,0))</f>
        <v/>
      </c>
      <c r="I46" s="89" t="str">
        <f>IF(ISBLANK(VLOOKUP($D$3,MemberData!$D$6:$JY$18,$C46*3+3,0)),"",VLOOKUP($D$3,MemberData!$D$6:$JY$18,$C46*3+3,0))</f>
        <v/>
      </c>
      <c r="J46" s="90" t="str">
        <f t="shared" si="15"/>
        <v>NA</v>
      </c>
      <c r="P46" s="275" t="s">
        <v>185</v>
      </c>
      <c r="Q46" s="276">
        <f>SUMIFS($G$7:$G$99,$F$7:$F$99,$P$46)</f>
        <v>0</v>
      </c>
      <c r="R46" s="279">
        <f>IFERROR(SUM(X46:X52)/SUM(V46:V53),0)</f>
        <v>0</v>
      </c>
      <c r="S46" s="282">
        <f t="shared" ref="S46" si="16">IFERROR(LOOKUP(2,1/($AB$3:$AB$52&lt;=R46)/($AC$3:$AC$52&gt;=R46),$AD$3:$AD$52),0)</f>
        <v>9.9999999999705005E-2</v>
      </c>
      <c r="T46" s="282">
        <f t="shared" ref="T46" si="17">IFERROR(ROUND(S46,0),0)</f>
        <v>0</v>
      </c>
      <c r="U46" s="66" t="s">
        <v>153</v>
      </c>
      <c r="V46" s="67">
        <f>COUNTIFS(F:F,$P46,J:J,"="&amp;0)</f>
        <v>0</v>
      </c>
      <c r="W46" s="67">
        <v>0.85</v>
      </c>
      <c r="X46" s="67">
        <f t="shared" si="14"/>
        <v>0</v>
      </c>
      <c r="Y46" s="282">
        <f>IFERROR(LOOKUP(2,1/($AB$3:$AB$52&lt;=R46)/($AC$3:$AC$52&gt;=R46),$AD$3:$AD$52),0)</f>
        <v>9.9999999999705005E-2</v>
      </c>
      <c r="AB46" s="47">
        <f t="shared" si="0"/>
        <v>0.17090000000000016</v>
      </c>
      <c r="AC46" s="47">
        <f t="shared" si="9"/>
        <v>0.19910000000000017</v>
      </c>
      <c r="AD46" s="48">
        <v>0.69999999999977003</v>
      </c>
    </row>
    <row r="47" spans="3:30">
      <c r="C47" s="170">
        <f t="shared" si="4"/>
        <v>41</v>
      </c>
      <c r="D47" s="223" t="s">
        <v>301</v>
      </c>
      <c r="E47" s="223" t="s">
        <v>189</v>
      </c>
      <c r="F47" s="228" t="s">
        <v>296</v>
      </c>
      <c r="G47" s="88" t="str">
        <f>IF(ISBLANK(VLOOKUP($D$3,MemberData!$D$6:$JY$18,$C47*3+1,0)),"",VLOOKUP($D$3,MemberData!$D$6:$JY$18,$C47*3+1,0))</f>
        <v/>
      </c>
      <c r="H47" s="89" t="str">
        <f>IF(ISBLANK(VLOOKUP($D$3,MemberData!$D$6:$JY$18,$C47*3+2,0)),"",VLOOKUP($D$3,MemberData!$D$6:$JY$18,$C47*3+2,0))</f>
        <v/>
      </c>
      <c r="I47" s="89" t="str">
        <f>IF(ISBLANK(VLOOKUP($D$3,MemberData!$D$6:$JY$18,$C47*3+3,0)),"",VLOOKUP($D$3,MemberData!$D$6:$JY$18,$C47*3+3,0))</f>
        <v/>
      </c>
      <c r="J47" s="90" t="str">
        <f t="shared" si="15"/>
        <v>NA</v>
      </c>
      <c r="P47" s="275"/>
      <c r="Q47" s="277"/>
      <c r="R47" s="280"/>
      <c r="S47" s="283"/>
      <c r="T47" s="283"/>
      <c r="U47" s="66" t="s">
        <v>154</v>
      </c>
      <c r="V47" s="67">
        <f>COUNTIFS(F:F,$P46,J:J,"&gt;"&amp;0,J:J,"&lt;="&amp;0.1)</f>
        <v>0</v>
      </c>
      <c r="W47" s="67">
        <v>0.88749999999999996</v>
      </c>
      <c r="X47" s="67">
        <f t="shared" si="14"/>
        <v>0</v>
      </c>
      <c r="Y47" s="283"/>
      <c r="AB47" s="47">
        <f t="shared" si="0"/>
        <v>0.14260000000000017</v>
      </c>
      <c r="AC47" s="47">
        <f t="shared" si="9"/>
        <v>0.17080000000000017</v>
      </c>
      <c r="AD47" s="48">
        <v>0.59999999999975995</v>
      </c>
    </row>
    <row r="48" spans="3:30">
      <c r="C48" s="170">
        <f t="shared" si="4"/>
        <v>42</v>
      </c>
      <c r="D48" s="72" t="s">
        <v>170</v>
      </c>
      <c r="E48" s="72" t="s">
        <v>189</v>
      </c>
      <c r="F48" s="71" t="s">
        <v>146</v>
      </c>
      <c r="G48" s="88" t="str">
        <f>IF(ISBLANK(VLOOKUP($D$3,MemberData!$D$6:$JY$18,$C48*3+1,0)),"",VLOOKUP($D$3,MemberData!$D$6:$JY$18,$C48*3+1,0))</f>
        <v/>
      </c>
      <c r="H48" s="89" t="str">
        <f>IF(ISBLANK(VLOOKUP($D$3,MemberData!$D$6:$JY$18,$C48*3+2,0)),"",VLOOKUP($D$3,MemberData!$D$6:$JY$18,$C48*3+2,0))</f>
        <v/>
      </c>
      <c r="I48" s="89" t="str">
        <f>IF(ISBLANK(VLOOKUP($D$3,MemberData!$D$6:$JY$18,$C48*3+3,0)),"",VLOOKUP($D$3,MemberData!$D$6:$JY$18,$C48*3+3,0))</f>
        <v/>
      </c>
      <c r="J48" s="90" t="str">
        <f t="shared" si="15"/>
        <v>NA</v>
      </c>
      <c r="P48" s="275"/>
      <c r="Q48" s="277"/>
      <c r="R48" s="280"/>
      <c r="S48" s="283"/>
      <c r="T48" s="283"/>
      <c r="U48" s="66" t="s">
        <v>155</v>
      </c>
      <c r="V48" s="67">
        <f>COUNTIFS(F:F,$P46,J:J,"&gt;"&amp;0.1,J:J,"&lt;="&amp;0.2)</f>
        <v>0</v>
      </c>
      <c r="W48" s="67">
        <v>0.92500000000000004</v>
      </c>
      <c r="X48" s="67">
        <f t="shared" si="14"/>
        <v>0</v>
      </c>
      <c r="Y48" s="283"/>
      <c r="AB48" s="47">
        <f t="shared" si="0"/>
        <v>0.11430000000000018</v>
      </c>
      <c r="AC48" s="47">
        <f t="shared" si="9"/>
        <v>0.14250000000000018</v>
      </c>
      <c r="AD48" s="48">
        <v>0.49999999999974898</v>
      </c>
    </row>
    <row r="49" spans="3:30">
      <c r="C49" s="170">
        <f t="shared" si="4"/>
        <v>43</v>
      </c>
      <c r="D49" s="84" t="s">
        <v>42</v>
      </c>
      <c r="E49" s="84" t="s">
        <v>189</v>
      </c>
      <c r="F49" s="85" t="s">
        <v>146</v>
      </c>
      <c r="G49" s="116" t="str">
        <f>IF(ISBLANK(VLOOKUP($D$3,MemberData!$D$6:$JY$18,$C49*3+1,0)),"",VLOOKUP($D$3,MemberData!$D$6:$JY$18,$C49*3+1,0))</f>
        <v/>
      </c>
      <c r="H49" s="117" t="str">
        <f>IF(ISBLANK(VLOOKUP($D$3,MemberData!$D$6:$JY$18,$C49*3+2,0)),"",VLOOKUP($D$3,MemberData!$D$6:$JY$18,$C49*3+2,0))</f>
        <v/>
      </c>
      <c r="I49" s="117" t="str">
        <f>IF(ISBLANK(VLOOKUP($D$3,MemberData!$D$6:$JY$18,$C49*3+3,0)),"",VLOOKUP($D$3,MemberData!$D$6:$JY$18,$C49*3+3,0))</f>
        <v/>
      </c>
      <c r="J49" s="90" t="str">
        <f>IFERROR((H49-I49)/H49,"NA")</f>
        <v>NA</v>
      </c>
      <c r="P49" s="275"/>
      <c r="Q49" s="277"/>
      <c r="R49" s="280"/>
      <c r="S49" s="283"/>
      <c r="T49" s="283"/>
      <c r="U49" s="66" t="s">
        <v>156</v>
      </c>
      <c r="V49" s="67">
        <f>COUNTIFS(F:F,$P46,J:J,"&gt;"&amp;0.2,J:J,"&lt;="&amp;0.3)</f>
        <v>0</v>
      </c>
      <c r="W49" s="67">
        <v>0.96250000000000002</v>
      </c>
      <c r="X49" s="67">
        <f t="shared" si="14"/>
        <v>0</v>
      </c>
      <c r="Y49" s="283"/>
      <c r="AB49" s="47">
        <f t="shared" si="0"/>
        <v>8.6000000000000174E-2</v>
      </c>
      <c r="AC49" s="47">
        <f t="shared" si="9"/>
        <v>0.11420000000000018</v>
      </c>
      <c r="AD49" s="48">
        <v>0.39999999999973801</v>
      </c>
    </row>
    <row r="50" spans="3:30">
      <c r="C50" s="170">
        <f t="shared" si="4"/>
        <v>44</v>
      </c>
      <c r="D50" s="223" t="s">
        <v>295</v>
      </c>
      <c r="E50" s="84" t="s">
        <v>189</v>
      </c>
      <c r="F50" s="228" t="s">
        <v>296</v>
      </c>
      <c r="G50" s="116" t="str">
        <f>IF(ISBLANK(VLOOKUP($D$3,MemberData!$D$6:$JY$18,$C50*3+1,0)),"",VLOOKUP($D$3,MemberData!$D$6:$JY$18,$C50*3+1,0))</f>
        <v/>
      </c>
      <c r="H50" s="117" t="str">
        <f>IF(ISBLANK(VLOOKUP($D$3,MemberData!$D$6:$JY$18,$C50*3+2,0)),"",VLOOKUP($D$3,MemberData!$D$6:$JY$18,$C50*3+2,0))</f>
        <v/>
      </c>
      <c r="I50" s="117" t="str">
        <f>IF(ISBLANK(VLOOKUP($D$3,MemberData!$D$6:$JY$18,$C50*3+3,0)),"",VLOOKUP($D$3,MemberData!$D$6:$JY$18,$C50*3+3,0))</f>
        <v/>
      </c>
      <c r="J50" s="90" t="str">
        <f t="shared" ref="J50" si="18">IFERROR((I50-H50)/H50,"NA")</f>
        <v>NA</v>
      </c>
      <c r="P50" s="275"/>
      <c r="Q50" s="277"/>
      <c r="R50" s="280"/>
      <c r="S50" s="283"/>
      <c r="T50" s="283"/>
      <c r="U50" s="66" t="s">
        <v>157</v>
      </c>
      <c r="V50" s="67">
        <f>COUNTIFS(F:F,$P46,J:J,"&gt;"&amp;0.3)</f>
        <v>0</v>
      </c>
      <c r="W50" s="67">
        <v>1</v>
      </c>
      <c r="X50" s="67">
        <f t="shared" si="14"/>
        <v>0</v>
      </c>
      <c r="Y50" s="283"/>
      <c r="AB50" s="47">
        <f t="shared" si="0"/>
        <v>5.7700000000000168E-2</v>
      </c>
      <c r="AC50" s="47">
        <f t="shared" si="9"/>
        <v>8.5900000000000171E-2</v>
      </c>
      <c r="AD50" s="48">
        <v>0.29999999999972699</v>
      </c>
    </row>
    <row r="51" spans="3:30">
      <c r="C51" s="170">
        <f t="shared" si="4"/>
        <v>45</v>
      </c>
      <c r="D51" s="84" t="s">
        <v>40</v>
      </c>
      <c r="E51" s="84" t="s">
        <v>189</v>
      </c>
      <c r="F51" s="85" t="s">
        <v>146</v>
      </c>
      <c r="G51" s="116" t="str">
        <f>IF(ISBLANK(VLOOKUP($D$3,MemberData!$D$6:$JY$18,$C51*3+1,0)),"",VLOOKUP($D$3,MemberData!$D$6:$JY$18,$C51*3+1,0))</f>
        <v/>
      </c>
      <c r="H51" s="117" t="str">
        <f>IF(ISBLANK(VLOOKUP($D$3,MemberData!$D$6:$JY$18,$C51*3+2,0)),"",VLOOKUP($D$3,MemberData!$D$6:$JY$18,$C51*3+2,0))</f>
        <v/>
      </c>
      <c r="I51" s="117" t="str">
        <f>IF(ISBLANK(VLOOKUP($D$3,MemberData!$D$6:$JY$18,$C51*3+3,0)),"",VLOOKUP($D$3,MemberData!$D$6:$JY$18,$C51*3+3,0))</f>
        <v/>
      </c>
      <c r="J51" s="90" t="str">
        <f>IFERROR((H51-I51)/H51,"NA")</f>
        <v>NA</v>
      </c>
      <c r="P51" s="275"/>
      <c r="Q51" s="277"/>
      <c r="R51" s="280"/>
      <c r="S51" s="283"/>
      <c r="T51" s="283"/>
      <c r="U51" s="66" t="s">
        <v>165</v>
      </c>
      <c r="V51" s="67">
        <f>COUNTIFS(F:F,$P46,J:J,"&gt;="&amp;-0.1,J:J,"&lt;"&amp;0)</f>
        <v>0</v>
      </c>
      <c r="W51" s="67">
        <v>0.4</v>
      </c>
      <c r="X51" s="67">
        <f t="shared" si="14"/>
        <v>0</v>
      </c>
      <c r="Y51" s="283"/>
      <c r="AB51" s="47">
        <f t="shared" si="0"/>
        <v>2.9400000000000162E-2</v>
      </c>
      <c r="AC51" s="47">
        <f t="shared" si="9"/>
        <v>5.7600000000000165E-2</v>
      </c>
      <c r="AD51" s="48">
        <v>0.19999999999971599</v>
      </c>
    </row>
    <row r="52" spans="3:30">
      <c r="C52" s="170">
        <f t="shared" si="4"/>
        <v>46</v>
      </c>
      <c r="D52" s="223" t="s">
        <v>297</v>
      </c>
      <c r="E52" s="223" t="s">
        <v>175</v>
      </c>
      <c r="F52" s="228" t="s">
        <v>296</v>
      </c>
      <c r="G52" s="116" t="str">
        <f>IF(ISBLANK(VLOOKUP($D$3,MemberData!$D$6:$JY$18,$C52*3+1,0)),"",VLOOKUP($D$3,MemberData!$D$6:$JY$18,$C52*3+1,0))</f>
        <v/>
      </c>
      <c r="H52" s="117" t="str">
        <f>IF(ISBLANK(VLOOKUP($D$3,MemberData!$D$6:$JY$18,$C52*3+2,0)),"",VLOOKUP($D$3,MemberData!$D$6:$JY$18,$C52*3+2,0))</f>
        <v/>
      </c>
      <c r="I52" s="117" t="str">
        <f>IF(ISBLANK(VLOOKUP($D$3,MemberData!$D$6:$JY$18,$C52*3+3,0)),"",VLOOKUP($D$3,MemberData!$D$6:$JY$18,$C52*3+3,0))</f>
        <v/>
      </c>
      <c r="J52" s="90" t="str">
        <f t="shared" ref="J52" si="19">IFERROR((I52-H52)/H52,"NA")</f>
        <v>NA</v>
      </c>
      <c r="P52" s="275"/>
      <c r="Q52" s="277"/>
      <c r="R52" s="280"/>
      <c r="S52" s="283"/>
      <c r="T52" s="283"/>
      <c r="U52" s="66" t="s">
        <v>166</v>
      </c>
      <c r="V52" s="67">
        <f>COUNTIFS(F:F,$P46,J:J,"&lt;"&amp;-0.1,J:J,"&gt;="&amp;-0.3)</f>
        <v>0</v>
      </c>
      <c r="W52" s="67">
        <v>0.65</v>
      </c>
      <c r="X52" s="67">
        <f t="shared" si="14"/>
        <v>0</v>
      </c>
      <c r="Y52" s="283"/>
      <c r="AB52" s="47">
        <v>0</v>
      </c>
      <c r="AC52" s="47">
        <f t="shared" si="9"/>
        <v>2.9300000000000163E-2</v>
      </c>
      <c r="AD52" s="48">
        <v>9.9999999999705005E-2</v>
      </c>
    </row>
    <row r="53" spans="3:30">
      <c r="C53" s="170">
        <f t="shared" si="4"/>
        <v>47</v>
      </c>
      <c r="D53" s="84" t="s">
        <v>38</v>
      </c>
      <c r="E53" s="84" t="s">
        <v>189</v>
      </c>
      <c r="F53" s="85" t="s">
        <v>146</v>
      </c>
      <c r="G53" s="116" t="str">
        <f>IF(ISBLANK(VLOOKUP($D$3,MemberData!$D$6:$JY$18,$C53*3+1,0)),"",VLOOKUP($D$3,MemberData!$D$6:$JY$18,$C53*3+1,0))</f>
        <v/>
      </c>
      <c r="H53" s="117" t="str">
        <f>IF(ISBLANK(VLOOKUP($D$3,MemberData!$D$6:$JY$18,$C53*3+2,0)),"",VLOOKUP($D$3,MemberData!$D$6:$JY$18,$C53*3+2,0))</f>
        <v/>
      </c>
      <c r="I53" s="117" t="str">
        <f>IF(ISBLANK(VLOOKUP($D$3,MemberData!$D$6:$JY$18,$C53*3+3,0)),"",VLOOKUP($D$3,MemberData!$D$6:$JY$18,$C53*3+3,0))</f>
        <v/>
      </c>
      <c r="J53" s="90" t="str">
        <f>IFERROR((H53-I53)/H53,"NA")</f>
        <v>NA</v>
      </c>
      <c r="P53" s="275"/>
      <c r="Q53" s="278"/>
      <c r="R53" s="281"/>
      <c r="S53" s="284"/>
      <c r="T53" s="284"/>
      <c r="U53" s="66" t="s">
        <v>158</v>
      </c>
      <c r="V53" s="67">
        <f>COUNTIFS(F:F,$P46,J:J,"&lt;"&amp;-0.3)</f>
        <v>0</v>
      </c>
      <c r="W53" s="67">
        <v>1</v>
      </c>
      <c r="X53" s="67">
        <f t="shared" si="14"/>
        <v>0</v>
      </c>
      <c r="Y53" s="284"/>
    </row>
    <row r="54" spans="3:30">
      <c r="C54" s="170">
        <f t="shared" si="4"/>
        <v>48</v>
      </c>
      <c r="D54" s="223" t="s">
        <v>247</v>
      </c>
      <c r="E54" s="84" t="s">
        <v>189</v>
      </c>
      <c r="F54" s="228" t="s">
        <v>296</v>
      </c>
      <c r="G54" s="116" t="str">
        <f>IF(ISBLANK(VLOOKUP($D$3,MemberData!$D$6:$JY$18,$C54*3+1,0)),"",VLOOKUP($D$3,MemberData!$D$6:$JY$18,$C54*3+1,0))</f>
        <v/>
      </c>
      <c r="H54" s="117" t="str">
        <f>IF(ISBLANK(VLOOKUP($D$3,MemberData!$D$6:$JY$18,$C54*3+2,0)),"",VLOOKUP($D$3,MemberData!$D$6:$JY$18,$C54*3+2,0))</f>
        <v/>
      </c>
      <c r="I54" s="117" t="str">
        <f>IF(ISBLANK(VLOOKUP($D$3,MemberData!$D$6:$JY$18,$C54*3+3,0)),"",VLOOKUP($D$3,MemberData!$D$6:$JY$18,$C54*3+3,0))</f>
        <v/>
      </c>
      <c r="J54" s="90" t="str">
        <f>IFERROR((H54-I54)/H54,"NA")</f>
        <v>NA</v>
      </c>
      <c r="P54" s="328" t="s">
        <v>270</v>
      </c>
      <c r="Q54" s="319">
        <f>SUMIFS($G$7:$G$99,$F$7:$F$99,$P$54)</f>
        <v>0.1</v>
      </c>
      <c r="R54" s="322">
        <f>IFERROR(SUM(X54:X60)/SUM(V54:V61),0)</f>
        <v>0.85</v>
      </c>
      <c r="S54" s="325">
        <f>IFERROR(LOOKUP(2,1/($AB$3:$AB$52&lt;=R54)/($AC$3:$AC$52&gt;=R54),$AD$3:$AD$52),0)</f>
        <v>3.0000000000000102</v>
      </c>
      <c r="T54" s="325">
        <f t="shared" ref="T54" si="20">IFERROR(ROUND(S54,0),0)</f>
        <v>3</v>
      </c>
      <c r="U54" s="114" t="s">
        <v>153</v>
      </c>
      <c r="V54" s="115">
        <f>COUNTIFS(F:F,$P54,J:J,"="&amp;0)</f>
        <v>2</v>
      </c>
      <c r="W54" s="115">
        <v>0.85</v>
      </c>
      <c r="X54" s="115">
        <f t="shared" ref="X54:X61" si="21">V54*W54</f>
        <v>1.7</v>
      </c>
      <c r="Y54" s="325">
        <f>IFERROR(LOOKUP(2,1/($AB$3:$AB$52&lt;=R54)/($AC$3:$AC$52&gt;=R54),$AD$3:$AD$52),0)</f>
        <v>3.0000000000000102</v>
      </c>
    </row>
    <row r="55" spans="3:30">
      <c r="C55" s="170">
        <f t="shared" si="4"/>
        <v>49</v>
      </c>
      <c r="D55" s="84" t="s">
        <v>174</v>
      </c>
      <c r="E55" s="84" t="s">
        <v>189</v>
      </c>
      <c r="F55" s="85" t="s">
        <v>146</v>
      </c>
      <c r="G55" s="116" t="str">
        <f>IF(ISBLANK(VLOOKUP($D$3,MemberData!$D$6:$JY$18,$C55*3+1,0)),"",VLOOKUP($D$3,MemberData!$D$6:$JY$18,$C55*3+1,0))</f>
        <v/>
      </c>
      <c r="H55" s="117" t="str">
        <f>IF(ISBLANK(VLOOKUP($D$3,MemberData!$D$6:$JY$18,$C55*3+2,0)),"",VLOOKUP($D$3,MemberData!$D$6:$JY$18,$C55*3+2,0))</f>
        <v/>
      </c>
      <c r="I55" s="117" t="str">
        <f>IF(ISBLANK(VLOOKUP($D$3,MemberData!$D$6:$JY$18,$C55*3+3,0)),"",VLOOKUP($D$3,MemberData!$D$6:$JY$18,$C55*3+3,0))</f>
        <v/>
      </c>
      <c r="J55" s="90" t="str">
        <f>IFERROR((H55-I55)/H55,"NA")</f>
        <v>NA</v>
      </c>
      <c r="P55" s="328"/>
      <c r="Q55" s="320"/>
      <c r="R55" s="323"/>
      <c r="S55" s="326"/>
      <c r="T55" s="326"/>
      <c r="U55" s="114" t="s">
        <v>154</v>
      </c>
      <c r="V55" s="115">
        <f>COUNTIFS(F:F,$P54,J:J,"&gt;"&amp;0,J:J,"&lt;="&amp;0.1)</f>
        <v>0</v>
      </c>
      <c r="W55" s="115">
        <v>0.88749999999999996</v>
      </c>
      <c r="X55" s="115">
        <f t="shared" si="21"/>
        <v>0</v>
      </c>
      <c r="Y55" s="326"/>
    </row>
    <row r="56" spans="3:30">
      <c r="C56" s="170">
        <f t="shared" si="4"/>
        <v>50</v>
      </c>
      <c r="D56" s="72" t="s">
        <v>172</v>
      </c>
      <c r="E56" s="72" t="s">
        <v>189</v>
      </c>
      <c r="F56" s="71" t="s">
        <v>146</v>
      </c>
      <c r="G56" s="88" t="str">
        <f>IF(ISBLANK(VLOOKUP($D$3,MemberData!$D$6:$JY$18,$C56*3+1,0)),"",VLOOKUP($D$3,MemberData!$D$6:$JY$18,$C56*3+1,0))</f>
        <v/>
      </c>
      <c r="H56" s="89" t="str">
        <f>IF(ISBLANK(VLOOKUP($D$3,MemberData!$D$6:$JY$18,$C56*3+2,0)),"",VLOOKUP($D$3,MemberData!$D$6:$JY$18,$C56*3+2,0))</f>
        <v/>
      </c>
      <c r="I56" s="89" t="str">
        <f>IF(ISBLANK(VLOOKUP($D$3,MemberData!$D$6:$JY$18,$C56*3+3,0)),"",VLOOKUP($D$3,MemberData!$D$6:$JY$18,$C56*3+3,0))</f>
        <v/>
      </c>
      <c r="J56" s="90" t="str">
        <f>IFERROR((I56-H56)/H56,"NA")</f>
        <v>NA</v>
      </c>
      <c r="P56" s="328"/>
      <c r="Q56" s="320"/>
      <c r="R56" s="323"/>
      <c r="S56" s="326"/>
      <c r="T56" s="326"/>
      <c r="U56" s="114" t="s">
        <v>155</v>
      </c>
      <c r="V56" s="115">
        <f>COUNTIFS(F:F,$P54,J:J,"&gt;"&amp;0.1,J:J,"&lt;="&amp;0.2)</f>
        <v>0</v>
      </c>
      <c r="W56" s="115">
        <v>0.92500000000000004</v>
      </c>
      <c r="X56" s="115">
        <f t="shared" si="21"/>
        <v>0</v>
      </c>
      <c r="Y56" s="326"/>
    </row>
    <row r="57" spans="3:30">
      <c r="C57" s="170">
        <f t="shared" si="4"/>
        <v>51</v>
      </c>
      <c r="D57" s="72" t="s">
        <v>48</v>
      </c>
      <c r="E57" s="72" t="s">
        <v>189</v>
      </c>
      <c r="F57" s="228" t="s">
        <v>296</v>
      </c>
      <c r="G57" s="88" t="str">
        <f>IF(ISBLANK(VLOOKUP($D$3,MemberData!$D$6:$JY$18,$C57*3+1,0)),"",VLOOKUP($D$3,MemberData!$D$6:$JY$18,$C57*3+1,0))</f>
        <v/>
      </c>
      <c r="H57" s="89" t="str">
        <f>IF(ISBLANK(VLOOKUP($D$3,MemberData!$D$6:$JY$18,$C57*3+2,0)),"",VLOOKUP($D$3,MemberData!$D$6:$JY$18,$C57*3+2,0))</f>
        <v/>
      </c>
      <c r="I57" s="89" t="str">
        <f>IF(ISBLANK(VLOOKUP($D$3,MemberData!$D$6:$JY$18,$C57*3+3,0)),"",VLOOKUP($D$3,MemberData!$D$6:$JY$18,$C57*3+3,0))</f>
        <v/>
      </c>
      <c r="J57" s="90" t="str">
        <f>IFERROR((H57-I57)/H57,"NA")</f>
        <v>NA</v>
      </c>
      <c r="P57" s="328"/>
      <c r="Q57" s="320"/>
      <c r="R57" s="323"/>
      <c r="S57" s="326"/>
      <c r="T57" s="326"/>
      <c r="U57" s="114" t="s">
        <v>156</v>
      </c>
      <c r="V57" s="115">
        <f>COUNTIFS(F:F,$P54,J:J,"&gt;"&amp;0.2,J:J,"&lt;="&amp;0.3)</f>
        <v>0</v>
      </c>
      <c r="W57" s="115">
        <v>0.96250000000000002</v>
      </c>
      <c r="X57" s="115">
        <f t="shared" si="21"/>
        <v>0</v>
      </c>
      <c r="Y57" s="326"/>
    </row>
    <row r="58" spans="3:30">
      <c r="C58" s="171">
        <f t="shared" si="4"/>
        <v>52</v>
      </c>
      <c r="D58" s="92" t="s">
        <v>191</v>
      </c>
      <c r="E58" s="92" t="s">
        <v>271</v>
      </c>
      <c r="F58" s="71" t="s">
        <v>55</v>
      </c>
      <c r="G58" s="88" t="str">
        <f>IF(ISBLANK(VLOOKUP($D$3,MemberData!$D$6:$JY$18,$C58*3+1,0)),"",VLOOKUP($D$3,MemberData!$D$6:$JY$18,$C58*3+1,0))</f>
        <v/>
      </c>
      <c r="H58" s="89" t="str">
        <f>IF(ISBLANK(VLOOKUP($D$3,MemberData!$D$6:$JY$18,$C58*3+2,0)),"",VLOOKUP($D$3,MemberData!$D$6:$JY$18,$C58*3+2,0))</f>
        <v/>
      </c>
      <c r="I58" s="89" t="str">
        <f>IF(ISBLANK(VLOOKUP($D$3,MemberData!$D$6:$JY$18,$C58*3+3,0)),"",VLOOKUP($D$3,MemberData!$D$6:$JY$18,$C58*3+3,0))</f>
        <v/>
      </c>
      <c r="J58" s="90" t="str">
        <f t="shared" si="3"/>
        <v>NA</v>
      </c>
      <c r="P58" s="328"/>
      <c r="Q58" s="320"/>
      <c r="R58" s="323"/>
      <c r="S58" s="326"/>
      <c r="T58" s="326"/>
      <c r="U58" s="114" t="s">
        <v>157</v>
      </c>
      <c r="V58" s="115">
        <f>COUNTIFS(F:F,$P54,J:J,"&gt;"&amp;0.3)</f>
        <v>0</v>
      </c>
      <c r="W58" s="115">
        <v>1</v>
      </c>
      <c r="X58" s="115">
        <f t="shared" si="21"/>
        <v>0</v>
      </c>
      <c r="Y58" s="326"/>
    </row>
    <row r="59" spans="3:30">
      <c r="C59" s="171">
        <f t="shared" si="4"/>
        <v>53</v>
      </c>
      <c r="D59" s="92" t="s">
        <v>192</v>
      </c>
      <c r="E59" s="92" t="s">
        <v>271</v>
      </c>
      <c r="F59" s="71" t="s">
        <v>55</v>
      </c>
      <c r="G59" s="88" t="str">
        <f>IF(ISBLANK(VLOOKUP($D$3,MemberData!$D$6:$JY$18,$C59*3+1,0)),"",VLOOKUP($D$3,MemberData!$D$6:$JY$18,$C59*3+1,0))</f>
        <v/>
      </c>
      <c r="H59" s="89" t="str">
        <f>IF(ISBLANK(VLOOKUP($D$3,MemberData!$D$6:$JY$18,$C59*3+2,0)),"",VLOOKUP($D$3,MemberData!$D$6:$JY$18,$C59*3+2,0))</f>
        <v/>
      </c>
      <c r="I59" s="89" t="str">
        <f>IF(ISBLANK(VLOOKUP($D$3,MemberData!$D$6:$JY$18,$C59*3+3,0)),"",VLOOKUP($D$3,MemberData!$D$6:$JY$18,$C59*3+3,0))</f>
        <v/>
      </c>
      <c r="J59" s="90" t="str">
        <f t="shared" si="3"/>
        <v>NA</v>
      </c>
      <c r="P59" s="328"/>
      <c r="Q59" s="320"/>
      <c r="R59" s="323"/>
      <c r="S59" s="326"/>
      <c r="T59" s="326"/>
      <c r="U59" s="114" t="s">
        <v>165</v>
      </c>
      <c r="V59" s="115">
        <f>COUNTIFS(F:F,$P54,J:J,"&gt;="&amp;-0.1,J:J,"&lt;"&amp;0)</f>
        <v>0</v>
      </c>
      <c r="W59" s="115">
        <v>0.4</v>
      </c>
      <c r="X59" s="115">
        <f t="shared" si="21"/>
        <v>0</v>
      </c>
      <c r="Y59" s="326"/>
    </row>
    <row r="60" spans="3:30">
      <c r="C60" s="171">
        <f t="shared" si="4"/>
        <v>54</v>
      </c>
      <c r="D60" s="92" t="s">
        <v>193</v>
      </c>
      <c r="E60" s="92" t="s">
        <v>271</v>
      </c>
      <c r="F60" s="71" t="s">
        <v>55</v>
      </c>
      <c r="G60" s="88" t="str">
        <f>IF(ISBLANK(VLOOKUP($D$3,MemberData!$D$6:$JY$18,$C60*3+1,0)),"",VLOOKUP($D$3,MemberData!$D$6:$JY$18,$C60*3+1,0))</f>
        <v/>
      </c>
      <c r="H60" s="89" t="str">
        <f>IF(ISBLANK(VLOOKUP($D$3,MemberData!$D$6:$JY$18,$C60*3+2,0)),"",VLOOKUP($D$3,MemberData!$D$6:$JY$18,$C60*3+2,0))</f>
        <v/>
      </c>
      <c r="I60" s="89" t="str">
        <f>IF(ISBLANK(VLOOKUP($D$3,MemberData!$D$6:$JY$18,$C60*3+3,0)),"",VLOOKUP($D$3,MemberData!$D$6:$JY$18,$C60*3+3,0))</f>
        <v/>
      </c>
      <c r="J60" s="90" t="str">
        <f t="shared" si="3"/>
        <v>NA</v>
      </c>
      <c r="P60" s="328"/>
      <c r="Q60" s="320"/>
      <c r="R60" s="323"/>
      <c r="S60" s="326"/>
      <c r="T60" s="326"/>
      <c r="U60" s="114" t="s">
        <v>166</v>
      </c>
      <c r="V60" s="115">
        <f>COUNTIFS(F:F,$P54,J:J,"&lt;"&amp;-0.1,J:J,"&gt;="&amp;-0.3)</f>
        <v>0</v>
      </c>
      <c r="W60" s="115">
        <v>0.65</v>
      </c>
      <c r="X60" s="115">
        <f t="shared" si="21"/>
        <v>0</v>
      </c>
      <c r="Y60" s="326"/>
    </row>
    <row r="61" spans="3:30">
      <c r="C61" s="171">
        <f t="shared" si="4"/>
        <v>55</v>
      </c>
      <c r="D61" s="92" t="s">
        <v>194</v>
      </c>
      <c r="E61" s="92" t="s">
        <v>271</v>
      </c>
      <c r="F61" s="71" t="s">
        <v>55</v>
      </c>
      <c r="G61" s="88" t="str">
        <f>IF(ISBLANK(VLOOKUP($D$3,MemberData!$D$6:$JY$18,$C61*3+1,0)),"",VLOOKUP($D$3,MemberData!$D$6:$JY$18,$C61*3+1,0))</f>
        <v/>
      </c>
      <c r="H61" s="89" t="str">
        <f>IF(ISBLANK(VLOOKUP($D$3,MemberData!$D$6:$JY$18,$C61*3+2,0)),"",VLOOKUP($D$3,MemberData!$D$6:$JY$18,$C61*3+2,0))</f>
        <v/>
      </c>
      <c r="I61" s="89" t="str">
        <f>IF(ISBLANK(VLOOKUP($D$3,MemberData!$D$6:$JY$18,$C61*3+3,0)),"",VLOOKUP($D$3,MemberData!$D$6:$JY$18,$C61*3+3,0))</f>
        <v/>
      </c>
      <c r="J61" s="90" t="str">
        <f t="shared" si="3"/>
        <v>NA</v>
      </c>
      <c r="P61" s="328"/>
      <c r="Q61" s="321"/>
      <c r="R61" s="324"/>
      <c r="S61" s="327"/>
      <c r="T61" s="327"/>
      <c r="U61" s="114" t="s">
        <v>158</v>
      </c>
      <c r="V61" s="115">
        <f>COUNTIFS(F:F,$P54,J:J,"&lt;"&amp;-0.3)</f>
        <v>0</v>
      </c>
      <c r="W61" s="115">
        <v>1</v>
      </c>
      <c r="X61" s="115">
        <f t="shared" si="21"/>
        <v>0</v>
      </c>
      <c r="Y61" s="327"/>
    </row>
    <row r="62" spans="3:30">
      <c r="C62" s="171">
        <f t="shared" si="4"/>
        <v>56</v>
      </c>
      <c r="D62" s="92" t="s">
        <v>198</v>
      </c>
      <c r="E62" s="92" t="s">
        <v>271</v>
      </c>
      <c r="F62" s="71" t="s">
        <v>55</v>
      </c>
      <c r="G62" s="88" t="str">
        <f>IF(ISBLANK(VLOOKUP($D$3,MemberData!$D$6:$JY$18,$C62*3+1,0)),"",VLOOKUP($D$3,MemberData!$D$6:$JY$18,$C62*3+1,0))</f>
        <v/>
      </c>
      <c r="H62" s="89" t="str">
        <f>IF(ISBLANK(VLOOKUP($D$3,MemberData!$D$6:$JY$18,$C62*3+2,0)),"",VLOOKUP($D$3,MemberData!$D$6:$JY$18,$C62*3+2,0))</f>
        <v/>
      </c>
      <c r="I62" s="89" t="str">
        <f>IF(ISBLANK(VLOOKUP($D$3,MemberData!$D$6:$JY$18,$C62*3+3,0)),"",VLOOKUP($D$3,MemberData!$D$6:$JY$18,$C62*3+3,0))</f>
        <v/>
      </c>
      <c r="J62" s="90" t="str">
        <f t="shared" si="3"/>
        <v>NA</v>
      </c>
    </row>
    <row r="63" spans="3:30">
      <c r="C63" s="171">
        <f t="shared" si="4"/>
        <v>57</v>
      </c>
      <c r="D63" s="92" t="s">
        <v>199</v>
      </c>
      <c r="E63" s="92" t="s">
        <v>271</v>
      </c>
      <c r="F63" s="71" t="s">
        <v>55</v>
      </c>
      <c r="G63" s="88" t="str">
        <f>IF(ISBLANK(VLOOKUP($D$3,MemberData!$D$6:$JY$18,$C63*3+1,0)),"",VLOOKUP($D$3,MemberData!$D$6:$JY$18,$C63*3+1,0))</f>
        <v/>
      </c>
      <c r="H63" s="89" t="str">
        <f>IF(ISBLANK(VLOOKUP($D$3,MemberData!$D$6:$JY$18,$C63*3+2,0)),"",VLOOKUP($D$3,MemberData!$D$6:$JY$18,$C63*3+2,0))</f>
        <v/>
      </c>
      <c r="I63" s="89" t="str">
        <f>IF(ISBLANK(VLOOKUP($D$3,MemberData!$D$6:$JY$18,$C63*3+3,0)),"",VLOOKUP($D$3,MemberData!$D$6:$JY$18,$C63*3+3,0))</f>
        <v/>
      </c>
      <c r="J63" s="90" t="str">
        <f t="shared" si="3"/>
        <v>NA</v>
      </c>
    </row>
    <row r="64" spans="3:30">
      <c r="C64" s="237">
        <f t="shared" si="4"/>
        <v>58</v>
      </c>
      <c r="D64" s="86" t="s">
        <v>23</v>
      </c>
      <c r="E64" s="72" t="s">
        <v>189</v>
      </c>
      <c r="F64" s="87" t="s">
        <v>35</v>
      </c>
      <c r="G64" s="88" t="str">
        <f>IF(ISBLANK(VLOOKUP($D$3,MemberData!$D$6:$JY$18,$C64*3+1,0)),"",VLOOKUP($D$3,MemberData!$D$6:$JY$18,$C64*3+1,0))</f>
        <v/>
      </c>
      <c r="H64" s="89" t="str">
        <f>IF(ISBLANK(VLOOKUP($D$3,MemberData!$D$6:$JY$18,$C64*3+2,0)),"",VLOOKUP($D$3,MemberData!$D$6:$JY$18,$C64*3+2,0))</f>
        <v/>
      </c>
      <c r="I64" s="89" t="str">
        <f>IF(ISBLANK(VLOOKUP($D$3,MemberData!$D$6:$JY$18,$C64*3+3,0)),"",VLOOKUP($D$3,MemberData!$D$6:$JY$18,$C64*3+3,0))</f>
        <v/>
      </c>
      <c r="J64" s="90" t="str">
        <f t="shared" si="3"/>
        <v>NA</v>
      </c>
    </row>
    <row r="65" spans="3:10">
      <c r="C65" s="237">
        <f t="shared" si="4"/>
        <v>59</v>
      </c>
      <c r="D65" s="223" t="s">
        <v>293</v>
      </c>
      <c r="E65" s="72" t="s">
        <v>189</v>
      </c>
      <c r="F65" s="87" t="s">
        <v>35</v>
      </c>
      <c r="G65" s="88" t="str">
        <f>IF(ISBLANK(VLOOKUP($D$3,MemberData!$D$6:$JY$18,$C65*3+1,0)),"",VLOOKUP($D$3,MemberData!$D$6:$JY$18,$C65*3+1,0))</f>
        <v/>
      </c>
      <c r="H65" s="89" t="str">
        <f>IF(ISBLANK(VLOOKUP($D$3,MemberData!$D$6:$JY$18,$C65*3+2,0)),"",VLOOKUP($D$3,MemberData!$D$6:$JY$18,$C65*3+2,0))</f>
        <v/>
      </c>
      <c r="I65" s="89" t="str">
        <f>IF(ISBLANK(VLOOKUP($D$3,MemberData!$D$6:$JY$18,$C65*3+3,0)),"",VLOOKUP($D$3,MemberData!$D$6:$JY$18,$C65*3+3,0))</f>
        <v/>
      </c>
      <c r="J65" s="90" t="str">
        <f t="shared" si="3"/>
        <v>NA</v>
      </c>
    </row>
    <row r="66" spans="3:10">
      <c r="C66" s="237">
        <f t="shared" si="4"/>
        <v>60</v>
      </c>
      <c r="D66" s="223" t="s">
        <v>292</v>
      </c>
      <c r="E66" s="72" t="s">
        <v>189</v>
      </c>
      <c r="F66" s="87" t="s">
        <v>35</v>
      </c>
      <c r="G66" s="88" t="str">
        <f>IF(ISBLANK(VLOOKUP($D$3,MemberData!$D$6:$JY$18,$C66*3+1,0)),"",VLOOKUP($D$3,MemberData!$D$6:$JY$18,$C66*3+1,0))</f>
        <v/>
      </c>
      <c r="H66" s="89" t="str">
        <f>IF(ISBLANK(VLOOKUP($D$3,MemberData!$D$6:$JY$18,$C66*3+2,0)),"",VLOOKUP($D$3,MemberData!$D$6:$JY$18,$C66*3+2,0))</f>
        <v/>
      </c>
      <c r="I66" s="89" t="str">
        <f>IF(ISBLANK(VLOOKUP($D$3,MemberData!$D$6:$JY$18,$C66*3+3,0)),"",VLOOKUP($D$3,MemberData!$D$6:$JY$18,$C66*3+3,0))</f>
        <v/>
      </c>
      <c r="J66" s="90" t="str">
        <f t="shared" si="3"/>
        <v>NA</v>
      </c>
    </row>
    <row r="67" spans="3:10">
      <c r="C67" s="237">
        <f t="shared" si="4"/>
        <v>61</v>
      </c>
      <c r="D67" s="86" t="s">
        <v>20</v>
      </c>
      <c r="E67" s="72" t="s">
        <v>189</v>
      </c>
      <c r="F67" s="87" t="s">
        <v>35</v>
      </c>
      <c r="G67" s="88" t="str">
        <f>IF(ISBLANK(VLOOKUP($D$3,MemberData!$D$6:$JY$18,$C67*3+1,0)),"",VLOOKUP($D$3,MemberData!$D$6:$JY$18,$C67*3+1,0))</f>
        <v/>
      </c>
      <c r="H67" s="89" t="str">
        <f>IF(ISBLANK(VLOOKUP($D$3,MemberData!$D$6:$JY$18,$C67*3+2,0)),"",VLOOKUP($D$3,MemberData!$D$6:$JY$18,$C67*3+2,0))</f>
        <v/>
      </c>
      <c r="I67" s="89" t="str">
        <f>IF(ISBLANK(VLOOKUP($D$3,MemberData!$D$6:$JY$18,$C67*3+3,0)),"",VLOOKUP($D$3,MemberData!$D$6:$JY$18,$C67*3+3,0))</f>
        <v/>
      </c>
      <c r="J67" s="90" t="str">
        <f t="shared" si="3"/>
        <v>NA</v>
      </c>
    </row>
    <row r="68" spans="3:10">
      <c r="C68" s="237">
        <f t="shared" si="4"/>
        <v>62</v>
      </c>
      <c r="D68" s="86" t="s">
        <v>242</v>
      </c>
      <c r="E68" s="72" t="s">
        <v>189</v>
      </c>
      <c r="F68" s="87" t="s">
        <v>35</v>
      </c>
      <c r="G68" s="88" t="str">
        <f>IF(ISBLANK(VLOOKUP($D$3,MemberData!$D$6:$JY$18,$C68*3+1,0)),"",VLOOKUP($D$3,MemberData!$D$6:$JY$18,$C68*3+1,0))</f>
        <v/>
      </c>
      <c r="H68" s="89" t="str">
        <f>IF(ISBLANK(VLOOKUP($D$3,MemberData!$D$6:$JY$18,$C68*3+2,0)),"",VLOOKUP($D$3,MemberData!$D$6:$JY$18,$C68*3+2,0))</f>
        <v/>
      </c>
      <c r="I68" s="89" t="str">
        <f>IF(ISBLANK(VLOOKUP($D$3,MemberData!$D$6:$JY$18,$C68*3+3,0)),"",VLOOKUP($D$3,MemberData!$D$6:$JY$18,$C68*3+3,0))</f>
        <v/>
      </c>
      <c r="J68" s="90" t="str">
        <f t="shared" si="3"/>
        <v>NA</v>
      </c>
    </row>
    <row r="69" spans="3:10">
      <c r="C69" s="237">
        <f t="shared" si="4"/>
        <v>63</v>
      </c>
      <c r="D69" s="86" t="s">
        <v>244</v>
      </c>
      <c r="E69" s="72" t="s">
        <v>189</v>
      </c>
      <c r="F69" s="87" t="s">
        <v>35</v>
      </c>
      <c r="G69" s="88" t="str">
        <f>IF(ISBLANK(VLOOKUP($D$3,MemberData!$D$6:$JY$18,$C69*3+1,0)),"",VLOOKUP($D$3,MemberData!$D$6:$JY$18,$C69*3+1,0))</f>
        <v/>
      </c>
      <c r="H69" s="89" t="str">
        <f>IF(ISBLANK(VLOOKUP($D$3,MemberData!$D$6:$JY$18,$C69*3+2,0)),"",VLOOKUP($D$3,MemberData!$D$6:$JY$18,$C69*3+2,0))</f>
        <v/>
      </c>
      <c r="I69" s="89" t="str">
        <f>IF(ISBLANK(VLOOKUP($D$3,MemberData!$D$6:$JY$18,$C69*3+3,0)),"",VLOOKUP($D$3,MemberData!$D$6:$JY$18,$C69*3+3,0))</f>
        <v/>
      </c>
      <c r="J69" s="90" t="str">
        <f t="shared" si="3"/>
        <v>NA</v>
      </c>
    </row>
    <row r="70" spans="3:10">
      <c r="C70" s="237">
        <f t="shared" si="4"/>
        <v>64</v>
      </c>
      <c r="D70" s="223" t="s">
        <v>294</v>
      </c>
      <c r="E70" s="223" t="s">
        <v>189</v>
      </c>
      <c r="F70" s="228" t="s">
        <v>296</v>
      </c>
      <c r="G70" s="88" t="str">
        <f>IF(ISBLANK(VLOOKUP($D$3,MemberData!$D$6:$JY$18,$C70*3+1,0)),"",VLOOKUP($D$3,MemberData!$D$6:$JY$18,$C70*3+1,0))</f>
        <v/>
      </c>
      <c r="H70" s="89" t="str">
        <f>IF(ISBLANK(VLOOKUP($D$3,MemberData!$D$6:$JY$18,$C70*3+2,0)),"",VLOOKUP($D$3,MemberData!$D$6:$JY$18,$C70*3+2,0))</f>
        <v/>
      </c>
      <c r="I70" s="89" t="str">
        <f>IF(ISBLANK(VLOOKUP($D$3,MemberData!$D$6:$JY$18,$C70*3+3,0)),"",VLOOKUP($D$3,MemberData!$D$6:$JY$18,$C70*3+3,0))</f>
        <v/>
      </c>
      <c r="J70" s="90" t="str">
        <f t="shared" si="3"/>
        <v>NA</v>
      </c>
    </row>
    <row r="71" spans="3:10">
      <c r="C71" s="237">
        <f t="shared" si="4"/>
        <v>65</v>
      </c>
      <c r="D71" s="223" t="s">
        <v>301</v>
      </c>
      <c r="E71" s="223" t="s">
        <v>189</v>
      </c>
      <c r="F71" s="228" t="s">
        <v>296</v>
      </c>
      <c r="G71" s="88" t="str">
        <f>IF(ISBLANK(VLOOKUP($D$3,MemberData!$D$6:$JY$18,$C71*3+1,0)),"",VLOOKUP($D$3,MemberData!$D$6:$JY$18,$C71*3+1,0))</f>
        <v/>
      </c>
      <c r="H71" s="89" t="str">
        <f>IF(ISBLANK(VLOOKUP($D$3,MemberData!$D$6:$JY$18,$C71*3+2,0)),"",VLOOKUP($D$3,MemberData!$D$6:$JY$18,$C71*3+2,0))</f>
        <v/>
      </c>
      <c r="I71" s="89" t="str">
        <f>IF(ISBLANK(VLOOKUP($D$3,MemberData!$D$6:$JY$18,$C71*3+3,0)),"",VLOOKUP($D$3,MemberData!$D$6:$JY$18,$C71*3+3,0))</f>
        <v/>
      </c>
      <c r="J71" s="90" t="str">
        <f t="shared" si="3"/>
        <v>NA</v>
      </c>
    </row>
    <row r="72" spans="3:10">
      <c r="C72" s="237">
        <f t="shared" si="4"/>
        <v>66</v>
      </c>
      <c r="D72" s="72" t="s">
        <v>170</v>
      </c>
      <c r="E72" s="72" t="s">
        <v>189</v>
      </c>
      <c r="F72" s="71" t="s">
        <v>146</v>
      </c>
      <c r="G72" s="88" t="str">
        <f>IF(ISBLANK(VLOOKUP($D$3,MemberData!$D$6:$JY$18,$C72*3+1,0)),"",VLOOKUP($D$3,MemberData!$D$6:$JY$18,$C72*3+1,0))</f>
        <v/>
      </c>
      <c r="H72" s="89" t="str">
        <f>IF(ISBLANK(VLOOKUP($D$3,MemberData!$D$6:$JY$18,$C72*3+2,0)),"",VLOOKUP($D$3,MemberData!$D$6:$JY$18,$C72*3+2,0))</f>
        <v/>
      </c>
      <c r="I72" s="89" t="str">
        <f>IF(ISBLANK(VLOOKUP($D$3,MemberData!$D$6:$JY$18,$C72*3+3,0)),"",VLOOKUP($D$3,MemberData!$D$6:$JY$18,$C72*3+3,0))</f>
        <v/>
      </c>
      <c r="J72" s="90" t="str">
        <f t="shared" ref="J72:J76" si="22">IFERROR((I72-H72)/H72,"NA")</f>
        <v>NA</v>
      </c>
    </row>
    <row r="73" spans="3:10">
      <c r="C73" s="237">
        <f t="shared" ref="C73:C99" si="23">C72+1</f>
        <v>67</v>
      </c>
      <c r="D73" s="84" t="s">
        <v>42</v>
      </c>
      <c r="E73" s="84" t="s">
        <v>189</v>
      </c>
      <c r="F73" s="85" t="s">
        <v>146</v>
      </c>
      <c r="G73" s="116" t="str">
        <f>IF(ISBLANK(VLOOKUP($D$3,MemberData!$D$6:$JY$18,$C73*3+1,0)),"",VLOOKUP($D$3,MemberData!$D$6:$JY$18,$C73*3+1,0))</f>
        <v/>
      </c>
      <c r="H73" s="117" t="str">
        <f>IF(ISBLANK(VLOOKUP($D$3,MemberData!$D$6:$JY$18,$C73*3+2,0)),"",VLOOKUP($D$3,MemberData!$D$6:$JY$18,$C73*3+2,0))</f>
        <v/>
      </c>
      <c r="I73" s="117" t="str">
        <f>IF(ISBLANK(VLOOKUP($D$3,MemberData!$D$6:$JY$18,$C73*3+3,0)),"",VLOOKUP($D$3,MemberData!$D$6:$JY$18,$C73*3+3,0))</f>
        <v/>
      </c>
      <c r="J73" s="90" t="str">
        <f>IFERROR((H73-I73)/H73,"NA")</f>
        <v>NA</v>
      </c>
    </row>
    <row r="74" spans="3:10">
      <c r="C74" s="237">
        <f t="shared" si="23"/>
        <v>68</v>
      </c>
      <c r="D74" s="223" t="s">
        <v>295</v>
      </c>
      <c r="E74" s="84" t="s">
        <v>189</v>
      </c>
      <c r="F74" s="228" t="s">
        <v>296</v>
      </c>
      <c r="G74" s="116" t="str">
        <f>IF(ISBLANK(VLOOKUP($D$3,MemberData!$D$6:$JY$18,$C74*3+1,0)),"",VLOOKUP($D$3,MemberData!$D$6:$JY$18,$C74*3+1,0))</f>
        <v/>
      </c>
      <c r="H74" s="117" t="str">
        <f>IF(ISBLANK(VLOOKUP($D$3,MemberData!$D$6:$JY$18,$C74*3+2,0)),"",VLOOKUP($D$3,MemberData!$D$6:$JY$18,$C74*3+2,0))</f>
        <v/>
      </c>
      <c r="I74" s="117" t="str">
        <f>IF(ISBLANK(VLOOKUP($D$3,MemberData!$D$6:$JY$18,$C74*3+3,0)),"",VLOOKUP($D$3,MemberData!$D$6:$JY$18,$C74*3+3,0))</f>
        <v/>
      </c>
      <c r="J74" s="90" t="str">
        <f t="shared" si="22"/>
        <v>NA</v>
      </c>
    </row>
    <row r="75" spans="3:10">
      <c r="C75" s="237">
        <f t="shared" si="23"/>
        <v>69</v>
      </c>
      <c r="D75" s="84" t="s">
        <v>40</v>
      </c>
      <c r="E75" s="84" t="s">
        <v>189</v>
      </c>
      <c r="F75" s="85" t="s">
        <v>146</v>
      </c>
      <c r="G75" s="116" t="str">
        <f>IF(ISBLANK(VLOOKUP($D$3,MemberData!$D$6:$JY$18,$C75*3+1,0)),"",VLOOKUP($D$3,MemberData!$D$6:$JY$18,$C75*3+1,0))</f>
        <v/>
      </c>
      <c r="H75" s="117" t="str">
        <f>IF(ISBLANK(VLOOKUP($D$3,MemberData!$D$6:$JY$18,$C75*3+2,0)),"",VLOOKUP($D$3,MemberData!$D$6:$JY$18,$C75*3+2,0))</f>
        <v/>
      </c>
      <c r="I75" s="117" t="str">
        <f>IF(ISBLANK(VLOOKUP($D$3,MemberData!$D$6:$JY$18,$C75*3+3,0)),"",VLOOKUP($D$3,MemberData!$D$6:$JY$18,$C75*3+3,0))</f>
        <v/>
      </c>
      <c r="J75" s="90" t="str">
        <f>IFERROR((H75-I75)/H75,"NA")</f>
        <v>NA</v>
      </c>
    </row>
    <row r="76" spans="3:10">
      <c r="C76" s="237">
        <f t="shared" si="23"/>
        <v>70</v>
      </c>
      <c r="D76" s="223" t="s">
        <v>297</v>
      </c>
      <c r="E76" s="223" t="s">
        <v>175</v>
      </c>
      <c r="F76" s="228" t="s">
        <v>296</v>
      </c>
      <c r="G76" s="116" t="str">
        <f>IF(ISBLANK(VLOOKUP($D$3,MemberData!$D$6:$JY$18,$C76*3+1,0)),"",VLOOKUP($D$3,MemberData!$D$6:$JY$18,$C76*3+1,0))</f>
        <v/>
      </c>
      <c r="H76" s="117" t="str">
        <f>IF(ISBLANK(VLOOKUP($D$3,MemberData!$D$6:$JY$18,$C76*3+2,0)),"",VLOOKUP($D$3,MemberData!$D$6:$JY$18,$C76*3+2,0))</f>
        <v/>
      </c>
      <c r="I76" s="117" t="str">
        <f>IF(ISBLANK(VLOOKUP($D$3,MemberData!$D$6:$JY$18,$C76*3+3,0)),"",VLOOKUP($D$3,MemberData!$D$6:$JY$18,$C76*3+3,0))</f>
        <v/>
      </c>
      <c r="J76" s="90" t="str">
        <f t="shared" si="22"/>
        <v>NA</v>
      </c>
    </row>
    <row r="77" spans="3:10">
      <c r="C77" s="237">
        <f t="shared" si="23"/>
        <v>71</v>
      </c>
      <c r="D77" s="84" t="s">
        <v>38</v>
      </c>
      <c r="E77" s="84" t="s">
        <v>189</v>
      </c>
      <c r="F77" s="85" t="s">
        <v>146</v>
      </c>
      <c r="G77" s="116" t="str">
        <f>IF(ISBLANK(VLOOKUP($D$3,MemberData!$D$6:$JY$18,$C77*3+1,0)),"",VLOOKUP($D$3,MemberData!$D$6:$JY$18,$C77*3+1,0))</f>
        <v/>
      </c>
      <c r="H77" s="117" t="str">
        <f>IF(ISBLANK(VLOOKUP($D$3,MemberData!$D$6:$JY$18,$C77*3+2,0)),"",VLOOKUP($D$3,MemberData!$D$6:$JY$18,$C77*3+2,0))</f>
        <v/>
      </c>
      <c r="I77" s="117" t="str">
        <f>IF(ISBLANK(VLOOKUP($D$3,MemberData!$D$6:$JY$18,$C77*3+3,0)),"",VLOOKUP($D$3,MemberData!$D$6:$JY$18,$C77*3+3,0))</f>
        <v/>
      </c>
      <c r="J77" s="90" t="str">
        <f>IFERROR((H77-I77)/H77,"NA")</f>
        <v>NA</v>
      </c>
    </row>
    <row r="78" spans="3:10">
      <c r="C78" s="237">
        <f t="shared" si="23"/>
        <v>72</v>
      </c>
      <c r="D78" s="223" t="s">
        <v>247</v>
      </c>
      <c r="E78" s="84" t="s">
        <v>189</v>
      </c>
      <c r="F78" s="228" t="s">
        <v>296</v>
      </c>
      <c r="G78" s="116" t="str">
        <f>IF(ISBLANK(VLOOKUP($D$3,MemberData!$D$6:$JY$18,$C78*3+1,0)),"",VLOOKUP($D$3,MemberData!$D$6:$JY$18,$C78*3+1,0))</f>
        <v/>
      </c>
      <c r="H78" s="117" t="str">
        <f>IF(ISBLANK(VLOOKUP($D$3,MemberData!$D$6:$JY$18,$C78*3+2,0)),"",VLOOKUP($D$3,MemberData!$D$6:$JY$18,$C78*3+2,0))</f>
        <v/>
      </c>
      <c r="I78" s="117" t="str">
        <f>IF(ISBLANK(VLOOKUP($D$3,MemberData!$D$6:$JY$18,$C78*3+3,0)),"",VLOOKUP($D$3,MemberData!$D$6:$JY$18,$C78*3+3,0))</f>
        <v/>
      </c>
      <c r="J78" s="90" t="str">
        <f>IFERROR((H78-I78)/H78,"NA")</f>
        <v>NA</v>
      </c>
    </row>
    <row r="79" spans="3:10">
      <c r="C79" s="237">
        <f t="shared" si="23"/>
        <v>73</v>
      </c>
      <c r="D79" s="84" t="s">
        <v>174</v>
      </c>
      <c r="E79" s="84" t="s">
        <v>189</v>
      </c>
      <c r="F79" s="85" t="s">
        <v>146</v>
      </c>
      <c r="G79" s="116" t="str">
        <f>IF(ISBLANK(VLOOKUP($D$3,MemberData!$D$6:$JY$18,$C79*3+1,0)),"",VLOOKUP($D$3,MemberData!$D$6:$JY$18,$C79*3+1,0))</f>
        <v/>
      </c>
      <c r="H79" s="117" t="str">
        <f>IF(ISBLANK(VLOOKUP($D$3,MemberData!$D$6:$JY$18,$C79*3+2,0)),"",VLOOKUP($D$3,MemberData!$D$6:$JY$18,$C79*3+2,0))</f>
        <v/>
      </c>
      <c r="I79" s="117" t="str">
        <f>IF(ISBLANK(VLOOKUP($D$3,MemberData!$D$6:$JY$18,$C79*3+3,0)),"",VLOOKUP($D$3,MemberData!$D$6:$JY$18,$C79*3+3,0))</f>
        <v/>
      </c>
      <c r="J79" s="90" t="str">
        <f>IFERROR((H79-I79)/H79,"NA")</f>
        <v>NA</v>
      </c>
    </row>
    <row r="80" spans="3:10">
      <c r="C80" s="237">
        <f t="shared" si="23"/>
        <v>74</v>
      </c>
      <c r="D80" s="72" t="s">
        <v>172</v>
      </c>
      <c r="E80" s="72" t="s">
        <v>189</v>
      </c>
      <c r="F80" s="71" t="s">
        <v>146</v>
      </c>
      <c r="G80" s="88" t="str">
        <f>IF(ISBLANK(VLOOKUP($D$3,MemberData!$D$6:$JY$18,$C80*3+1,0)),"",VLOOKUP($D$3,MemberData!$D$6:$JY$18,$C80*3+1,0))</f>
        <v/>
      </c>
      <c r="H80" s="89" t="str">
        <f>IF(ISBLANK(VLOOKUP($D$3,MemberData!$D$6:$JY$18,$C80*3+2,0)),"",VLOOKUP($D$3,MemberData!$D$6:$JY$18,$C80*3+2,0))</f>
        <v/>
      </c>
      <c r="I80" s="89" t="str">
        <f>IF(ISBLANK(VLOOKUP($D$3,MemberData!$D$6:$JY$18,$C80*3+3,0)),"",VLOOKUP($D$3,MemberData!$D$6:$JY$18,$C80*3+3,0))</f>
        <v/>
      </c>
      <c r="J80" s="90" t="str">
        <f>IFERROR((H80-I80)/H80,"NA")</f>
        <v>NA</v>
      </c>
    </row>
    <row r="81" spans="3:10">
      <c r="C81" s="237">
        <f t="shared" si="23"/>
        <v>75</v>
      </c>
      <c r="D81" s="72" t="s">
        <v>48</v>
      </c>
      <c r="E81" s="72" t="s">
        <v>189</v>
      </c>
      <c r="F81" s="228" t="s">
        <v>296</v>
      </c>
      <c r="G81" s="88" t="str">
        <f>IF(ISBLANK(VLOOKUP($D$3,MemberData!$D$6:$JY$18,$C81*3+1,0)),"",VLOOKUP($D$3,MemberData!$D$6:$JY$18,$C81*3+1,0))</f>
        <v/>
      </c>
      <c r="H81" s="89" t="str">
        <f>IF(ISBLANK(VLOOKUP($D$3,MemberData!$D$6:$JY$18,$C81*3+2,0)),"",VLOOKUP($D$3,MemberData!$D$6:$JY$18,$C81*3+2,0))</f>
        <v/>
      </c>
      <c r="I81" s="89" t="str">
        <f>IF(ISBLANK(VLOOKUP($D$3,MemberData!$D$6:$JY$18,$C81*3+3,0)),"",VLOOKUP($D$3,MemberData!$D$6:$JY$18,$C81*3+3,0))</f>
        <v/>
      </c>
      <c r="J81" s="90" t="str">
        <f>IFERROR((H81-I81)/H81,"NA")</f>
        <v>NA</v>
      </c>
    </row>
    <row r="82" spans="3:10">
      <c r="C82" s="238">
        <f t="shared" si="23"/>
        <v>76</v>
      </c>
      <c r="D82" s="86" t="s">
        <v>23</v>
      </c>
      <c r="E82" s="72" t="s">
        <v>189</v>
      </c>
      <c r="F82" s="87" t="s">
        <v>35</v>
      </c>
      <c r="G82" s="88" t="str">
        <f>IF(ISBLANK(VLOOKUP($D$3,MemberData!$D$6:$JY$18,$C82*3+1,0)),"",VLOOKUP($D$3,MemberData!$D$6:$JY$18,$C82*3+1,0))</f>
        <v/>
      </c>
      <c r="H82" s="89" t="str">
        <f>IF(ISBLANK(VLOOKUP($D$3,MemberData!$D$6:$JY$18,$C82*3+2,0)),"",VLOOKUP($D$3,MemberData!$D$6:$JY$18,$C82*3+2,0))</f>
        <v/>
      </c>
      <c r="I82" s="89" t="str">
        <f>IF(ISBLANK(VLOOKUP($D$3,MemberData!$D$6:$JY$18,$C82*3+3,0)),"",VLOOKUP($D$3,MemberData!$D$6:$JY$18,$C82*3+3,0))</f>
        <v/>
      </c>
      <c r="J82" s="90" t="str">
        <f t="shared" ref="J82:J99" si="24">IFERROR((I82-H82)/H82,"NA")</f>
        <v>NA</v>
      </c>
    </row>
    <row r="83" spans="3:10">
      <c r="C83" s="238">
        <f t="shared" si="23"/>
        <v>77</v>
      </c>
      <c r="D83" s="223" t="s">
        <v>293</v>
      </c>
      <c r="E83" s="72" t="s">
        <v>189</v>
      </c>
      <c r="F83" s="87" t="s">
        <v>35</v>
      </c>
      <c r="G83" s="88" t="str">
        <f>IF(ISBLANK(VLOOKUP($D$3,MemberData!$D$6:$JY$18,$C83*3+1,0)),"",VLOOKUP($D$3,MemberData!$D$6:$JY$18,$C83*3+1,0))</f>
        <v/>
      </c>
      <c r="H83" s="89" t="str">
        <f>IF(ISBLANK(VLOOKUP($D$3,MemberData!$D$6:$JY$18,$C83*3+2,0)),"",VLOOKUP($D$3,MemberData!$D$6:$JY$18,$C83*3+2,0))</f>
        <v/>
      </c>
      <c r="I83" s="89" t="str">
        <f>IF(ISBLANK(VLOOKUP($D$3,MemberData!$D$6:$JY$18,$C83*3+3,0)),"",VLOOKUP($D$3,MemberData!$D$6:$JY$18,$C83*3+3,0))</f>
        <v/>
      </c>
      <c r="J83" s="90" t="str">
        <f t="shared" si="24"/>
        <v>NA</v>
      </c>
    </row>
    <row r="84" spans="3:10">
      <c r="C84" s="238">
        <f t="shared" si="23"/>
        <v>78</v>
      </c>
      <c r="D84" s="223" t="s">
        <v>292</v>
      </c>
      <c r="E84" s="72" t="s">
        <v>189</v>
      </c>
      <c r="F84" s="87" t="s">
        <v>35</v>
      </c>
      <c r="G84" s="88" t="str">
        <f>IF(ISBLANK(VLOOKUP($D$3,MemberData!$D$6:$JY$18,$C84*3+1,0)),"",VLOOKUP($D$3,MemberData!$D$6:$JY$18,$C84*3+1,0))</f>
        <v/>
      </c>
      <c r="H84" s="89" t="str">
        <f>IF(ISBLANK(VLOOKUP($D$3,MemberData!$D$6:$JY$18,$C84*3+2,0)),"",VLOOKUP($D$3,MemberData!$D$6:$JY$18,$C84*3+2,0))</f>
        <v/>
      </c>
      <c r="I84" s="89" t="str">
        <f>IF(ISBLANK(VLOOKUP($D$3,MemberData!$D$6:$JY$18,$C84*3+3,0)),"",VLOOKUP($D$3,MemberData!$D$6:$JY$18,$C84*3+3,0))</f>
        <v/>
      </c>
      <c r="J84" s="90" t="str">
        <f t="shared" si="24"/>
        <v>NA</v>
      </c>
    </row>
    <row r="85" spans="3:10">
      <c r="C85" s="238">
        <f t="shared" si="23"/>
        <v>79</v>
      </c>
      <c r="D85" s="86" t="s">
        <v>20</v>
      </c>
      <c r="E85" s="72" t="s">
        <v>189</v>
      </c>
      <c r="F85" s="87" t="s">
        <v>35</v>
      </c>
      <c r="G85" s="88" t="str">
        <f>IF(ISBLANK(VLOOKUP($D$3,MemberData!$D$6:$JY$18,$C85*3+1,0)),"",VLOOKUP($D$3,MemberData!$D$6:$JY$18,$C85*3+1,0))</f>
        <v/>
      </c>
      <c r="H85" s="89" t="str">
        <f>IF(ISBLANK(VLOOKUP($D$3,MemberData!$D$6:$JY$18,$C85*3+2,0)),"",VLOOKUP($D$3,MemberData!$D$6:$JY$18,$C85*3+2,0))</f>
        <v/>
      </c>
      <c r="I85" s="89" t="str">
        <f>IF(ISBLANK(VLOOKUP($D$3,MemberData!$D$6:$JY$18,$C85*3+3,0)),"",VLOOKUP($D$3,MemberData!$D$6:$JY$18,$C85*3+3,0))</f>
        <v/>
      </c>
      <c r="J85" s="90" t="str">
        <f t="shared" si="24"/>
        <v>NA</v>
      </c>
    </row>
    <row r="86" spans="3:10">
      <c r="C86" s="238">
        <f t="shared" si="23"/>
        <v>80</v>
      </c>
      <c r="D86" s="86" t="s">
        <v>242</v>
      </c>
      <c r="E86" s="72" t="s">
        <v>189</v>
      </c>
      <c r="F86" s="87" t="s">
        <v>35</v>
      </c>
      <c r="G86" s="88" t="str">
        <f>IF(ISBLANK(VLOOKUP($D$3,MemberData!$D$6:$JY$18,$C86*3+1,0)),"",VLOOKUP($D$3,MemberData!$D$6:$JY$18,$C86*3+1,0))</f>
        <v/>
      </c>
      <c r="H86" s="89" t="str">
        <f>IF(ISBLANK(VLOOKUP($D$3,MemberData!$D$6:$JY$18,$C86*3+2,0)),"",VLOOKUP($D$3,MemberData!$D$6:$JY$18,$C86*3+2,0))</f>
        <v/>
      </c>
      <c r="I86" s="89" t="str">
        <f>IF(ISBLANK(VLOOKUP($D$3,MemberData!$D$6:$JY$18,$C86*3+3,0)),"",VLOOKUP($D$3,MemberData!$D$6:$JY$18,$C86*3+3,0))</f>
        <v/>
      </c>
      <c r="J86" s="90" t="str">
        <f t="shared" si="24"/>
        <v>NA</v>
      </c>
    </row>
    <row r="87" spans="3:10">
      <c r="C87" s="238">
        <f t="shared" si="23"/>
        <v>81</v>
      </c>
      <c r="D87" s="86" t="s">
        <v>244</v>
      </c>
      <c r="E87" s="72" t="s">
        <v>189</v>
      </c>
      <c r="F87" s="87" t="s">
        <v>35</v>
      </c>
      <c r="G87" s="88" t="str">
        <f>IF(ISBLANK(VLOOKUP($D$3,MemberData!$D$6:$JY$18,$C87*3+1,0)),"",VLOOKUP($D$3,MemberData!$D$6:$JY$18,$C87*3+1,0))</f>
        <v/>
      </c>
      <c r="H87" s="89" t="str">
        <f>IF(ISBLANK(VLOOKUP($D$3,MemberData!$D$6:$JY$18,$C87*3+2,0)),"",VLOOKUP($D$3,MemberData!$D$6:$JY$18,$C87*3+2,0))</f>
        <v/>
      </c>
      <c r="I87" s="89" t="str">
        <f>IF(ISBLANK(VLOOKUP($D$3,MemberData!$D$6:$JY$18,$C87*3+3,0)),"",VLOOKUP($D$3,MemberData!$D$6:$JY$18,$C87*3+3,0))</f>
        <v/>
      </c>
      <c r="J87" s="90" t="str">
        <f t="shared" si="24"/>
        <v>NA</v>
      </c>
    </row>
    <row r="88" spans="3:10">
      <c r="C88" s="238">
        <f t="shared" si="23"/>
        <v>82</v>
      </c>
      <c r="D88" s="223" t="s">
        <v>294</v>
      </c>
      <c r="E88" s="223" t="s">
        <v>189</v>
      </c>
      <c r="F88" s="228" t="s">
        <v>296</v>
      </c>
      <c r="G88" s="88" t="str">
        <f>IF(ISBLANK(VLOOKUP($D$3,MemberData!$D$6:$JY$18,$C88*3+1,0)),"",VLOOKUP($D$3,MemberData!$D$6:$JY$18,$C88*3+1,0))</f>
        <v/>
      </c>
      <c r="H88" s="89" t="str">
        <f>IF(ISBLANK(VLOOKUP($D$3,MemberData!$D$6:$JY$18,$C88*3+2,0)),"",VLOOKUP($D$3,MemberData!$D$6:$JY$18,$C88*3+2,0))</f>
        <v/>
      </c>
      <c r="I88" s="89" t="str">
        <f>IF(ISBLANK(VLOOKUP($D$3,MemberData!$D$6:$JY$18,$C88*3+3,0)),"",VLOOKUP($D$3,MemberData!$D$6:$JY$18,$C88*3+3,0))</f>
        <v/>
      </c>
      <c r="J88" s="90" t="str">
        <f t="shared" si="24"/>
        <v>NA</v>
      </c>
    </row>
    <row r="89" spans="3:10">
      <c r="C89" s="238">
        <f t="shared" si="23"/>
        <v>83</v>
      </c>
      <c r="D89" s="223" t="s">
        <v>301</v>
      </c>
      <c r="E89" s="223" t="s">
        <v>189</v>
      </c>
      <c r="F89" s="228" t="s">
        <v>296</v>
      </c>
      <c r="G89" s="88" t="str">
        <f>IF(ISBLANK(VLOOKUP($D$3,MemberData!$D$6:$JY$18,$C89*3+1,0)),"",VLOOKUP($D$3,MemberData!$D$6:$JY$18,$C89*3+1,0))</f>
        <v/>
      </c>
      <c r="H89" s="89" t="str">
        <f>IF(ISBLANK(VLOOKUP($D$3,MemberData!$D$6:$JY$18,$C89*3+2,0)),"",VLOOKUP($D$3,MemberData!$D$6:$JY$18,$C89*3+2,0))</f>
        <v/>
      </c>
      <c r="I89" s="89" t="str">
        <f>IF(ISBLANK(VLOOKUP($D$3,MemberData!$D$6:$JY$18,$C89*3+3,0)),"",VLOOKUP($D$3,MemberData!$D$6:$JY$18,$C89*3+3,0))</f>
        <v/>
      </c>
      <c r="J89" s="90" t="str">
        <f t="shared" si="24"/>
        <v>NA</v>
      </c>
    </row>
    <row r="90" spans="3:10">
      <c r="C90" s="238">
        <f t="shared" si="23"/>
        <v>84</v>
      </c>
      <c r="D90" s="72" t="s">
        <v>170</v>
      </c>
      <c r="E90" s="72" t="s">
        <v>189</v>
      </c>
      <c r="F90" s="71" t="s">
        <v>146</v>
      </c>
      <c r="G90" s="88" t="str">
        <f>IF(ISBLANK(VLOOKUP($D$3,MemberData!$D$6:$JY$18,$C90*3+1,0)),"",VLOOKUP($D$3,MemberData!$D$6:$JY$18,$C90*3+1,0))</f>
        <v/>
      </c>
      <c r="H90" s="89" t="str">
        <f>IF(ISBLANK(VLOOKUP($D$3,MemberData!$D$6:$JY$18,$C90*3+2,0)),"",VLOOKUP($D$3,MemberData!$D$6:$JY$18,$C90*3+2,0))</f>
        <v/>
      </c>
      <c r="I90" s="89" t="str">
        <f>IF(ISBLANK(VLOOKUP($D$3,MemberData!$D$6:$JY$18,$C90*3+3,0)),"",VLOOKUP($D$3,MemberData!$D$6:$JY$18,$C90*3+3,0))</f>
        <v/>
      </c>
      <c r="J90" s="90" t="str">
        <f t="shared" si="24"/>
        <v>NA</v>
      </c>
    </row>
    <row r="91" spans="3:10">
      <c r="C91" s="238">
        <f t="shared" si="23"/>
        <v>85</v>
      </c>
      <c r="D91" s="84" t="s">
        <v>42</v>
      </c>
      <c r="E91" s="84" t="s">
        <v>189</v>
      </c>
      <c r="F91" s="85" t="s">
        <v>146</v>
      </c>
      <c r="G91" s="116" t="str">
        <f>IF(ISBLANK(VLOOKUP($D$3,MemberData!$D$6:$JY$18,$C91*3+1,0)),"",VLOOKUP($D$3,MemberData!$D$6:$JY$18,$C91*3+1,0))</f>
        <v/>
      </c>
      <c r="H91" s="117" t="str">
        <f>IF(ISBLANK(VLOOKUP($D$3,MemberData!$D$6:$JY$18,$C91*3+2,0)),"",VLOOKUP($D$3,MemberData!$D$6:$JY$18,$C91*3+2,0))</f>
        <v/>
      </c>
      <c r="I91" s="117" t="str">
        <f>IF(ISBLANK(VLOOKUP($D$3,MemberData!$D$6:$JY$18,$C91*3+3,0)),"",VLOOKUP($D$3,MemberData!$D$6:$JY$18,$C91*3+3,0))</f>
        <v/>
      </c>
      <c r="J91" s="90" t="str">
        <f>IFERROR((H91-I91)/H91,"NA")</f>
        <v>NA</v>
      </c>
    </row>
    <row r="92" spans="3:10">
      <c r="C92" s="238">
        <f t="shared" si="23"/>
        <v>86</v>
      </c>
      <c r="D92" s="223" t="s">
        <v>295</v>
      </c>
      <c r="E92" s="84" t="s">
        <v>189</v>
      </c>
      <c r="F92" s="228" t="s">
        <v>296</v>
      </c>
      <c r="G92" s="116" t="str">
        <f>IF(ISBLANK(VLOOKUP($D$3,MemberData!$D$6:$JY$18,$C92*3+1,0)),"",VLOOKUP($D$3,MemberData!$D$6:$JY$18,$C92*3+1,0))</f>
        <v/>
      </c>
      <c r="H92" s="117" t="str">
        <f>IF(ISBLANK(VLOOKUP($D$3,MemberData!$D$6:$JY$18,$C92*3+2,0)),"",VLOOKUP($D$3,MemberData!$D$6:$JY$18,$C92*3+2,0))</f>
        <v/>
      </c>
      <c r="I92" s="117" t="str">
        <f>IF(ISBLANK(VLOOKUP($D$3,MemberData!$D$6:$JY$18,$C92*3+3,0)),"",VLOOKUP($D$3,MemberData!$D$6:$JY$18,$C92*3+3,0))</f>
        <v/>
      </c>
      <c r="J92" s="90" t="str">
        <f t="shared" si="24"/>
        <v>NA</v>
      </c>
    </row>
    <row r="93" spans="3:10">
      <c r="C93" s="238">
        <f t="shared" si="23"/>
        <v>87</v>
      </c>
      <c r="D93" s="84" t="s">
        <v>40</v>
      </c>
      <c r="E93" s="84" t="s">
        <v>189</v>
      </c>
      <c r="F93" s="85" t="s">
        <v>146</v>
      </c>
      <c r="G93" s="116" t="str">
        <f>IF(ISBLANK(VLOOKUP($D$3,MemberData!$D$6:$JY$18,$C93*3+1,0)),"",VLOOKUP($D$3,MemberData!$D$6:$JY$18,$C93*3+1,0))</f>
        <v/>
      </c>
      <c r="H93" s="117" t="str">
        <f>IF(ISBLANK(VLOOKUP($D$3,MemberData!$D$6:$JY$18,$C93*3+2,0)),"",VLOOKUP($D$3,MemberData!$D$6:$JY$18,$C93*3+2,0))</f>
        <v/>
      </c>
      <c r="I93" s="117" t="str">
        <f>IF(ISBLANK(VLOOKUP($D$3,MemberData!$D$6:$JY$18,$C93*3+3,0)),"",VLOOKUP($D$3,MemberData!$D$6:$JY$18,$C93*3+3,0))</f>
        <v/>
      </c>
      <c r="J93" s="90" t="str">
        <f>IFERROR((H93-I93)/H93,"NA")</f>
        <v>NA</v>
      </c>
    </row>
    <row r="94" spans="3:10">
      <c r="C94" s="238">
        <f t="shared" si="23"/>
        <v>88</v>
      </c>
      <c r="D94" s="223" t="s">
        <v>297</v>
      </c>
      <c r="E94" s="223" t="s">
        <v>175</v>
      </c>
      <c r="F94" s="228" t="s">
        <v>296</v>
      </c>
      <c r="G94" s="116" t="str">
        <f>IF(ISBLANK(VLOOKUP($D$3,MemberData!$D$6:$JY$18,$C94*3+1,0)),"",VLOOKUP($D$3,MemberData!$D$6:$JY$18,$C94*3+1,0))</f>
        <v/>
      </c>
      <c r="H94" s="117" t="str">
        <f>IF(ISBLANK(VLOOKUP($D$3,MemberData!$D$6:$JY$18,$C94*3+2,0)),"",VLOOKUP($D$3,MemberData!$D$6:$JY$18,$C94*3+2,0))</f>
        <v/>
      </c>
      <c r="I94" s="117" t="str">
        <f>IF(ISBLANK(VLOOKUP($D$3,MemberData!$D$6:$JY$18,$C94*3+3,0)),"",VLOOKUP($D$3,MemberData!$D$6:$JY$18,$C94*3+3,0))</f>
        <v/>
      </c>
      <c r="J94" s="90" t="str">
        <f t="shared" si="24"/>
        <v>NA</v>
      </c>
    </row>
    <row r="95" spans="3:10">
      <c r="C95" s="238">
        <f t="shared" si="23"/>
        <v>89</v>
      </c>
      <c r="D95" s="84" t="s">
        <v>38</v>
      </c>
      <c r="E95" s="84" t="s">
        <v>189</v>
      </c>
      <c r="F95" s="85" t="s">
        <v>146</v>
      </c>
      <c r="G95" s="116" t="str">
        <f>IF(ISBLANK(VLOOKUP($D$3,MemberData!$D$6:$JY$18,$C95*3+1,0)),"",VLOOKUP($D$3,MemberData!$D$6:$JY$18,$C95*3+1,0))</f>
        <v/>
      </c>
      <c r="H95" s="117" t="str">
        <f>IF(ISBLANK(VLOOKUP($D$3,MemberData!$D$6:$JY$18,$C95*3+2,0)),"",VLOOKUP($D$3,MemberData!$D$6:$JY$18,$C95*3+2,0))</f>
        <v/>
      </c>
      <c r="I95" s="117" t="str">
        <f>IF(ISBLANK(VLOOKUP($D$3,MemberData!$D$6:$JY$18,$C95*3+3,0)),"",VLOOKUP($D$3,MemberData!$D$6:$JY$18,$C95*3+3,0))</f>
        <v/>
      </c>
      <c r="J95" s="90" t="str">
        <f>IFERROR((H95-I95)/H95,"NA")</f>
        <v>NA</v>
      </c>
    </row>
    <row r="96" spans="3:10">
      <c r="C96" s="238">
        <f t="shared" si="23"/>
        <v>90</v>
      </c>
      <c r="D96" s="223" t="s">
        <v>247</v>
      </c>
      <c r="E96" s="84" t="s">
        <v>189</v>
      </c>
      <c r="F96" s="228" t="s">
        <v>296</v>
      </c>
      <c r="G96" s="116" t="str">
        <f>IF(ISBLANK(VLOOKUP($D$3,MemberData!$D$6:$JY$18,$C96*3+1,0)),"",VLOOKUP($D$3,MemberData!$D$6:$JY$18,$C96*3+1,0))</f>
        <v/>
      </c>
      <c r="H96" s="117" t="str">
        <f>IF(ISBLANK(VLOOKUP($D$3,MemberData!$D$6:$JY$18,$C96*3+2,0)),"",VLOOKUP($D$3,MemberData!$D$6:$JY$18,$C96*3+2,0))</f>
        <v/>
      </c>
      <c r="I96" s="117" t="str">
        <f>IF(ISBLANK(VLOOKUP($D$3,MemberData!$D$6:$JY$18,$C96*3+3,0)),"",VLOOKUP($D$3,MemberData!$D$6:$JY$18,$C96*3+3,0))</f>
        <v/>
      </c>
      <c r="J96" s="90" t="str">
        <f>IFERROR((H96-I96)/H96,"NA")</f>
        <v>NA</v>
      </c>
    </row>
    <row r="97" spans="3:10">
      <c r="C97" s="238">
        <f t="shared" si="23"/>
        <v>91</v>
      </c>
      <c r="D97" s="84" t="s">
        <v>174</v>
      </c>
      <c r="E97" s="84" t="s">
        <v>189</v>
      </c>
      <c r="F97" s="85" t="s">
        <v>146</v>
      </c>
      <c r="G97" s="116" t="str">
        <f>IF(ISBLANK(VLOOKUP($D$3,MemberData!$D$6:$JY$18,$C97*3+1,0)),"",VLOOKUP($D$3,MemberData!$D$6:$JY$18,$C97*3+1,0))</f>
        <v/>
      </c>
      <c r="H97" s="117" t="str">
        <f>IF(ISBLANK(VLOOKUP($D$3,MemberData!$D$6:$JY$18,$C97*3+2,0)),"",VLOOKUP($D$3,MemberData!$D$6:$JY$18,$C97*3+2,0))</f>
        <v/>
      </c>
      <c r="I97" s="117" t="str">
        <f>IF(ISBLANK(VLOOKUP($D$3,MemberData!$D$6:$JY$18,$C97*3+3,0)),"",VLOOKUP($D$3,MemberData!$D$6:$JY$18,$C97*3+3,0))</f>
        <v/>
      </c>
      <c r="J97" s="90" t="str">
        <f>IFERROR((H97-I97)/H97,"NA")</f>
        <v>NA</v>
      </c>
    </row>
    <row r="98" spans="3:10">
      <c r="C98" s="238">
        <f t="shared" si="23"/>
        <v>92</v>
      </c>
      <c r="D98" s="72" t="s">
        <v>172</v>
      </c>
      <c r="E98" s="72" t="s">
        <v>189</v>
      </c>
      <c r="F98" s="71" t="s">
        <v>146</v>
      </c>
      <c r="G98" s="88" t="str">
        <f>IF(ISBLANK(VLOOKUP($D$3,MemberData!$D$6:$JY$18,$C98*3+1,0)),"",VLOOKUP($D$3,MemberData!$D$6:$JY$18,$C98*3+1,0))</f>
        <v/>
      </c>
      <c r="H98" s="89" t="str">
        <f>IF(ISBLANK(VLOOKUP($D$3,MemberData!$D$6:$JY$18,$C98*3+2,0)),"",VLOOKUP($D$3,MemberData!$D$6:$JY$18,$C98*3+2,0))</f>
        <v/>
      </c>
      <c r="I98" s="89" t="str">
        <f>IF(ISBLANK(VLOOKUP($D$3,MemberData!$D$6:$JY$18,$C98*3+3,0)),"",VLOOKUP($D$3,MemberData!$D$6:$JY$18,$C98*3+3,0))</f>
        <v/>
      </c>
      <c r="J98" s="90" t="str">
        <f t="shared" si="24"/>
        <v>NA</v>
      </c>
    </row>
    <row r="99" spans="3:10">
      <c r="C99" s="238">
        <f t="shared" si="23"/>
        <v>93</v>
      </c>
      <c r="D99" s="72" t="s">
        <v>48</v>
      </c>
      <c r="E99" s="72" t="s">
        <v>189</v>
      </c>
      <c r="F99" s="228" t="s">
        <v>296</v>
      </c>
      <c r="G99" s="88" t="str">
        <f>IF(ISBLANK(VLOOKUP($D$3,MemberData!$D$6:$JY$18,$C99*3+1,0)),"",VLOOKUP($D$3,MemberData!$D$6:$JY$18,$C99*3+1,0))</f>
        <v/>
      </c>
      <c r="H99" s="89" t="str">
        <f>IF(ISBLANK(VLOOKUP($D$3,MemberData!$D$6:$JY$18,$C99*3+2,0)),"",VLOOKUP($D$3,MemberData!$D$6:$JY$18,$C99*3+2,0))</f>
        <v/>
      </c>
      <c r="I99" s="89" t="str">
        <f>IF(ISBLANK(VLOOKUP($D$3,MemberData!$D$6:$JY$18,$C99*3+3,0)),"",VLOOKUP($D$3,MemberData!$D$6:$JY$18,$C99*3+3,0))</f>
        <v/>
      </c>
      <c r="J99" s="90" t="str">
        <f t="shared" si="24"/>
        <v>NA</v>
      </c>
    </row>
  </sheetData>
  <mergeCells count="45">
    <mergeCell ref="S6:S13"/>
    <mergeCell ref="S14:S21"/>
    <mergeCell ref="S22:S29"/>
    <mergeCell ref="S30:S37"/>
    <mergeCell ref="S38:S45"/>
    <mergeCell ref="Q54:Q61"/>
    <mergeCell ref="R54:R61"/>
    <mergeCell ref="T54:T61"/>
    <mergeCell ref="Y54:Y61"/>
    <mergeCell ref="P54:P61"/>
    <mergeCell ref="S54:S61"/>
    <mergeCell ref="T6:T13"/>
    <mergeCell ref="AB1:AC1"/>
    <mergeCell ref="AD1:AD2"/>
    <mergeCell ref="R30:R37"/>
    <mergeCell ref="T14:T21"/>
    <mergeCell ref="T22:T29"/>
    <mergeCell ref="T30:T37"/>
    <mergeCell ref="Y30:Y37"/>
    <mergeCell ref="P2:R2"/>
    <mergeCell ref="Y6:Y13"/>
    <mergeCell ref="Y14:Y21"/>
    <mergeCell ref="Y22:Y29"/>
    <mergeCell ref="P30:P37"/>
    <mergeCell ref="Q14:Q21"/>
    <mergeCell ref="Q22:Q29"/>
    <mergeCell ref="Q30:Q37"/>
    <mergeCell ref="P6:P13"/>
    <mergeCell ref="P14:P21"/>
    <mergeCell ref="P22:P29"/>
    <mergeCell ref="R22:R29"/>
    <mergeCell ref="Q6:Q13"/>
    <mergeCell ref="R6:R13"/>
    <mergeCell ref="R14:R21"/>
    <mergeCell ref="P46:P53"/>
    <mergeCell ref="Q46:Q53"/>
    <mergeCell ref="R46:R53"/>
    <mergeCell ref="T46:T53"/>
    <mergeCell ref="Y38:Y45"/>
    <mergeCell ref="Y46:Y53"/>
    <mergeCell ref="P38:P45"/>
    <mergeCell ref="Q38:Q45"/>
    <mergeCell ref="R38:R45"/>
    <mergeCell ref="T38:T45"/>
    <mergeCell ref="S46:S53"/>
  </mergeCells>
  <conditionalFormatting sqref="D7:D13 D15:D36">
    <cfRule type="duplicateValues" dxfId="344" priority="52"/>
  </conditionalFormatting>
  <conditionalFormatting sqref="D14">
    <cfRule type="duplicateValues" dxfId="343" priority="50"/>
  </conditionalFormatting>
  <conditionalFormatting sqref="D35">
    <cfRule type="duplicateValues" dxfId="342" priority="46"/>
  </conditionalFormatting>
  <conditionalFormatting sqref="D35">
    <cfRule type="duplicateValues" dxfId="341" priority="44"/>
  </conditionalFormatting>
  <conditionalFormatting sqref="D35">
    <cfRule type="duplicateValues" dxfId="340" priority="43"/>
  </conditionalFormatting>
  <conditionalFormatting sqref="D34">
    <cfRule type="duplicateValues" dxfId="339" priority="42"/>
  </conditionalFormatting>
  <conditionalFormatting sqref="D36:D38">
    <cfRule type="duplicateValues" dxfId="338" priority="41"/>
  </conditionalFormatting>
  <conditionalFormatting sqref="D37">
    <cfRule type="duplicateValues" dxfId="337" priority="40"/>
  </conditionalFormatting>
  <conditionalFormatting sqref="D37">
    <cfRule type="duplicateValues" dxfId="336" priority="39"/>
  </conditionalFormatting>
  <conditionalFormatting sqref="D37">
    <cfRule type="duplicateValues" dxfId="335" priority="38"/>
  </conditionalFormatting>
  <conditionalFormatting sqref="D36">
    <cfRule type="duplicateValues" dxfId="334" priority="37"/>
  </conditionalFormatting>
  <conditionalFormatting sqref="D35">
    <cfRule type="duplicateValues" dxfId="333" priority="36"/>
  </conditionalFormatting>
  <conditionalFormatting sqref="D38:D40 D43:D49 D51 D53:D56">
    <cfRule type="duplicateValues" dxfId="332" priority="35"/>
  </conditionalFormatting>
  <conditionalFormatting sqref="D45">
    <cfRule type="duplicateValues" dxfId="331" priority="34"/>
  </conditionalFormatting>
  <conditionalFormatting sqref="D46">
    <cfRule type="duplicateValues" dxfId="330" priority="33"/>
  </conditionalFormatting>
  <conditionalFormatting sqref="D36">
    <cfRule type="duplicateValues" dxfId="329" priority="32"/>
  </conditionalFormatting>
  <conditionalFormatting sqref="D36">
    <cfRule type="duplicateValues" dxfId="328" priority="31"/>
  </conditionalFormatting>
  <conditionalFormatting sqref="D36">
    <cfRule type="duplicateValues" dxfId="327" priority="30"/>
  </conditionalFormatting>
  <conditionalFormatting sqref="D35">
    <cfRule type="duplicateValues" dxfId="326" priority="29"/>
  </conditionalFormatting>
  <conditionalFormatting sqref="D38">
    <cfRule type="duplicateValues" dxfId="325" priority="28"/>
  </conditionalFormatting>
  <conditionalFormatting sqref="D38">
    <cfRule type="duplicateValues" dxfId="324" priority="27"/>
  </conditionalFormatting>
  <conditionalFormatting sqref="D38">
    <cfRule type="duplicateValues" dxfId="323" priority="26"/>
  </conditionalFormatting>
  <conditionalFormatting sqref="D37">
    <cfRule type="duplicateValues" dxfId="322" priority="25"/>
  </conditionalFormatting>
  <conditionalFormatting sqref="D36">
    <cfRule type="duplicateValues" dxfId="321" priority="24"/>
  </conditionalFormatting>
  <conditionalFormatting sqref="D46">
    <cfRule type="duplicateValues" dxfId="320" priority="23"/>
  </conditionalFormatting>
  <conditionalFormatting sqref="D47">
    <cfRule type="duplicateValues" dxfId="319" priority="22"/>
  </conditionalFormatting>
  <conditionalFormatting sqref="G6">
    <cfRule type="cellIs" dxfId="318" priority="21" operator="lessThan">
      <formula>1</formula>
    </cfRule>
  </conditionalFormatting>
  <conditionalFormatting sqref="D41:D42">
    <cfRule type="duplicateValues" dxfId="317" priority="20"/>
  </conditionalFormatting>
  <conditionalFormatting sqref="D50">
    <cfRule type="duplicateValues" dxfId="316" priority="19"/>
  </conditionalFormatting>
  <conditionalFormatting sqref="D52">
    <cfRule type="duplicateValues" dxfId="315" priority="18"/>
  </conditionalFormatting>
  <conditionalFormatting sqref="D64 D67:D73 D75 D77:D81">
    <cfRule type="duplicateValues" dxfId="314" priority="17"/>
  </conditionalFormatting>
  <conditionalFormatting sqref="D69">
    <cfRule type="duplicateValues" dxfId="313" priority="16"/>
  </conditionalFormatting>
  <conditionalFormatting sqref="D70">
    <cfRule type="duplicateValues" dxfId="312" priority="15"/>
  </conditionalFormatting>
  <conditionalFormatting sqref="D70">
    <cfRule type="duplicateValues" dxfId="311" priority="14"/>
  </conditionalFormatting>
  <conditionalFormatting sqref="D71">
    <cfRule type="duplicateValues" dxfId="310" priority="13"/>
  </conditionalFormatting>
  <conditionalFormatting sqref="D65:D66">
    <cfRule type="duplicateValues" dxfId="309" priority="12"/>
  </conditionalFormatting>
  <conditionalFormatting sqref="D74">
    <cfRule type="duplicateValues" dxfId="308" priority="11"/>
  </conditionalFormatting>
  <conditionalFormatting sqref="D76">
    <cfRule type="duplicateValues" dxfId="307" priority="10"/>
  </conditionalFormatting>
  <conditionalFormatting sqref="D82 D85:D91 D93 D95:D99">
    <cfRule type="duplicateValues" dxfId="306" priority="9"/>
  </conditionalFormatting>
  <conditionalFormatting sqref="D87">
    <cfRule type="duplicateValues" dxfId="305" priority="8"/>
  </conditionalFormatting>
  <conditionalFormatting sqref="D88">
    <cfRule type="duplicateValues" dxfId="304" priority="7"/>
  </conditionalFormatting>
  <conditionalFormatting sqref="D88">
    <cfRule type="duplicateValues" dxfId="303" priority="6"/>
  </conditionalFormatting>
  <conditionalFormatting sqref="D89">
    <cfRule type="duplicateValues" dxfId="302" priority="5"/>
  </conditionalFormatting>
  <conditionalFormatting sqref="D83:D84">
    <cfRule type="duplicateValues" dxfId="301" priority="4"/>
  </conditionalFormatting>
  <conditionalFormatting sqref="D92">
    <cfRule type="duplicateValues" dxfId="300" priority="3"/>
  </conditionalFormatting>
  <conditionalFormatting sqref="D94">
    <cfRule type="duplicateValues" dxfId="299" priority="2"/>
  </conditionalFormatting>
  <conditionalFormatting sqref="D57">
    <cfRule type="duplicateValues" dxfId="298" priority="1"/>
  </conditionalFormatting>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[1]Reference!#REF!</xm:f>
          </x14:formula1>
          <xm:sqref>F6 AC5:AC15</xm:sqref>
        </x14:dataValidation>
        <x14:dataValidation type="list" allowBlank="1" showInputMessage="1" showErrorMessage="1">
          <x14:formula1>
            <xm:f>[2]Reference!#REF!</xm:f>
          </x14:formula1>
          <xm:sqref>F1 F4 F100:F1048576</xm:sqref>
        </x14:dataValidation>
        <x14:dataValidation type="list" showInputMessage="1" showErrorMessage="1">
          <x14:formula1>
            <xm:f>Reference!$A$30:$A$36</xm:f>
          </x14:formula1>
          <xm:sqref>F7:F99</xm:sqref>
        </x14:dataValidation>
        <x14:dataValidation type="list" allowBlank="1" showInputMessage="1" showErrorMessage="1">
          <x14:formula1>
            <xm:f>Reference!$A$10:$A$14</xm:f>
          </x14:formula1>
          <xm:sqref>D2</xm:sqref>
        </x14:dataValidation>
        <x14:dataValidation type="list" allowBlank="1" showInputMessage="1" showErrorMessage="1">
          <x14:formula1>
            <xm:f>Reference!$F$9:$F$21</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74"/>
  <sheetViews>
    <sheetView showGridLines="0" workbookViewId="0">
      <pane xSplit="1" ySplit="1" topLeftCell="B2" activePane="bottomRight" state="frozen"/>
      <selection pane="topRight" activeCell="B1" sqref="B1"/>
      <selection pane="bottomLeft" activeCell="A2" sqref="A2"/>
      <selection pane="bottomRight" activeCell="O13" sqref="O13"/>
    </sheetView>
  </sheetViews>
  <sheetFormatPr defaultColWidth="9.109375" defaultRowHeight="14.4"/>
  <cols>
    <col min="1" max="1" width="21.109375" style="28" customWidth="1"/>
    <col min="2" max="2" width="6.6640625" style="28" customWidth="1"/>
    <col min="3" max="3" width="20.5546875" style="28" customWidth="1"/>
    <col min="4" max="4" width="39.6640625" style="34" bestFit="1" customWidth="1"/>
    <col min="5" max="5" width="25.33203125" style="35" customWidth="1"/>
    <col min="6" max="6" width="30.88671875" style="35" customWidth="1"/>
    <col min="7" max="7" width="22.33203125" style="37" customWidth="1"/>
    <col min="8" max="8" width="16.6640625" style="28" customWidth="1"/>
    <col min="9" max="16384" width="9.109375" style="28"/>
  </cols>
  <sheetData>
    <row r="1" spans="1:10">
      <c r="A1" s="25" t="s">
        <v>99</v>
      </c>
      <c r="B1" s="25" t="s">
        <v>56</v>
      </c>
      <c r="C1" s="25" t="s">
        <v>100</v>
      </c>
      <c r="D1" s="26" t="s">
        <v>101</v>
      </c>
      <c r="E1" s="27" t="s">
        <v>102</v>
      </c>
      <c r="F1" s="27" t="s">
        <v>103</v>
      </c>
      <c r="G1" s="36" t="s">
        <v>104</v>
      </c>
      <c r="H1" s="25" t="s">
        <v>105</v>
      </c>
    </row>
    <row r="2" spans="1:10">
      <c r="A2" s="329" t="s">
        <v>106</v>
      </c>
      <c r="B2" s="29">
        <v>1</v>
      </c>
      <c r="C2" s="30" t="s">
        <v>107</v>
      </c>
      <c r="D2" s="31" t="s">
        <v>108</v>
      </c>
      <c r="E2" s="30" t="s">
        <v>89</v>
      </c>
      <c r="F2" s="29" t="s">
        <v>97</v>
      </c>
      <c r="G2" s="32" t="s">
        <v>109</v>
      </c>
      <c r="H2" s="30" t="s">
        <v>110</v>
      </c>
    </row>
    <row r="3" spans="1:10">
      <c r="A3" s="329"/>
      <c r="B3" s="29">
        <v>1</v>
      </c>
      <c r="C3" s="30" t="s">
        <v>107</v>
      </c>
      <c r="D3" s="31" t="s">
        <v>108</v>
      </c>
      <c r="E3" s="30" t="s">
        <v>91</v>
      </c>
      <c r="F3" s="29" t="s">
        <v>58</v>
      </c>
      <c r="G3" s="32" t="s">
        <v>141</v>
      </c>
      <c r="H3" s="30" t="s">
        <v>144</v>
      </c>
      <c r="J3" s="53" t="s">
        <v>161</v>
      </c>
    </row>
    <row r="4" spans="1:10">
      <c r="A4" s="329"/>
      <c r="B4" s="29">
        <v>1</v>
      </c>
      <c r="C4" s="30" t="s">
        <v>107</v>
      </c>
      <c r="D4" s="31" t="s">
        <v>108</v>
      </c>
      <c r="E4" s="30" t="s">
        <v>88</v>
      </c>
      <c r="F4" s="29" t="s">
        <v>61</v>
      </c>
      <c r="G4" s="32" t="s">
        <v>109</v>
      </c>
      <c r="H4" s="30" t="s">
        <v>144</v>
      </c>
    </row>
    <row r="5" spans="1:10">
      <c r="A5" s="329"/>
      <c r="B5" s="29">
        <v>1</v>
      </c>
      <c r="C5" s="30" t="s">
        <v>107</v>
      </c>
      <c r="D5" s="31" t="s">
        <v>108</v>
      </c>
      <c r="E5" s="30" t="s">
        <v>83</v>
      </c>
      <c r="F5" s="29" t="s">
        <v>64</v>
      </c>
      <c r="G5" s="32" t="s">
        <v>114</v>
      </c>
      <c r="H5" s="30" t="s">
        <v>144</v>
      </c>
    </row>
    <row r="6" spans="1:10">
      <c r="A6" s="329" t="s">
        <v>111</v>
      </c>
      <c r="B6" s="29">
        <v>1</v>
      </c>
      <c r="C6" s="30" t="s">
        <v>112</v>
      </c>
      <c r="D6" s="33" t="s">
        <v>113</v>
      </c>
      <c r="E6" s="30" t="s">
        <v>78</v>
      </c>
      <c r="F6" s="29" t="s">
        <v>94</v>
      </c>
      <c r="G6" s="32" t="s">
        <v>114</v>
      </c>
      <c r="H6" s="30" t="s">
        <v>110</v>
      </c>
    </row>
    <row r="7" spans="1:10">
      <c r="A7" s="329"/>
      <c r="B7" s="29">
        <v>1</v>
      </c>
      <c r="C7" s="30" t="s">
        <v>112</v>
      </c>
      <c r="D7" s="31" t="s">
        <v>113</v>
      </c>
      <c r="E7" s="30" t="s">
        <v>80</v>
      </c>
      <c r="F7" s="29" t="s">
        <v>70</v>
      </c>
      <c r="G7" s="32" t="s">
        <v>141</v>
      </c>
      <c r="H7" s="30" t="s">
        <v>144</v>
      </c>
    </row>
    <row r="8" spans="1:10">
      <c r="A8" s="329"/>
      <c r="B8" s="29">
        <v>1</v>
      </c>
      <c r="C8" s="30" t="s">
        <v>112</v>
      </c>
      <c r="D8" s="31" t="s">
        <v>113</v>
      </c>
      <c r="E8" s="30" t="s">
        <v>83</v>
      </c>
      <c r="F8" s="29" t="s">
        <v>64</v>
      </c>
      <c r="G8" s="32" t="s">
        <v>109</v>
      </c>
      <c r="H8" s="30" t="s">
        <v>144</v>
      </c>
    </row>
    <row r="9" spans="1:10">
      <c r="A9" s="329"/>
      <c r="B9" s="29">
        <v>1</v>
      </c>
      <c r="C9" s="30" t="s">
        <v>112</v>
      </c>
      <c r="D9" s="31" t="s">
        <v>113</v>
      </c>
      <c r="E9" s="30" t="s">
        <v>90</v>
      </c>
      <c r="F9" s="29" t="s">
        <v>63</v>
      </c>
      <c r="G9" s="32" t="s">
        <v>114</v>
      </c>
      <c r="H9" s="30" t="s">
        <v>144</v>
      </c>
    </row>
    <row r="10" spans="1:10">
      <c r="A10" s="329" t="s">
        <v>115</v>
      </c>
      <c r="B10" s="29">
        <v>1</v>
      </c>
      <c r="C10" s="30" t="s">
        <v>116</v>
      </c>
      <c r="D10" s="33" t="s">
        <v>117</v>
      </c>
      <c r="E10" s="30" t="s">
        <v>78</v>
      </c>
      <c r="F10" s="29" t="s">
        <v>94</v>
      </c>
      <c r="G10" s="32" t="s">
        <v>109</v>
      </c>
      <c r="H10" s="30" t="s">
        <v>110</v>
      </c>
    </row>
    <row r="11" spans="1:10">
      <c r="A11" s="329"/>
      <c r="B11" s="29">
        <v>1</v>
      </c>
      <c r="C11" s="30" t="s">
        <v>116</v>
      </c>
      <c r="D11" s="31" t="s">
        <v>117</v>
      </c>
      <c r="E11" s="30" t="s">
        <v>76</v>
      </c>
      <c r="F11" s="29" t="s">
        <v>66</v>
      </c>
      <c r="G11" s="32" t="s">
        <v>141</v>
      </c>
      <c r="H11" s="30" t="s">
        <v>144</v>
      </c>
    </row>
    <row r="12" spans="1:10">
      <c r="A12" s="329"/>
      <c r="B12" s="29">
        <v>1</v>
      </c>
      <c r="C12" s="30" t="s">
        <v>116</v>
      </c>
      <c r="D12" s="31" t="s">
        <v>117</v>
      </c>
      <c r="E12" s="30" t="s">
        <v>78</v>
      </c>
      <c r="F12" s="29" t="s">
        <v>94</v>
      </c>
      <c r="G12" s="32" t="s">
        <v>109</v>
      </c>
      <c r="H12" s="30" t="s">
        <v>144</v>
      </c>
    </row>
    <row r="13" spans="1:10">
      <c r="A13" s="329"/>
      <c r="B13" s="29">
        <v>1</v>
      </c>
      <c r="C13" s="30" t="s">
        <v>116</v>
      </c>
      <c r="D13" s="31" t="s">
        <v>117</v>
      </c>
      <c r="E13" s="30" t="s">
        <v>85</v>
      </c>
      <c r="F13" s="29" t="s">
        <v>65</v>
      </c>
      <c r="G13" s="32" t="s">
        <v>114</v>
      </c>
      <c r="H13" s="30" t="s">
        <v>144</v>
      </c>
    </row>
    <row r="14" spans="1:10">
      <c r="A14" s="329" t="s">
        <v>118</v>
      </c>
      <c r="B14" s="29">
        <v>1</v>
      </c>
      <c r="C14" s="30" t="s">
        <v>119</v>
      </c>
      <c r="D14" s="31" t="s">
        <v>120</v>
      </c>
      <c r="E14" s="30" t="s">
        <v>90</v>
      </c>
      <c r="F14" s="29" t="s">
        <v>143</v>
      </c>
      <c r="G14" s="32" t="s">
        <v>109</v>
      </c>
      <c r="H14" s="30" t="s">
        <v>110</v>
      </c>
    </row>
    <row r="15" spans="1:10">
      <c r="A15" s="329"/>
      <c r="B15" s="29">
        <v>1</v>
      </c>
      <c r="C15" s="30" t="s">
        <v>119</v>
      </c>
      <c r="D15" s="31" t="s">
        <v>120</v>
      </c>
      <c r="E15" s="30" t="s">
        <v>91</v>
      </c>
      <c r="F15" s="29" t="s">
        <v>58</v>
      </c>
      <c r="G15" s="32" t="s">
        <v>141</v>
      </c>
      <c r="H15" s="30" t="s">
        <v>144</v>
      </c>
    </row>
    <row r="16" spans="1:10">
      <c r="A16" s="329"/>
      <c r="B16" s="29">
        <v>1</v>
      </c>
      <c r="C16" s="30" t="s">
        <v>119</v>
      </c>
      <c r="D16" s="31" t="s">
        <v>120</v>
      </c>
      <c r="E16" s="30" t="s">
        <v>88</v>
      </c>
      <c r="F16" s="29" t="s">
        <v>61</v>
      </c>
      <c r="G16" s="32" t="s">
        <v>109</v>
      </c>
      <c r="H16" s="30" t="s">
        <v>144</v>
      </c>
    </row>
    <row r="17" spans="1:8">
      <c r="A17" s="329"/>
      <c r="B17" s="29">
        <v>1</v>
      </c>
      <c r="C17" s="30" t="s">
        <v>119</v>
      </c>
      <c r="D17" s="31" t="s">
        <v>120</v>
      </c>
      <c r="E17" s="30" t="s">
        <v>81</v>
      </c>
      <c r="F17" s="29" t="s">
        <v>60</v>
      </c>
      <c r="G17" s="32" t="s">
        <v>114</v>
      </c>
      <c r="H17" s="30" t="s">
        <v>144</v>
      </c>
    </row>
    <row r="18" spans="1:8">
      <c r="A18" s="329" t="s">
        <v>121</v>
      </c>
      <c r="B18" s="29">
        <v>1</v>
      </c>
      <c r="C18" s="30" t="s">
        <v>122</v>
      </c>
      <c r="D18" s="31" t="s">
        <v>123</v>
      </c>
      <c r="E18" s="30" t="s">
        <v>75</v>
      </c>
      <c r="F18" s="29" t="s">
        <v>92</v>
      </c>
      <c r="G18" s="32" t="s">
        <v>109</v>
      </c>
      <c r="H18" s="30" t="s">
        <v>110</v>
      </c>
    </row>
    <row r="19" spans="1:8">
      <c r="A19" s="329"/>
      <c r="B19" s="29">
        <v>1</v>
      </c>
      <c r="C19" s="30"/>
      <c r="D19" s="31"/>
      <c r="E19" s="30" t="s">
        <v>76</v>
      </c>
      <c r="F19" s="29" t="s">
        <v>66</v>
      </c>
      <c r="G19" s="32" t="s">
        <v>141</v>
      </c>
      <c r="H19" s="30" t="s">
        <v>144</v>
      </c>
    </row>
    <row r="20" spans="1:8">
      <c r="A20" s="329"/>
      <c r="B20" s="29">
        <v>1</v>
      </c>
      <c r="C20" s="30"/>
      <c r="D20" s="31"/>
      <c r="E20" s="30" t="s">
        <v>77</v>
      </c>
      <c r="F20" s="29" t="s">
        <v>68</v>
      </c>
      <c r="G20" s="32" t="s">
        <v>109</v>
      </c>
      <c r="H20" s="30" t="s">
        <v>144</v>
      </c>
    </row>
    <row r="21" spans="1:8">
      <c r="A21" s="329"/>
      <c r="B21" s="29">
        <v>1</v>
      </c>
      <c r="C21" s="30"/>
      <c r="D21" s="31"/>
      <c r="E21" s="30" t="s">
        <v>82</v>
      </c>
      <c r="F21" s="29" t="s">
        <v>96</v>
      </c>
      <c r="G21" s="32" t="s">
        <v>114</v>
      </c>
      <c r="H21" s="30" t="s">
        <v>144</v>
      </c>
    </row>
    <row r="22" spans="1:8">
      <c r="A22" s="329" t="s">
        <v>124</v>
      </c>
      <c r="B22" s="29">
        <v>1</v>
      </c>
      <c r="C22" s="30"/>
      <c r="D22" s="31"/>
      <c r="E22" s="30" t="s">
        <v>86</v>
      </c>
      <c r="F22" s="29" t="s">
        <v>93</v>
      </c>
      <c r="G22" s="32" t="s">
        <v>109</v>
      </c>
      <c r="H22" s="30" t="s">
        <v>110</v>
      </c>
    </row>
    <row r="23" spans="1:8">
      <c r="A23" s="329"/>
      <c r="B23" s="29">
        <v>1</v>
      </c>
      <c r="C23" s="30"/>
      <c r="D23" s="31"/>
      <c r="E23" s="30" t="s">
        <v>84</v>
      </c>
      <c r="F23" s="29" t="s">
        <v>67</v>
      </c>
      <c r="G23" s="32" t="s">
        <v>141</v>
      </c>
      <c r="H23" s="30" t="s">
        <v>144</v>
      </c>
    </row>
    <row r="24" spans="1:8">
      <c r="A24" s="329"/>
      <c r="B24" s="29">
        <v>1</v>
      </c>
      <c r="C24" s="30"/>
      <c r="D24" s="31"/>
      <c r="E24" s="30" t="s">
        <v>85</v>
      </c>
      <c r="F24" s="29" t="s">
        <v>65</v>
      </c>
      <c r="G24" s="32" t="s">
        <v>109</v>
      </c>
      <c r="H24" s="30" t="s">
        <v>144</v>
      </c>
    </row>
    <row r="25" spans="1:8">
      <c r="A25" s="329"/>
      <c r="B25" s="29">
        <v>1</v>
      </c>
      <c r="C25" s="30"/>
      <c r="D25" s="31"/>
      <c r="E25" s="30" t="s">
        <v>78</v>
      </c>
      <c r="F25" s="29" t="s">
        <v>94</v>
      </c>
      <c r="G25" s="32" t="s">
        <v>114</v>
      </c>
      <c r="H25" s="30" t="s">
        <v>144</v>
      </c>
    </row>
    <row r="26" spans="1:8">
      <c r="A26" s="329" t="s">
        <v>125</v>
      </c>
      <c r="B26" s="29">
        <v>1</v>
      </c>
      <c r="C26" s="30"/>
      <c r="D26" s="31"/>
      <c r="E26" s="30" t="s">
        <v>78</v>
      </c>
      <c r="F26" s="29" t="s">
        <v>94</v>
      </c>
      <c r="G26" s="32" t="s">
        <v>109</v>
      </c>
      <c r="H26" s="30" t="s">
        <v>110</v>
      </c>
    </row>
    <row r="27" spans="1:8">
      <c r="A27" s="329"/>
      <c r="B27" s="29">
        <v>1</v>
      </c>
      <c r="C27" s="30"/>
      <c r="D27" s="31"/>
      <c r="E27" s="30" t="s">
        <v>76</v>
      </c>
      <c r="F27" s="29" t="s">
        <v>66</v>
      </c>
      <c r="G27" s="32" t="s">
        <v>141</v>
      </c>
      <c r="H27" s="30" t="s">
        <v>144</v>
      </c>
    </row>
    <row r="28" spans="1:8">
      <c r="A28" s="329"/>
      <c r="B28" s="29">
        <v>1</v>
      </c>
      <c r="C28" s="30"/>
      <c r="D28" s="31"/>
      <c r="E28" s="30" t="s">
        <v>75</v>
      </c>
      <c r="F28" s="29" t="s">
        <v>59</v>
      </c>
      <c r="G28" s="32" t="s">
        <v>109</v>
      </c>
      <c r="H28" s="30" t="s">
        <v>144</v>
      </c>
    </row>
    <row r="29" spans="1:8">
      <c r="A29" s="329"/>
      <c r="B29" s="29">
        <v>1</v>
      </c>
      <c r="C29" s="30"/>
      <c r="D29" s="31"/>
      <c r="E29" s="30" t="s">
        <v>90</v>
      </c>
      <c r="F29" s="29" t="s">
        <v>63</v>
      </c>
      <c r="G29" s="32" t="s">
        <v>114</v>
      </c>
      <c r="H29" s="30" t="s">
        <v>144</v>
      </c>
    </row>
    <row r="30" spans="1:8">
      <c r="A30" s="329" t="s">
        <v>126</v>
      </c>
      <c r="B30" s="29">
        <v>1</v>
      </c>
      <c r="C30" s="30"/>
      <c r="D30" s="31"/>
      <c r="E30" s="30" t="s">
        <v>84</v>
      </c>
      <c r="F30" s="29" t="s">
        <v>98</v>
      </c>
      <c r="G30" s="32" t="s">
        <v>114</v>
      </c>
      <c r="H30" s="30" t="s">
        <v>110</v>
      </c>
    </row>
    <row r="31" spans="1:8">
      <c r="A31" s="329"/>
      <c r="B31" s="29">
        <v>1</v>
      </c>
      <c r="C31" s="30"/>
      <c r="D31" s="31"/>
      <c r="E31" s="30" t="s">
        <v>88</v>
      </c>
      <c r="F31" s="29" t="s">
        <v>61</v>
      </c>
      <c r="G31" s="32" t="s">
        <v>109</v>
      </c>
      <c r="H31" s="30" t="s">
        <v>144</v>
      </c>
    </row>
    <row r="32" spans="1:8">
      <c r="A32" s="329"/>
      <c r="B32" s="29">
        <v>1</v>
      </c>
      <c r="C32" s="30"/>
      <c r="D32" s="31"/>
      <c r="E32" s="30" t="s">
        <v>89</v>
      </c>
      <c r="F32" s="29" t="s">
        <v>71</v>
      </c>
      <c r="G32" s="32" t="s">
        <v>109</v>
      </c>
      <c r="H32" s="30" t="s">
        <v>144</v>
      </c>
    </row>
    <row r="33" spans="1:8">
      <c r="A33" s="329"/>
      <c r="B33" s="29">
        <v>1</v>
      </c>
      <c r="C33" s="30"/>
      <c r="D33" s="31"/>
      <c r="E33" s="30" t="s">
        <v>90</v>
      </c>
      <c r="F33" s="29" t="s">
        <v>63</v>
      </c>
      <c r="G33" s="32" t="s">
        <v>109</v>
      </c>
      <c r="H33" s="30" t="s">
        <v>144</v>
      </c>
    </row>
    <row r="34" spans="1:8">
      <c r="A34" s="329" t="s">
        <v>127</v>
      </c>
      <c r="B34" s="29">
        <v>1</v>
      </c>
      <c r="C34" s="30"/>
      <c r="D34" s="31"/>
      <c r="E34" s="30" t="s">
        <v>80</v>
      </c>
      <c r="F34" s="29" t="s">
        <v>128</v>
      </c>
      <c r="G34" s="32" t="s">
        <v>114</v>
      </c>
      <c r="H34" s="30" t="s">
        <v>110</v>
      </c>
    </row>
    <row r="35" spans="1:8">
      <c r="A35" s="329"/>
      <c r="B35" s="29">
        <v>1</v>
      </c>
      <c r="C35" s="30"/>
      <c r="D35" s="31"/>
      <c r="E35" s="30" t="s">
        <v>85</v>
      </c>
      <c r="F35" s="29" t="s">
        <v>65</v>
      </c>
      <c r="G35" s="32" t="s">
        <v>109</v>
      </c>
      <c r="H35" s="30" t="s">
        <v>144</v>
      </c>
    </row>
    <row r="36" spans="1:8">
      <c r="A36" s="329"/>
      <c r="B36" s="29">
        <v>1</v>
      </c>
      <c r="C36" s="30"/>
      <c r="D36" s="31"/>
      <c r="E36" s="30" t="s">
        <v>86</v>
      </c>
      <c r="F36" s="29" t="s">
        <v>69</v>
      </c>
      <c r="G36" s="32" t="s">
        <v>109</v>
      </c>
      <c r="H36" s="30" t="s">
        <v>144</v>
      </c>
    </row>
    <row r="37" spans="1:8">
      <c r="A37" s="329"/>
      <c r="B37" s="29">
        <v>1</v>
      </c>
      <c r="C37" s="30"/>
      <c r="D37" s="31"/>
      <c r="E37" s="30" t="s">
        <v>87</v>
      </c>
      <c r="F37" s="29" t="s">
        <v>62</v>
      </c>
      <c r="G37" s="32" t="s">
        <v>109</v>
      </c>
      <c r="H37" s="30" t="s">
        <v>144</v>
      </c>
    </row>
    <row r="38" spans="1:8">
      <c r="A38" s="329" t="s">
        <v>129</v>
      </c>
      <c r="B38" s="29">
        <v>1</v>
      </c>
      <c r="C38" s="30"/>
      <c r="D38" s="31"/>
      <c r="E38" s="30" t="s">
        <v>130</v>
      </c>
      <c r="F38" s="29" t="s">
        <v>131</v>
      </c>
      <c r="G38" s="32" t="s">
        <v>114</v>
      </c>
      <c r="H38" s="30" t="s">
        <v>110</v>
      </c>
    </row>
    <row r="39" spans="1:8">
      <c r="A39" s="329"/>
      <c r="B39" s="29">
        <v>1</v>
      </c>
      <c r="C39" s="30"/>
      <c r="D39" s="31"/>
      <c r="E39" s="30" t="s">
        <v>91</v>
      </c>
      <c r="F39" s="29" t="s">
        <v>58</v>
      </c>
      <c r="G39" s="32" t="s">
        <v>141</v>
      </c>
      <c r="H39" s="30" t="s">
        <v>144</v>
      </c>
    </row>
    <row r="40" spans="1:8">
      <c r="A40" s="329"/>
      <c r="B40" s="29">
        <v>1</v>
      </c>
      <c r="C40" s="30"/>
      <c r="D40" s="31"/>
      <c r="E40" s="30" t="s">
        <v>90</v>
      </c>
      <c r="F40" s="29" t="s">
        <v>63</v>
      </c>
      <c r="G40" s="32" t="s">
        <v>109</v>
      </c>
      <c r="H40" s="30" t="s">
        <v>144</v>
      </c>
    </row>
    <row r="41" spans="1:8">
      <c r="A41" s="329"/>
      <c r="B41" s="29">
        <v>1</v>
      </c>
      <c r="C41" s="30"/>
      <c r="D41" s="31"/>
      <c r="E41" s="30" t="s">
        <v>77</v>
      </c>
      <c r="F41" s="29" t="s">
        <v>68</v>
      </c>
      <c r="G41" s="32" t="s">
        <v>114</v>
      </c>
      <c r="H41" s="30" t="s">
        <v>144</v>
      </c>
    </row>
    <row r="42" spans="1:8">
      <c r="A42" s="329" t="s">
        <v>132</v>
      </c>
      <c r="B42" s="29">
        <v>1</v>
      </c>
      <c r="C42" s="30"/>
      <c r="D42" s="31"/>
      <c r="E42" s="30" t="s">
        <v>75</v>
      </c>
      <c r="F42" s="29" t="s">
        <v>59</v>
      </c>
      <c r="G42" s="32" t="s">
        <v>109</v>
      </c>
      <c r="H42" s="30" t="s">
        <v>110</v>
      </c>
    </row>
    <row r="43" spans="1:8">
      <c r="A43" s="329"/>
      <c r="B43" s="29">
        <v>1</v>
      </c>
      <c r="C43" s="30"/>
      <c r="D43" s="31"/>
      <c r="E43" s="30" t="s">
        <v>76</v>
      </c>
      <c r="F43" s="29" t="s">
        <v>66</v>
      </c>
      <c r="G43" s="32" t="s">
        <v>141</v>
      </c>
      <c r="H43" s="30" t="s">
        <v>144</v>
      </c>
    </row>
    <row r="44" spans="1:8">
      <c r="A44" s="329"/>
      <c r="B44" s="29">
        <v>1</v>
      </c>
      <c r="C44" s="30"/>
      <c r="D44" s="31"/>
      <c r="E44" s="30" t="s">
        <v>78</v>
      </c>
      <c r="F44" s="29" t="s">
        <v>94</v>
      </c>
      <c r="G44" s="32" t="s">
        <v>109</v>
      </c>
      <c r="H44" s="30" t="s">
        <v>144</v>
      </c>
    </row>
    <row r="45" spans="1:8">
      <c r="A45" s="329"/>
      <c r="B45" s="29">
        <v>1</v>
      </c>
      <c r="C45" s="30"/>
      <c r="D45" s="31"/>
      <c r="E45" s="30" t="s">
        <v>89</v>
      </c>
      <c r="F45" s="29" t="s">
        <v>97</v>
      </c>
      <c r="G45" s="32" t="s">
        <v>114</v>
      </c>
      <c r="H45" s="30" t="s">
        <v>144</v>
      </c>
    </row>
    <row r="46" spans="1:8">
      <c r="A46" s="329" t="s">
        <v>133</v>
      </c>
      <c r="B46" s="29">
        <v>1</v>
      </c>
      <c r="C46" s="30"/>
      <c r="D46" s="31"/>
      <c r="E46" s="30" t="s">
        <v>83</v>
      </c>
      <c r="F46" s="29" t="s">
        <v>95</v>
      </c>
      <c r="G46" s="32" t="s">
        <v>109</v>
      </c>
      <c r="H46" s="30" t="s">
        <v>110</v>
      </c>
    </row>
    <row r="47" spans="1:8">
      <c r="A47" s="329"/>
      <c r="B47" s="29">
        <v>1</v>
      </c>
      <c r="C47" s="30"/>
      <c r="D47" s="31"/>
      <c r="E47" s="30" t="s">
        <v>80</v>
      </c>
      <c r="F47" s="29" t="s">
        <v>70</v>
      </c>
      <c r="G47" s="32" t="s">
        <v>141</v>
      </c>
      <c r="H47" s="30" t="s">
        <v>144</v>
      </c>
    </row>
    <row r="48" spans="1:8">
      <c r="A48" s="329"/>
      <c r="B48" s="29">
        <v>1</v>
      </c>
      <c r="C48" s="30"/>
      <c r="D48" s="31"/>
      <c r="E48" s="30" t="s">
        <v>81</v>
      </c>
      <c r="F48" s="29" t="s">
        <v>60</v>
      </c>
      <c r="G48" s="32" t="s">
        <v>109</v>
      </c>
      <c r="H48" s="30" t="s">
        <v>144</v>
      </c>
    </row>
    <row r="49" spans="1:8">
      <c r="A49" s="329"/>
      <c r="B49" s="29">
        <v>1</v>
      </c>
      <c r="C49" s="30"/>
      <c r="D49" s="31"/>
      <c r="E49" s="30" t="s">
        <v>90</v>
      </c>
      <c r="F49" s="29" t="s">
        <v>63</v>
      </c>
      <c r="G49" s="32" t="s">
        <v>114</v>
      </c>
      <c r="H49" s="30" t="s">
        <v>144</v>
      </c>
    </row>
    <row r="50" spans="1:8">
      <c r="A50" s="329" t="s">
        <v>134</v>
      </c>
      <c r="B50" s="29">
        <v>1</v>
      </c>
      <c r="C50" s="30"/>
      <c r="D50" s="31"/>
      <c r="E50" s="30" t="s">
        <v>80</v>
      </c>
      <c r="F50" s="29" t="s">
        <v>142</v>
      </c>
      <c r="G50" s="32" t="s">
        <v>114</v>
      </c>
      <c r="H50" s="30" t="s">
        <v>110</v>
      </c>
    </row>
    <row r="51" spans="1:8">
      <c r="A51" s="329"/>
      <c r="B51" s="29">
        <v>1</v>
      </c>
      <c r="C51" s="30"/>
      <c r="D51" s="31"/>
      <c r="E51" s="30" t="s">
        <v>75</v>
      </c>
      <c r="F51" s="29" t="s">
        <v>59</v>
      </c>
      <c r="G51" s="32" t="s">
        <v>109</v>
      </c>
      <c r="H51" s="30" t="s">
        <v>144</v>
      </c>
    </row>
    <row r="52" spans="1:8">
      <c r="A52" s="329"/>
      <c r="B52" s="29"/>
      <c r="C52" s="30"/>
      <c r="D52" s="31"/>
      <c r="E52" s="30" t="s">
        <v>77</v>
      </c>
      <c r="F52" s="29" t="s">
        <v>68</v>
      </c>
      <c r="G52" s="32" t="s">
        <v>109</v>
      </c>
      <c r="H52" s="30" t="s">
        <v>144</v>
      </c>
    </row>
    <row r="53" spans="1:8">
      <c r="A53" s="329"/>
      <c r="B53" s="29">
        <v>1</v>
      </c>
      <c r="C53" s="30"/>
      <c r="D53" s="31"/>
      <c r="E53" s="30" t="s">
        <v>78</v>
      </c>
      <c r="F53" s="29" t="s">
        <v>74</v>
      </c>
      <c r="G53" s="32" t="s">
        <v>109</v>
      </c>
      <c r="H53" s="30" t="s">
        <v>144</v>
      </c>
    </row>
    <row r="54" spans="1:8">
      <c r="A54" s="329"/>
      <c r="B54" s="29">
        <v>1</v>
      </c>
      <c r="C54" s="30"/>
      <c r="D54" s="31"/>
      <c r="E54" s="30" t="s">
        <v>79</v>
      </c>
      <c r="F54" s="29" t="s">
        <v>73</v>
      </c>
      <c r="G54" s="32" t="s">
        <v>109</v>
      </c>
      <c r="H54" s="30" t="s">
        <v>144</v>
      </c>
    </row>
    <row r="55" spans="1:8">
      <c r="A55" s="329" t="s">
        <v>135</v>
      </c>
      <c r="B55" s="29">
        <v>1</v>
      </c>
      <c r="C55" s="30"/>
      <c r="D55" s="31"/>
      <c r="E55" s="30" t="s">
        <v>88</v>
      </c>
      <c r="F55" s="29" t="s">
        <v>61</v>
      </c>
      <c r="G55" s="32" t="s">
        <v>114</v>
      </c>
      <c r="H55" s="30" t="s">
        <v>110</v>
      </c>
    </row>
    <row r="56" spans="1:8">
      <c r="A56" s="329"/>
      <c r="B56" s="29">
        <v>1</v>
      </c>
      <c r="C56" s="30"/>
      <c r="D56" s="31"/>
      <c r="E56" s="30" t="s">
        <v>84</v>
      </c>
      <c r="F56" s="29" t="s">
        <v>67</v>
      </c>
      <c r="G56" s="32" t="s">
        <v>141</v>
      </c>
      <c r="H56" s="30" t="s">
        <v>144</v>
      </c>
    </row>
    <row r="57" spans="1:8">
      <c r="A57" s="329"/>
      <c r="B57" s="29">
        <v>1</v>
      </c>
      <c r="C57" s="30"/>
      <c r="D57" s="31"/>
      <c r="E57" s="30" t="s">
        <v>86</v>
      </c>
      <c r="F57" s="29" t="s">
        <v>69</v>
      </c>
      <c r="G57" s="32" t="s">
        <v>109</v>
      </c>
      <c r="H57" s="30" t="s">
        <v>144</v>
      </c>
    </row>
    <row r="58" spans="1:8">
      <c r="A58" s="329"/>
      <c r="B58" s="29">
        <v>1</v>
      </c>
      <c r="C58" s="30"/>
      <c r="D58" s="31"/>
      <c r="E58" s="30" t="s">
        <v>75</v>
      </c>
      <c r="F58" s="29" t="s">
        <v>59</v>
      </c>
      <c r="G58" s="32" t="s">
        <v>114</v>
      </c>
      <c r="H58" s="30" t="s">
        <v>144</v>
      </c>
    </row>
    <row r="59" spans="1:8">
      <c r="A59" s="329" t="s">
        <v>136</v>
      </c>
      <c r="B59" s="29">
        <v>1</v>
      </c>
      <c r="C59" s="30"/>
      <c r="D59" s="31"/>
      <c r="E59" s="30" t="s">
        <v>87</v>
      </c>
      <c r="F59" s="29" t="s">
        <v>137</v>
      </c>
      <c r="G59" s="32" t="s">
        <v>109</v>
      </c>
      <c r="H59" s="30" t="s">
        <v>110</v>
      </c>
    </row>
    <row r="60" spans="1:8">
      <c r="A60" s="329"/>
      <c r="B60" s="29">
        <v>1</v>
      </c>
      <c r="C60" s="30"/>
      <c r="D60" s="31"/>
      <c r="E60" s="30" t="s">
        <v>84</v>
      </c>
      <c r="F60" s="29" t="s">
        <v>67</v>
      </c>
      <c r="G60" s="32" t="s">
        <v>141</v>
      </c>
      <c r="H60" s="30" t="s">
        <v>144</v>
      </c>
    </row>
    <row r="61" spans="1:8">
      <c r="A61" s="329"/>
      <c r="B61" s="29">
        <v>1</v>
      </c>
      <c r="C61" s="30"/>
      <c r="D61" s="31"/>
      <c r="E61" s="30" t="s">
        <v>85</v>
      </c>
      <c r="F61" s="29" t="s">
        <v>65</v>
      </c>
      <c r="G61" s="32" t="s">
        <v>109</v>
      </c>
      <c r="H61" s="30" t="s">
        <v>144</v>
      </c>
    </row>
    <row r="62" spans="1:8">
      <c r="A62" s="329"/>
      <c r="B62" s="29">
        <v>1</v>
      </c>
      <c r="C62" s="30"/>
      <c r="D62" s="31"/>
      <c r="E62" s="30" t="s">
        <v>79</v>
      </c>
      <c r="F62" s="29" t="s">
        <v>73</v>
      </c>
      <c r="G62" s="32" t="s">
        <v>114</v>
      </c>
      <c r="H62" s="30" t="s">
        <v>144</v>
      </c>
    </row>
    <row r="63" spans="1:8">
      <c r="A63" s="329" t="s">
        <v>138</v>
      </c>
      <c r="B63" s="29">
        <v>1</v>
      </c>
      <c r="C63" s="30"/>
      <c r="D63" s="31"/>
      <c r="E63" s="30" t="s">
        <v>84</v>
      </c>
      <c r="F63" s="29" t="s">
        <v>98</v>
      </c>
      <c r="G63" s="32" t="s">
        <v>114</v>
      </c>
      <c r="H63" s="30" t="s">
        <v>110</v>
      </c>
    </row>
    <row r="64" spans="1:8">
      <c r="A64" s="329"/>
      <c r="B64" s="29">
        <v>1</v>
      </c>
      <c r="C64" s="30"/>
      <c r="D64" s="31"/>
      <c r="E64" s="30" t="s">
        <v>81</v>
      </c>
      <c r="F64" s="29" t="s">
        <v>60</v>
      </c>
      <c r="G64" s="32" t="s">
        <v>109</v>
      </c>
      <c r="H64" s="30" t="s">
        <v>144</v>
      </c>
    </row>
    <row r="65" spans="1:8">
      <c r="A65" s="329"/>
      <c r="B65" s="29">
        <v>1</v>
      </c>
      <c r="C65" s="30"/>
      <c r="D65" s="31"/>
      <c r="E65" s="30" t="s">
        <v>82</v>
      </c>
      <c r="F65" s="29" t="s">
        <v>72</v>
      </c>
      <c r="G65" s="32" t="s">
        <v>109</v>
      </c>
      <c r="H65" s="30" t="s">
        <v>144</v>
      </c>
    </row>
    <row r="66" spans="1:8">
      <c r="A66" s="329"/>
      <c r="B66" s="29">
        <v>1</v>
      </c>
      <c r="C66" s="30"/>
      <c r="D66" s="31"/>
      <c r="E66" s="30" t="s">
        <v>83</v>
      </c>
      <c r="F66" s="29" t="s">
        <v>64</v>
      </c>
      <c r="G66" s="32" t="s">
        <v>109</v>
      </c>
      <c r="H66" s="30" t="s">
        <v>144</v>
      </c>
    </row>
    <row r="67" spans="1:8">
      <c r="A67" s="329" t="s">
        <v>139</v>
      </c>
      <c r="B67" s="29">
        <v>1</v>
      </c>
      <c r="C67" s="30"/>
      <c r="D67" s="31"/>
      <c r="E67" s="30" t="s">
        <v>82</v>
      </c>
      <c r="F67" s="29" t="s">
        <v>96</v>
      </c>
      <c r="G67" s="32" t="s">
        <v>109</v>
      </c>
      <c r="H67" s="30" t="s">
        <v>110</v>
      </c>
    </row>
    <row r="68" spans="1:8">
      <c r="A68" s="329"/>
      <c r="B68" s="29">
        <v>1</v>
      </c>
      <c r="C68" s="30"/>
      <c r="D68" s="31"/>
      <c r="E68" s="30" t="s">
        <v>80</v>
      </c>
      <c r="F68" s="29" t="s">
        <v>70</v>
      </c>
      <c r="G68" s="32" t="s">
        <v>141</v>
      </c>
      <c r="H68" s="30" t="s">
        <v>144</v>
      </c>
    </row>
    <row r="69" spans="1:8">
      <c r="A69" s="329"/>
      <c r="B69" s="29">
        <v>1</v>
      </c>
      <c r="C69" s="30"/>
      <c r="D69" s="31"/>
      <c r="E69" s="30" t="s">
        <v>82</v>
      </c>
      <c r="F69" s="29" t="s">
        <v>72</v>
      </c>
      <c r="G69" s="32" t="s">
        <v>109</v>
      </c>
      <c r="H69" s="30" t="s">
        <v>144</v>
      </c>
    </row>
    <row r="70" spans="1:8">
      <c r="A70" s="329"/>
      <c r="B70" s="29">
        <v>1</v>
      </c>
      <c r="C70" s="30"/>
      <c r="D70" s="31"/>
      <c r="E70" s="30" t="s">
        <v>87</v>
      </c>
      <c r="F70" s="29" t="s">
        <v>137</v>
      </c>
      <c r="G70" s="32" t="s">
        <v>114</v>
      </c>
      <c r="H70" s="30" t="s">
        <v>144</v>
      </c>
    </row>
    <row r="71" spans="1:8">
      <c r="A71" s="329" t="s">
        <v>140</v>
      </c>
      <c r="B71" s="29">
        <v>1</v>
      </c>
      <c r="C71" s="30"/>
      <c r="D71" s="31"/>
      <c r="E71" s="30" t="s">
        <v>77</v>
      </c>
      <c r="F71" s="29" t="s">
        <v>68</v>
      </c>
      <c r="G71" s="32" t="s">
        <v>109</v>
      </c>
      <c r="H71" s="30" t="s">
        <v>110</v>
      </c>
    </row>
    <row r="72" spans="1:8">
      <c r="A72" s="329"/>
      <c r="B72" s="29">
        <v>1</v>
      </c>
      <c r="C72" s="30"/>
      <c r="D72" s="31"/>
      <c r="E72" s="30" t="s">
        <v>76</v>
      </c>
      <c r="F72" s="29" t="s">
        <v>66</v>
      </c>
      <c r="G72" s="32" t="s">
        <v>141</v>
      </c>
      <c r="H72" s="30" t="s">
        <v>144</v>
      </c>
    </row>
    <row r="73" spans="1:8">
      <c r="A73" s="329"/>
      <c r="B73" s="29">
        <v>1</v>
      </c>
      <c r="C73" s="30"/>
      <c r="D73" s="31"/>
      <c r="E73" s="30" t="s">
        <v>78</v>
      </c>
      <c r="F73" s="29" t="s">
        <v>94</v>
      </c>
      <c r="G73" s="32" t="s">
        <v>109</v>
      </c>
      <c r="H73" s="30" t="s">
        <v>144</v>
      </c>
    </row>
    <row r="74" spans="1:8">
      <c r="A74" s="329"/>
      <c r="B74" s="29">
        <v>1</v>
      </c>
      <c r="C74" s="30"/>
      <c r="D74" s="31"/>
      <c r="E74" s="30" t="s">
        <v>88</v>
      </c>
      <c r="F74" s="29" t="s">
        <v>61</v>
      </c>
      <c r="G74" s="32" t="s">
        <v>114</v>
      </c>
      <c r="H74" s="30" t="s">
        <v>144</v>
      </c>
    </row>
  </sheetData>
  <autoFilter ref="A1:H74"/>
  <mergeCells count="18">
    <mergeCell ref="A59:A62"/>
    <mergeCell ref="A63:A66"/>
    <mergeCell ref="A67:A70"/>
    <mergeCell ref="A71:A74"/>
    <mergeCell ref="A42:A45"/>
    <mergeCell ref="A46:A49"/>
    <mergeCell ref="A50:A54"/>
    <mergeCell ref="A55:A58"/>
    <mergeCell ref="A34:A37"/>
    <mergeCell ref="A38:A41"/>
    <mergeCell ref="A14:A17"/>
    <mergeCell ref="A18:A21"/>
    <mergeCell ref="A22:A25"/>
    <mergeCell ref="A2:A5"/>
    <mergeCell ref="A6:A9"/>
    <mergeCell ref="A10:A13"/>
    <mergeCell ref="A26:A29"/>
    <mergeCell ref="A30:A33"/>
  </mergeCells>
  <conditionalFormatting sqref="G1:G40 G43 G45:G48 G50:G73 G75:G1048576">
    <cfRule type="cellIs" dxfId="297" priority="6" operator="equal">
      <formula>"Test Leader"</formula>
    </cfRule>
  </conditionalFormatting>
  <conditionalFormatting sqref="G41">
    <cfRule type="cellIs" dxfId="296" priority="5" operator="equal">
      <formula>"Test Leader"</formula>
    </cfRule>
  </conditionalFormatting>
  <conditionalFormatting sqref="G44">
    <cfRule type="cellIs" dxfId="295" priority="4" operator="equal">
      <formula>"Test Leader"</formula>
    </cfRule>
  </conditionalFormatting>
  <conditionalFormatting sqref="G49">
    <cfRule type="cellIs" dxfId="294" priority="3" operator="equal">
      <formula>"Test Leader"</formula>
    </cfRule>
  </conditionalFormatting>
  <conditionalFormatting sqref="G74">
    <cfRule type="cellIs" dxfId="293" priority="2" operator="equal">
      <formula>"Test Leader"</formula>
    </cfRule>
  </conditionalFormatting>
  <conditionalFormatting sqref="G42">
    <cfRule type="cellIs" dxfId="292" priority="1" operator="equal">
      <formula>"Test Leader"</formula>
    </cfRule>
  </conditionalFormatting>
  <dataValidations count="2">
    <dataValidation type="list" allowBlank="1" showInputMessage="1" showErrorMessage="1" sqref="G2:G74">
      <formula1>"Same Project, Diff Project, Test Leader"</formula1>
    </dataValidation>
    <dataValidation type="list" allowBlank="1" showInputMessage="1" showErrorMessage="1" sqref="H2:H74">
      <formula1>"Evaluee, Part Leader"</formula1>
    </dataValidation>
  </dataValidations>
  <hyperlinks>
    <hyperlink ref="D6" r:id="rId1"/>
    <hyperlink ref="D10" r:id="rId2"/>
    <hyperlink ref="F2" r:id="rId3" display="mailto:Lan.hoang@lge.com"/>
    <hyperlink ref="F6" r:id="rId4" display="mailto:Lan.nguyen@lge.com"/>
    <hyperlink ref="F18" r:id="rId5" display="mailto:Cuong.tran@lge.com"/>
    <hyperlink ref="F22" r:id="rId6" display="mailto:Thuy1.le@lge.com"/>
    <hyperlink ref="F30" r:id="rId7" display="mailto:Kimoanh.nguyen@lge.com"/>
    <hyperlink ref="F34" r:id="rId8"/>
    <hyperlink ref="F38" r:id="rId9"/>
    <hyperlink ref="F46" r:id="rId10" display="mailto:Trang2.le@lge.com"/>
    <hyperlink ref="F63" r:id="rId11" display="mailto:Kimoanh.nguyen@lge.com"/>
    <hyperlink ref="F67" r:id="rId12" display="mailto:Phuong1.nguyen@lge.com"/>
    <hyperlink ref="F59" r:id="rId13"/>
    <hyperlink ref="F10" r:id="rId14" display="mailto:Lan.nguyen@lge.com"/>
    <hyperlink ref="F23" r:id="rId15"/>
    <hyperlink ref="F56" r:id="rId16"/>
    <hyperlink ref="F60" r:id="rId17"/>
    <hyperlink ref="F50" r:id="rId18" display="mailto:Thuy2.pham@lge.com"/>
    <hyperlink ref="F71" r:id="rId19"/>
    <hyperlink ref="F14" r:id="rId20"/>
    <hyperlink ref="F55" r:id="rId21" display="mailto:hoangphong.nguyen@lge.com"/>
    <hyperlink ref="F26" r:id="rId22" display="mailto:Lan.nguyen@lge.com"/>
    <hyperlink ref="F73" r:id="rId23" display="mailto:Lan.nguyen@lge.com"/>
    <hyperlink ref="F12" r:id="rId24" display="mailto:Lan.nguyen@lge.com"/>
    <hyperlink ref="F21" r:id="rId25" display="mailto:Phuong1.nguyen@lge.com"/>
    <hyperlink ref="F25" r:id="rId26" display="mailto:Lan.nguyen@lge.com"/>
    <hyperlink ref="F44" r:id="rId27" display="mailto:Lan.nguyen@lge.com"/>
    <hyperlink ref="F45" r:id="rId28" display="mailto:Lan.hoang@lge.com"/>
    <hyperlink ref="F70" r:id="rId29"/>
    <hyperlink ref="F74" r:id="rId30" display="mailto:hoangphong.nguyen@lge.com"/>
  </hyperlinks>
  <pageMargins left="0.7" right="0.7" top="0.75" bottom="0.75" header="0.3" footer="0.3"/>
  <pageSetup paperSize="9" orientation="portrait" r:id="rId3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8" tint="0.39997558519241921"/>
  </sheetPr>
  <dimension ref="A1:JY30"/>
  <sheetViews>
    <sheetView showGridLines="0" workbookViewId="0">
      <pane xSplit="4" ySplit="5" topLeftCell="E6" activePane="bottomRight" state="frozen"/>
      <selection pane="topRight" activeCell="E1" sqref="E1"/>
      <selection pane="bottomLeft" activeCell="A6" sqref="A6"/>
      <selection pane="bottomRight" activeCell="E28" sqref="E28"/>
    </sheetView>
  </sheetViews>
  <sheetFormatPr defaultRowHeight="14.4"/>
  <cols>
    <col min="1" max="1" width="3.109375" style="18" customWidth="1"/>
    <col min="2" max="2" width="6.109375" customWidth="1"/>
    <col min="3" max="3" width="8.88671875" customWidth="1"/>
    <col min="4" max="4" width="37.33203125" customWidth="1"/>
    <col min="5" max="5" width="21.44140625" customWidth="1"/>
    <col min="6" max="6" width="14.21875" customWidth="1"/>
    <col min="7" max="7" width="7" customWidth="1"/>
    <col min="8" max="9" width="7" style="76" customWidth="1"/>
    <col min="10" max="10" width="7" customWidth="1"/>
    <col min="11" max="12" width="7" style="76" customWidth="1"/>
    <col min="13" max="13" width="7" customWidth="1"/>
    <col min="14" max="15" width="7" style="76" customWidth="1"/>
    <col min="16" max="16" width="7" customWidth="1"/>
    <col min="17" max="18" width="7" style="76" customWidth="1"/>
    <col min="19" max="19" width="7" customWidth="1"/>
    <col min="20" max="21" width="7" style="76" customWidth="1"/>
    <col min="22" max="22" width="7" customWidth="1"/>
    <col min="23" max="24" width="7" style="76" customWidth="1"/>
    <col min="25" max="25" width="7" customWidth="1"/>
    <col min="26" max="27" width="7" style="76" customWidth="1"/>
    <col min="28" max="28" width="7" customWidth="1"/>
    <col min="29" max="30" width="7" style="76" customWidth="1"/>
    <col min="31" max="60" width="6.44140625" customWidth="1"/>
    <col min="61" max="89" width="7" customWidth="1"/>
    <col min="90" max="90" width="8.33203125" customWidth="1"/>
    <col min="91" max="91" width="7.5546875" customWidth="1"/>
    <col min="92" max="92" width="7" customWidth="1"/>
    <col min="93" max="93" width="6.33203125" customWidth="1"/>
    <col min="94" max="94" width="6.88671875" customWidth="1"/>
    <col min="95" max="95" width="7" customWidth="1"/>
    <col min="96" max="96" width="6.33203125" customWidth="1"/>
    <col min="97" max="100" width="7" customWidth="1"/>
    <col min="101" max="102" width="7" style="76" customWidth="1"/>
    <col min="103" max="103" width="7" customWidth="1"/>
    <col min="104" max="105" width="7" style="76" customWidth="1"/>
    <col min="106" max="106" width="7" customWidth="1"/>
    <col min="107" max="108" width="7" style="76" customWidth="1"/>
    <col min="109" max="109" width="7" customWidth="1"/>
    <col min="110" max="111" width="7" style="76" customWidth="1"/>
    <col min="112" max="112" width="7" customWidth="1"/>
    <col min="113" max="114" width="7" style="76" customWidth="1"/>
    <col min="115" max="115" width="7" customWidth="1"/>
    <col min="116" max="117" width="7" style="76" customWidth="1"/>
    <col min="118" max="118" width="7" customWidth="1"/>
    <col min="119" max="120" width="7" style="76" customWidth="1"/>
    <col min="121" max="121" width="7" customWidth="1"/>
    <col min="122" max="123" width="7" style="76" customWidth="1"/>
    <col min="124" max="124" width="7" customWidth="1"/>
    <col min="125" max="126" width="7" style="76" customWidth="1"/>
    <col min="127" max="127" width="7" customWidth="1"/>
    <col min="128" max="129" width="7" style="76" customWidth="1"/>
    <col min="130" max="159" width="6.44140625" customWidth="1"/>
    <col min="160" max="177" width="7" customWidth="1"/>
  </cols>
  <sheetData>
    <row r="1" spans="1:285" ht="19.8">
      <c r="G1" s="363" t="s">
        <v>215</v>
      </c>
      <c r="H1" s="363"/>
      <c r="I1" s="363"/>
      <c r="J1" s="363"/>
      <c r="K1" s="363"/>
      <c r="L1" s="363"/>
      <c r="M1" s="363"/>
      <c r="N1" s="363"/>
      <c r="O1" s="363"/>
      <c r="P1" s="363"/>
      <c r="Q1" s="363"/>
      <c r="R1" s="363"/>
      <c r="S1" s="363"/>
      <c r="T1" s="363"/>
      <c r="U1" s="363"/>
      <c r="V1" s="363"/>
      <c r="W1" s="363"/>
      <c r="X1" s="363"/>
      <c r="Y1" s="363"/>
      <c r="Z1" s="363"/>
      <c r="AA1" s="363"/>
      <c r="AB1" s="363"/>
      <c r="AC1" s="363"/>
      <c r="AD1" s="363"/>
      <c r="AE1" s="363"/>
      <c r="AF1" s="363"/>
      <c r="AG1" s="363"/>
      <c r="AH1" s="363"/>
      <c r="AI1" s="363"/>
      <c r="AJ1" s="363"/>
      <c r="AK1" s="363"/>
      <c r="AL1" s="363"/>
      <c r="AM1" s="363"/>
      <c r="AN1" s="363"/>
      <c r="AO1" s="363"/>
      <c r="AP1" s="363"/>
      <c r="AQ1" s="363"/>
      <c r="AR1" s="363"/>
      <c r="AS1" s="363"/>
      <c r="AT1" s="363"/>
      <c r="AU1" s="363"/>
      <c r="AV1" s="363"/>
      <c r="AW1" s="363"/>
      <c r="AX1" s="363"/>
      <c r="AY1" s="363"/>
      <c r="AZ1" s="363"/>
      <c r="BA1" s="363"/>
      <c r="BB1" s="363"/>
      <c r="BC1" s="363"/>
      <c r="BD1" s="363"/>
      <c r="BE1" s="363"/>
      <c r="BF1" s="363"/>
      <c r="BG1" s="363"/>
      <c r="BH1" s="363"/>
      <c r="DB1" s="364" t="s">
        <v>187</v>
      </c>
      <c r="DC1" s="364"/>
      <c r="DD1" s="364"/>
      <c r="DE1" s="364"/>
      <c r="DF1" s="364"/>
      <c r="DG1" s="364"/>
      <c r="DH1" s="364"/>
      <c r="DI1" s="364"/>
      <c r="DJ1" s="364"/>
      <c r="DK1" s="364"/>
      <c r="DL1" s="364"/>
      <c r="DM1" s="364"/>
      <c r="DN1" s="364"/>
      <c r="DO1" s="364"/>
      <c r="DP1" s="364"/>
      <c r="DQ1" s="364"/>
      <c r="DR1" s="364"/>
      <c r="DS1" s="364"/>
      <c r="DT1" s="364"/>
      <c r="DU1" s="364"/>
      <c r="DV1" s="364"/>
      <c r="DW1" s="364"/>
      <c r="DX1" s="364"/>
      <c r="DY1" s="364"/>
      <c r="DZ1" s="364"/>
      <c r="EA1" s="364"/>
      <c r="EB1" s="364"/>
      <c r="EC1" s="364"/>
      <c r="ED1" s="364"/>
      <c r="EE1" s="364"/>
      <c r="EF1" s="364"/>
      <c r="EG1" s="364"/>
      <c r="EH1" s="364"/>
      <c r="EI1" s="364"/>
      <c r="EJ1" s="364"/>
      <c r="EK1" s="364"/>
      <c r="EL1" s="364"/>
      <c r="EM1" s="364"/>
      <c r="EN1" s="364"/>
      <c r="EO1" s="364"/>
      <c r="EP1" s="364"/>
      <c r="EQ1" s="364"/>
      <c r="ER1" s="364"/>
      <c r="ES1" s="364"/>
      <c r="ET1" s="364"/>
      <c r="EU1" s="364"/>
      <c r="EV1" s="364"/>
      <c r="EW1" s="364"/>
      <c r="EX1" s="364"/>
      <c r="EY1" s="364"/>
      <c r="EZ1" s="364"/>
      <c r="FA1" s="364"/>
      <c r="FB1" s="364"/>
      <c r="FC1" s="364"/>
      <c r="FV1" s="357" t="s">
        <v>349</v>
      </c>
      <c r="FW1" s="357"/>
      <c r="FX1" s="357"/>
      <c r="FY1" s="357"/>
      <c r="FZ1" s="357"/>
      <c r="GA1" s="357"/>
      <c r="GB1" s="357"/>
      <c r="GC1" s="357"/>
      <c r="GD1" s="357"/>
      <c r="GE1" s="357"/>
      <c r="GF1" s="357"/>
      <c r="GG1" s="357"/>
      <c r="GH1" s="357"/>
      <c r="GI1" s="357"/>
      <c r="GJ1" s="357"/>
      <c r="GK1" s="357"/>
      <c r="GL1" s="357"/>
      <c r="GM1" s="357"/>
      <c r="GN1" s="357"/>
      <c r="GO1" s="357"/>
      <c r="GP1" s="357"/>
      <c r="GQ1" s="357"/>
      <c r="GR1" s="357"/>
      <c r="GS1" s="357"/>
      <c r="GT1" s="357"/>
      <c r="GU1" s="357"/>
      <c r="GV1" s="357"/>
      <c r="GW1" s="357"/>
      <c r="GX1" s="357"/>
      <c r="GY1" s="357"/>
      <c r="GZ1" s="357"/>
      <c r="HA1" s="357"/>
      <c r="HB1" s="357"/>
      <c r="HC1" s="357"/>
      <c r="HD1" s="357"/>
      <c r="HE1" s="357"/>
      <c r="HF1" s="357"/>
      <c r="HG1" s="357"/>
      <c r="HH1" s="357"/>
      <c r="HI1" s="357"/>
      <c r="HJ1" s="357"/>
      <c r="HK1" s="357"/>
      <c r="HL1" s="357"/>
      <c r="HM1" s="357"/>
      <c r="HN1" s="357"/>
      <c r="HO1" s="357"/>
      <c r="HP1" s="357"/>
      <c r="HQ1" s="357"/>
      <c r="HR1" s="357"/>
      <c r="HS1" s="357"/>
      <c r="HT1" s="357"/>
      <c r="HU1" s="357"/>
      <c r="HV1" s="357"/>
      <c r="HW1" s="357"/>
      <c r="HX1" s="336" t="s">
        <v>359</v>
      </c>
      <c r="HY1" s="336"/>
      <c r="HZ1" s="336"/>
      <c r="IA1" s="336"/>
      <c r="IB1" s="336"/>
      <c r="IC1" s="336"/>
      <c r="ID1" s="336"/>
      <c r="IE1" s="336"/>
      <c r="IF1" s="336"/>
      <c r="IG1" s="336"/>
      <c r="IH1" s="336"/>
      <c r="II1" s="336"/>
      <c r="IJ1" s="336"/>
      <c r="IK1" s="336"/>
      <c r="IL1" s="336"/>
      <c r="IM1" s="336"/>
      <c r="IN1" s="336"/>
      <c r="IO1" s="336"/>
      <c r="IP1" s="336"/>
      <c r="IQ1" s="336"/>
      <c r="IR1" s="336"/>
      <c r="IS1" s="336"/>
      <c r="IT1" s="336"/>
      <c r="IU1" s="336"/>
      <c r="IV1" s="336"/>
      <c r="IW1" s="336"/>
      <c r="IX1" s="336"/>
      <c r="IY1" s="336"/>
      <c r="IZ1" s="336"/>
      <c r="JA1" s="336"/>
      <c r="JB1" s="336"/>
      <c r="JC1" s="336"/>
      <c r="JD1" s="336"/>
      <c r="JE1" s="336"/>
      <c r="JF1" s="336"/>
      <c r="JG1" s="336"/>
      <c r="JH1" s="336"/>
      <c r="JI1" s="336"/>
      <c r="JJ1" s="336"/>
      <c r="JK1" s="336"/>
      <c r="JL1" s="336"/>
      <c r="JM1" s="336"/>
      <c r="JN1" s="336"/>
      <c r="JO1" s="336"/>
      <c r="JP1" s="336"/>
      <c r="JQ1" s="336"/>
      <c r="JR1" s="336"/>
      <c r="JS1" s="336"/>
      <c r="JT1" s="336"/>
      <c r="JU1" s="336"/>
      <c r="JV1" s="336"/>
      <c r="JW1" s="336"/>
      <c r="JX1" s="336"/>
      <c r="JY1" s="336"/>
    </row>
    <row r="2" spans="1:285">
      <c r="A2" s="176"/>
      <c r="B2" s="49"/>
      <c r="C2" s="179"/>
      <c r="D2" s="179"/>
      <c r="E2" s="179"/>
      <c r="F2" s="179"/>
      <c r="G2" s="337" t="s">
        <v>35</v>
      </c>
      <c r="H2" s="338"/>
      <c r="I2" s="338"/>
      <c r="J2" s="338"/>
      <c r="K2" s="338"/>
      <c r="L2" s="338"/>
      <c r="M2" s="338"/>
      <c r="N2" s="338"/>
      <c r="O2" s="338"/>
      <c r="P2" s="338"/>
      <c r="Q2" s="338"/>
      <c r="R2" s="338"/>
      <c r="S2" s="338"/>
      <c r="T2" s="338"/>
      <c r="U2" s="338"/>
      <c r="V2" s="338"/>
      <c r="W2" s="338"/>
      <c r="X2" s="338"/>
      <c r="Y2" s="338"/>
      <c r="Z2" s="338"/>
      <c r="AA2" s="338"/>
      <c r="AB2" s="338"/>
      <c r="AC2" s="338"/>
      <c r="AD2" s="339"/>
      <c r="AE2" s="340" t="s">
        <v>146</v>
      </c>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2"/>
      <c r="BI2" s="368" t="s">
        <v>34</v>
      </c>
      <c r="BJ2" s="369"/>
      <c r="BK2" s="369"/>
      <c r="BL2" s="369"/>
      <c r="BM2" s="369"/>
      <c r="BN2" s="369"/>
      <c r="BO2" s="369"/>
      <c r="BP2" s="369"/>
      <c r="BQ2" s="369"/>
      <c r="BR2" s="369"/>
      <c r="BS2" s="369"/>
      <c r="BT2" s="369"/>
      <c r="BU2" s="369"/>
      <c r="BV2" s="369"/>
      <c r="BW2" s="369"/>
      <c r="BX2" s="369"/>
      <c r="BY2" s="369"/>
      <c r="BZ2" s="369"/>
      <c r="CA2" s="369"/>
      <c r="CB2" s="369"/>
      <c r="CC2" s="369"/>
      <c r="CD2" s="369"/>
      <c r="CE2" s="369"/>
      <c r="CF2" s="369"/>
      <c r="CG2" s="369"/>
      <c r="CH2" s="369"/>
      <c r="CI2" s="370"/>
      <c r="CJ2" s="371" t="s">
        <v>55</v>
      </c>
      <c r="CK2" s="371"/>
      <c r="CL2" s="371"/>
      <c r="CM2" s="371"/>
      <c r="CN2" s="371"/>
      <c r="CO2" s="371"/>
      <c r="CP2" s="371"/>
      <c r="CQ2" s="371"/>
      <c r="CR2" s="371"/>
      <c r="CS2" s="378"/>
      <c r="CT2" s="379"/>
      <c r="CU2" s="380"/>
      <c r="CV2" s="372" t="s">
        <v>179</v>
      </c>
      <c r="CW2" s="373"/>
      <c r="CX2" s="373"/>
      <c r="CY2" s="373"/>
      <c r="CZ2" s="373"/>
      <c r="DA2" s="373"/>
      <c r="DB2" s="337" t="s">
        <v>35</v>
      </c>
      <c r="DC2" s="338"/>
      <c r="DD2" s="338"/>
      <c r="DE2" s="338"/>
      <c r="DF2" s="338"/>
      <c r="DG2" s="338"/>
      <c r="DH2" s="338"/>
      <c r="DI2" s="338"/>
      <c r="DJ2" s="338"/>
      <c r="DK2" s="338"/>
      <c r="DL2" s="338"/>
      <c r="DM2" s="338"/>
      <c r="DN2" s="338"/>
      <c r="DO2" s="338"/>
      <c r="DP2" s="338"/>
      <c r="DQ2" s="338"/>
      <c r="DR2" s="338"/>
      <c r="DS2" s="338"/>
      <c r="DT2" s="338"/>
      <c r="DU2" s="338"/>
      <c r="DV2" s="338"/>
      <c r="DW2" s="338"/>
      <c r="DX2" s="338"/>
      <c r="DY2" s="339"/>
      <c r="DZ2" s="340" t="s">
        <v>146</v>
      </c>
      <c r="EA2" s="341"/>
      <c r="EB2" s="341"/>
      <c r="EC2" s="341"/>
      <c r="ED2" s="341"/>
      <c r="EE2" s="341"/>
      <c r="EF2" s="341"/>
      <c r="EG2" s="341"/>
      <c r="EH2" s="341"/>
      <c r="EI2" s="341"/>
      <c r="EJ2" s="341"/>
      <c r="EK2" s="341"/>
      <c r="EL2" s="341"/>
      <c r="EM2" s="341"/>
      <c r="EN2" s="341"/>
      <c r="EO2" s="341"/>
      <c r="EP2" s="341"/>
      <c r="EQ2" s="341"/>
      <c r="ER2" s="341"/>
      <c r="ES2" s="341"/>
      <c r="ET2" s="341"/>
      <c r="EU2" s="341"/>
      <c r="EV2" s="341"/>
      <c r="EW2" s="341"/>
      <c r="EX2" s="341"/>
      <c r="EY2" s="341"/>
      <c r="EZ2" s="341"/>
      <c r="FA2" s="341"/>
      <c r="FB2" s="341"/>
      <c r="FC2" s="342"/>
      <c r="FD2" s="368" t="s">
        <v>190</v>
      </c>
      <c r="FE2" s="369"/>
      <c r="FF2" s="369"/>
      <c r="FG2" s="369"/>
      <c r="FH2" s="369"/>
      <c r="FI2" s="369"/>
      <c r="FJ2" s="369"/>
      <c r="FK2" s="369"/>
      <c r="FL2" s="369"/>
      <c r="FM2" s="369"/>
      <c r="FN2" s="369"/>
      <c r="FO2" s="369"/>
      <c r="FP2" s="369"/>
      <c r="FQ2" s="369"/>
      <c r="FR2" s="369"/>
      <c r="FS2" s="369"/>
      <c r="FT2" s="369"/>
      <c r="FU2" s="369"/>
      <c r="FV2" s="337" t="s">
        <v>35</v>
      </c>
      <c r="FW2" s="338"/>
      <c r="FX2" s="338"/>
      <c r="FY2" s="338"/>
      <c r="FZ2" s="338"/>
      <c r="GA2" s="338"/>
      <c r="GB2" s="338"/>
      <c r="GC2" s="338"/>
      <c r="GD2" s="338"/>
      <c r="GE2" s="338"/>
      <c r="GF2" s="338"/>
      <c r="GG2" s="338"/>
      <c r="GH2" s="338"/>
      <c r="GI2" s="338"/>
      <c r="GJ2" s="338"/>
      <c r="GK2" s="338"/>
      <c r="GL2" s="338"/>
      <c r="GM2" s="338"/>
      <c r="GN2" s="338"/>
      <c r="GO2" s="338"/>
      <c r="GP2" s="338"/>
      <c r="GQ2" s="338"/>
      <c r="GR2" s="338"/>
      <c r="GS2" s="339"/>
      <c r="GT2" s="340" t="s">
        <v>146</v>
      </c>
      <c r="GU2" s="341"/>
      <c r="GV2" s="341"/>
      <c r="GW2" s="341"/>
      <c r="GX2" s="341"/>
      <c r="GY2" s="341"/>
      <c r="GZ2" s="341"/>
      <c r="HA2" s="341"/>
      <c r="HB2" s="341"/>
      <c r="HC2" s="341"/>
      <c r="HD2" s="341"/>
      <c r="HE2" s="341"/>
      <c r="HF2" s="341"/>
      <c r="HG2" s="341"/>
      <c r="HH2" s="341"/>
      <c r="HI2" s="341"/>
      <c r="HJ2" s="341"/>
      <c r="HK2" s="341"/>
      <c r="HL2" s="341"/>
      <c r="HM2" s="341"/>
      <c r="HN2" s="341"/>
      <c r="HO2" s="341"/>
      <c r="HP2" s="341"/>
      <c r="HQ2" s="341"/>
      <c r="HR2" s="341"/>
      <c r="HS2" s="341"/>
      <c r="HT2" s="341"/>
      <c r="HU2" s="341"/>
      <c r="HV2" s="341"/>
      <c r="HW2" s="342"/>
      <c r="HX2" s="337" t="s">
        <v>35</v>
      </c>
      <c r="HY2" s="338"/>
      <c r="HZ2" s="338"/>
      <c r="IA2" s="338"/>
      <c r="IB2" s="338"/>
      <c r="IC2" s="338"/>
      <c r="ID2" s="338"/>
      <c r="IE2" s="338"/>
      <c r="IF2" s="338"/>
      <c r="IG2" s="338"/>
      <c r="IH2" s="338"/>
      <c r="II2" s="338"/>
      <c r="IJ2" s="338"/>
      <c r="IK2" s="338"/>
      <c r="IL2" s="338"/>
      <c r="IM2" s="338"/>
      <c r="IN2" s="338"/>
      <c r="IO2" s="338"/>
      <c r="IP2" s="338"/>
      <c r="IQ2" s="338"/>
      <c r="IR2" s="338"/>
      <c r="IS2" s="338"/>
      <c r="IT2" s="338"/>
      <c r="IU2" s="339"/>
      <c r="IV2" s="340" t="s">
        <v>146</v>
      </c>
      <c r="IW2" s="341"/>
      <c r="IX2" s="341"/>
      <c r="IY2" s="341"/>
      <c r="IZ2" s="341"/>
      <c r="JA2" s="341"/>
      <c r="JB2" s="341"/>
      <c r="JC2" s="341"/>
      <c r="JD2" s="341"/>
      <c r="JE2" s="341"/>
      <c r="JF2" s="341"/>
      <c r="JG2" s="341"/>
      <c r="JH2" s="341"/>
      <c r="JI2" s="341"/>
      <c r="JJ2" s="341"/>
      <c r="JK2" s="341"/>
      <c r="JL2" s="341"/>
      <c r="JM2" s="341"/>
      <c r="JN2" s="341"/>
      <c r="JO2" s="341"/>
      <c r="JP2" s="341"/>
      <c r="JQ2" s="341"/>
      <c r="JR2" s="341"/>
      <c r="JS2" s="341"/>
      <c r="JT2" s="341"/>
      <c r="JU2" s="341"/>
      <c r="JV2" s="341"/>
      <c r="JW2" s="341"/>
      <c r="JX2" s="341"/>
      <c r="JY2" s="342"/>
    </row>
    <row r="3" spans="1:285" s="38" customFormat="1" ht="38.25" customHeight="1">
      <c r="A3" s="358"/>
      <c r="B3" s="358"/>
      <c r="C3" s="362" t="s">
        <v>0</v>
      </c>
      <c r="D3" s="362" t="s">
        <v>44</v>
      </c>
      <c r="E3" s="362" t="s">
        <v>30</v>
      </c>
      <c r="F3" s="362" t="s">
        <v>32</v>
      </c>
      <c r="G3" s="343" t="s">
        <v>23</v>
      </c>
      <c r="H3" s="344"/>
      <c r="I3" s="345"/>
      <c r="J3" s="346" t="s">
        <v>293</v>
      </c>
      <c r="K3" s="347"/>
      <c r="L3" s="348"/>
      <c r="M3" s="346" t="s">
        <v>292</v>
      </c>
      <c r="N3" s="347"/>
      <c r="O3" s="348"/>
      <c r="P3" s="343" t="s">
        <v>20</v>
      </c>
      <c r="Q3" s="344"/>
      <c r="R3" s="345"/>
      <c r="S3" s="343" t="s">
        <v>242</v>
      </c>
      <c r="T3" s="344"/>
      <c r="U3" s="345"/>
      <c r="V3" s="343" t="s">
        <v>244</v>
      </c>
      <c r="W3" s="344"/>
      <c r="X3" s="345"/>
      <c r="Y3" s="346" t="s">
        <v>294</v>
      </c>
      <c r="Z3" s="347"/>
      <c r="AA3" s="348"/>
      <c r="AB3" s="346" t="s">
        <v>301</v>
      </c>
      <c r="AC3" s="347"/>
      <c r="AD3" s="348"/>
      <c r="AE3" s="330" t="s">
        <v>237</v>
      </c>
      <c r="AF3" s="331"/>
      <c r="AG3" s="332"/>
      <c r="AH3" s="330" t="s">
        <v>42</v>
      </c>
      <c r="AI3" s="331"/>
      <c r="AJ3" s="332"/>
      <c r="AK3" s="346" t="s">
        <v>295</v>
      </c>
      <c r="AL3" s="347"/>
      <c r="AM3" s="348"/>
      <c r="AN3" s="330" t="s">
        <v>40</v>
      </c>
      <c r="AO3" s="331"/>
      <c r="AP3" s="332"/>
      <c r="AQ3" s="352" t="s">
        <v>297</v>
      </c>
      <c r="AR3" s="353"/>
      <c r="AS3" s="354"/>
      <c r="AT3" s="330" t="s">
        <v>38</v>
      </c>
      <c r="AU3" s="331"/>
      <c r="AV3" s="332"/>
      <c r="AW3" s="330" t="s">
        <v>247</v>
      </c>
      <c r="AX3" s="331"/>
      <c r="AY3" s="332"/>
      <c r="AZ3" s="330" t="s">
        <v>269</v>
      </c>
      <c r="BA3" s="331"/>
      <c r="BB3" s="332"/>
      <c r="BC3" s="330" t="s">
        <v>172</v>
      </c>
      <c r="BD3" s="331"/>
      <c r="BE3" s="332"/>
      <c r="BF3" s="330" t="s">
        <v>173</v>
      </c>
      <c r="BG3" s="331"/>
      <c r="BH3" s="332"/>
      <c r="BI3" s="359" t="s">
        <v>49</v>
      </c>
      <c r="BJ3" s="360"/>
      <c r="BK3" s="361"/>
      <c r="BL3" s="359" t="s">
        <v>263</v>
      </c>
      <c r="BM3" s="360"/>
      <c r="BN3" s="361"/>
      <c r="BO3" s="359" t="s">
        <v>261</v>
      </c>
      <c r="BP3" s="360"/>
      <c r="BQ3" s="361"/>
      <c r="BR3" s="359" t="s">
        <v>259</v>
      </c>
      <c r="BS3" s="360"/>
      <c r="BT3" s="361"/>
      <c r="BU3" s="359" t="s">
        <v>53</v>
      </c>
      <c r="BV3" s="360"/>
      <c r="BW3" s="361"/>
      <c r="BX3" s="346" t="s">
        <v>298</v>
      </c>
      <c r="BY3" s="347"/>
      <c r="BZ3" s="348"/>
      <c r="CA3" s="359" t="s">
        <v>54</v>
      </c>
      <c r="CB3" s="360"/>
      <c r="CC3" s="361"/>
      <c r="CD3" s="359" t="s">
        <v>360</v>
      </c>
      <c r="CE3" s="360"/>
      <c r="CF3" s="361"/>
      <c r="CG3" s="359" t="s">
        <v>29</v>
      </c>
      <c r="CH3" s="360"/>
      <c r="CI3" s="361"/>
      <c r="CJ3" s="365" t="s">
        <v>254</v>
      </c>
      <c r="CK3" s="366"/>
      <c r="CL3" s="367"/>
      <c r="CM3" s="365" t="s">
        <v>181</v>
      </c>
      <c r="CN3" s="366"/>
      <c r="CO3" s="367"/>
      <c r="CP3" s="365" t="s">
        <v>182</v>
      </c>
      <c r="CQ3" s="366"/>
      <c r="CR3" s="367"/>
      <c r="CS3" s="374" t="s">
        <v>48</v>
      </c>
      <c r="CT3" s="374"/>
      <c r="CU3" s="374"/>
      <c r="CV3" s="375" t="s">
        <v>171</v>
      </c>
      <c r="CW3" s="376"/>
      <c r="CX3" s="377"/>
      <c r="CY3" s="375" t="s">
        <v>186</v>
      </c>
      <c r="CZ3" s="376"/>
      <c r="DA3" s="377"/>
      <c r="DB3" s="343" t="s">
        <v>23</v>
      </c>
      <c r="DC3" s="344"/>
      <c r="DD3" s="345"/>
      <c r="DE3" s="346" t="s">
        <v>293</v>
      </c>
      <c r="DF3" s="347"/>
      <c r="DG3" s="348"/>
      <c r="DH3" s="346" t="s">
        <v>292</v>
      </c>
      <c r="DI3" s="347"/>
      <c r="DJ3" s="348"/>
      <c r="DK3" s="343" t="s">
        <v>20</v>
      </c>
      <c r="DL3" s="344"/>
      <c r="DM3" s="345"/>
      <c r="DN3" s="349" t="s">
        <v>242</v>
      </c>
      <c r="DO3" s="350"/>
      <c r="DP3" s="351"/>
      <c r="DQ3" s="349" t="s">
        <v>244</v>
      </c>
      <c r="DR3" s="350"/>
      <c r="DS3" s="351"/>
      <c r="DT3" s="346" t="s">
        <v>294</v>
      </c>
      <c r="DU3" s="347"/>
      <c r="DV3" s="348"/>
      <c r="DW3" s="346" t="s">
        <v>301</v>
      </c>
      <c r="DX3" s="347"/>
      <c r="DY3" s="348"/>
      <c r="DZ3" s="330" t="s">
        <v>237</v>
      </c>
      <c r="EA3" s="331"/>
      <c r="EB3" s="332"/>
      <c r="EC3" s="330" t="s">
        <v>42</v>
      </c>
      <c r="ED3" s="331"/>
      <c r="EE3" s="332"/>
      <c r="EF3" s="352" t="s">
        <v>295</v>
      </c>
      <c r="EG3" s="353"/>
      <c r="EH3" s="354"/>
      <c r="EI3" s="330" t="s">
        <v>40</v>
      </c>
      <c r="EJ3" s="331"/>
      <c r="EK3" s="332"/>
      <c r="EL3" s="352" t="s">
        <v>297</v>
      </c>
      <c r="EM3" s="353"/>
      <c r="EN3" s="354"/>
      <c r="EO3" s="330" t="s">
        <v>38</v>
      </c>
      <c r="EP3" s="331"/>
      <c r="EQ3" s="332"/>
      <c r="ER3" s="330" t="s">
        <v>247</v>
      </c>
      <c r="ES3" s="331"/>
      <c r="ET3" s="332"/>
      <c r="EU3" s="330" t="s">
        <v>269</v>
      </c>
      <c r="EV3" s="331"/>
      <c r="EW3" s="332"/>
      <c r="EX3" s="330" t="s">
        <v>172</v>
      </c>
      <c r="EY3" s="331"/>
      <c r="EZ3" s="332"/>
      <c r="FA3" s="333" t="s">
        <v>48</v>
      </c>
      <c r="FB3" s="334"/>
      <c r="FC3" s="335"/>
      <c r="FD3" s="359" t="s">
        <v>191</v>
      </c>
      <c r="FE3" s="360"/>
      <c r="FF3" s="361"/>
      <c r="FG3" s="359" t="s">
        <v>192</v>
      </c>
      <c r="FH3" s="360"/>
      <c r="FI3" s="361"/>
      <c r="FJ3" s="359" t="s">
        <v>193</v>
      </c>
      <c r="FK3" s="360"/>
      <c r="FL3" s="361"/>
      <c r="FM3" s="359" t="s">
        <v>194</v>
      </c>
      <c r="FN3" s="360"/>
      <c r="FO3" s="361"/>
      <c r="FP3" s="359" t="s">
        <v>198</v>
      </c>
      <c r="FQ3" s="360"/>
      <c r="FR3" s="361"/>
      <c r="FS3" s="359" t="s">
        <v>199</v>
      </c>
      <c r="FT3" s="360"/>
      <c r="FU3" s="361"/>
      <c r="FV3" s="343" t="s">
        <v>23</v>
      </c>
      <c r="FW3" s="344"/>
      <c r="FX3" s="345"/>
      <c r="FY3" s="346" t="s">
        <v>293</v>
      </c>
      <c r="FZ3" s="347"/>
      <c r="GA3" s="348"/>
      <c r="GB3" s="346" t="s">
        <v>292</v>
      </c>
      <c r="GC3" s="347"/>
      <c r="GD3" s="348"/>
      <c r="GE3" s="343" t="s">
        <v>20</v>
      </c>
      <c r="GF3" s="344"/>
      <c r="GG3" s="345"/>
      <c r="GH3" s="349" t="s">
        <v>242</v>
      </c>
      <c r="GI3" s="350"/>
      <c r="GJ3" s="351"/>
      <c r="GK3" s="349" t="s">
        <v>244</v>
      </c>
      <c r="GL3" s="350"/>
      <c r="GM3" s="351"/>
      <c r="GN3" s="346" t="s">
        <v>294</v>
      </c>
      <c r="GO3" s="347"/>
      <c r="GP3" s="348"/>
      <c r="GQ3" s="346" t="s">
        <v>301</v>
      </c>
      <c r="GR3" s="347"/>
      <c r="GS3" s="348"/>
      <c r="GT3" s="330" t="s">
        <v>237</v>
      </c>
      <c r="GU3" s="331"/>
      <c r="GV3" s="332"/>
      <c r="GW3" s="330" t="s">
        <v>42</v>
      </c>
      <c r="GX3" s="331"/>
      <c r="GY3" s="332"/>
      <c r="GZ3" s="352" t="s">
        <v>295</v>
      </c>
      <c r="HA3" s="353"/>
      <c r="HB3" s="354"/>
      <c r="HC3" s="330" t="s">
        <v>40</v>
      </c>
      <c r="HD3" s="331"/>
      <c r="HE3" s="332"/>
      <c r="HF3" s="352" t="s">
        <v>297</v>
      </c>
      <c r="HG3" s="353"/>
      <c r="HH3" s="354"/>
      <c r="HI3" s="330" t="s">
        <v>38</v>
      </c>
      <c r="HJ3" s="331"/>
      <c r="HK3" s="332"/>
      <c r="HL3" s="330" t="s">
        <v>247</v>
      </c>
      <c r="HM3" s="331"/>
      <c r="HN3" s="332"/>
      <c r="HO3" s="330" t="s">
        <v>269</v>
      </c>
      <c r="HP3" s="331"/>
      <c r="HQ3" s="332"/>
      <c r="HR3" s="330" t="s">
        <v>172</v>
      </c>
      <c r="HS3" s="331"/>
      <c r="HT3" s="332"/>
      <c r="HU3" s="333" t="s">
        <v>48</v>
      </c>
      <c r="HV3" s="355"/>
      <c r="HW3" s="356"/>
      <c r="HX3" s="343" t="s">
        <v>23</v>
      </c>
      <c r="HY3" s="344"/>
      <c r="HZ3" s="345"/>
      <c r="IA3" s="346" t="s">
        <v>293</v>
      </c>
      <c r="IB3" s="347"/>
      <c r="IC3" s="348"/>
      <c r="ID3" s="346" t="s">
        <v>292</v>
      </c>
      <c r="IE3" s="347"/>
      <c r="IF3" s="348"/>
      <c r="IG3" s="343" t="s">
        <v>20</v>
      </c>
      <c r="IH3" s="344"/>
      <c r="II3" s="345"/>
      <c r="IJ3" s="349" t="s">
        <v>242</v>
      </c>
      <c r="IK3" s="350"/>
      <c r="IL3" s="351"/>
      <c r="IM3" s="349" t="s">
        <v>244</v>
      </c>
      <c r="IN3" s="350"/>
      <c r="IO3" s="351"/>
      <c r="IP3" s="346" t="s">
        <v>294</v>
      </c>
      <c r="IQ3" s="347"/>
      <c r="IR3" s="348"/>
      <c r="IS3" s="346" t="s">
        <v>301</v>
      </c>
      <c r="IT3" s="347"/>
      <c r="IU3" s="348"/>
      <c r="IV3" s="330" t="s">
        <v>237</v>
      </c>
      <c r="IW3" s="331"/>
      <c r="IX3" s="332"/>
      <c r="IY3" s="330" t="s">
        <v>42</v>
      </c>
      <c r="IZ3" s="331"/>
      <c r="JA3" s="332"/>
      <c r="JB3" s="352" t="s">
        <v>295</v>
      </c>
      <c r="JC3" s="353"/>
      <c r="JD3" s="354"/>
      <c r="JE3" s="330" t="s">
        <v>40</v>
      </c>
      <c r="JF3" s="331"/>
      <c r="JG3" s="332"/>
      <c r="JH3" s="352" t="s">
        <v>297</v>
      </c>
      <c r="JI3" s="353"/>
      <c r="JJ3" s="354"/>
      <c r="JK3" s="330" t="s">
        <v>38</v>
      </c>
      <c r="JL3" s="331"/>
      <c r="JM3" s="332"/>
      <c r="JN3" s="330" t="s">
        <v>247</v>
      </c>
      <c r="JO3" s="331"/>
      <c r="JP3" s="332"/>
      <c r="JQ3" s="330" t="s">
        <v>269</v>
      </c>
      <c r="JR3" s="331"/>
      <c r="JS3" s="332"/>
      <c r="JT3" s="330" t="s">
        <v>172</v>
      </c>
      <c r="JU3" s="331"/>
      <c r="JV3" s="332"/>
      <c r="JW3" s="333" t="s">
        <v>48</v>
      </c>
      <c r="JX3" s="334"/>
      <c r="JY3" s="335"/>
    </row>
    <row r="4" spans="1:285" s="77" customFormat="1" ht="13.2" customHeight="1">
      <c r="A4" s="358"/>
      <c r="B4" s="358"/>
      <c r="C4" s="362"/>
      <c r="D4" s="362"/>
      <c r="E4" s="362"/>
      <c r="F4" s="362"/>
      <c r="G4" s="78" t="s">
        <v>163</v>
      </c>
      <c r="H4" s="79" t="s">
        <v>1</v>
      </c>
      <c r="I4" s="79" t="s">
        <v>145</v>
      </c>
      <c r="J4" s="78" t="s">
        <v>163</v>
      </c>
      <c r="K4" s="79" t="s">
        <v>1</v>
      </c>
      <c r="L4" s="79" t="s">
        <v>145</v>
      </c>
      <c r="M4" s="78" t="s">
        <v>163</v>
      </c>
      <c r="N4" s="79" t="s">
        <v>1</v>
      </c>
      <c r="O4" s="79" t="s">
        <v>145</v>
      </c>
      <c r="P4" s="78" t="s">
        <v>163</v>
      </c>
      <c r="Q4" s="79" t="s">
        <v>1</v>
      </c>
      <c r="R4" s="79" t="s">
        <v>145</v>
      </c>
      <c r="S4" s="78" t="s">
        <v>163</v>
      </c>
      <c r="T4" s="79" t="s">
        <v>1</v>
      </c>
      <c r="U4" s="79" t="s">
        <v>145</v>
      </c>
      <c r="V4" s="78" t="s">
        <v>163</v>
      </c>
      <c r="W4" s="79" t="s">
        <v>1</v>
      </c>
      <c r="X4" s="79" t="s">
        <v>145</v>
      </c>
      <c r="Y4" s="78" t="s">
        <v>163</v>
      </c>
      <c r="Z4" s="79" t="s">
        <v>1</v>
      </c>
      <c r="AA4" s="79" t="s">
        <v>145</v>
      </c>
      <c r="AB4" s="182" t="s">
        <v>163</v>
      </c>
      <c r="AC4" s="183" t="s">
        <v>1</v>
      </c>
      <c r="AD4" s="183" t="s">
        <v>145</v>
      </c>
      <c r="AE4" s="80" t="s">
        <v>163</v>
      </c>
      <c r="AF4" s="80" t="s">
        <v>1</v>
      </c>
      <c r="AG4" s="80" t="s">
        <v>145</v>
      </c>
      <c r="AH4" s="80" t="s">
        <v>163</v>
      </c>
      <c r="AI4" s="80" t="s">
        <v>1</v>
      </c>
      <c r="AJ4" s="80" t="s">
        <v>145</v>
      </c>
      <c r="AK4" s="184" t="s">
        <v>163</v>
      </c>
      <c r="AL4" s="184" t="s">
        <v>1</v>
      </c>
      <c r="AM4" s="184" t="s">
        <v>145</v>
      </c>
      <c r="AN4" s="80" t="s">
        <v>163</v>
      </c>
      <c r="AO4" s="80" t="s">
        <v>1</v>
      </c>
      <c r="AP4" s="80" t="s">
        <v>145</v>
      </c>
      <c r="AQ4" s="184" t="s">
        <v>163</v>
      </c>
      <c r="AR4" s="184" t="s">
        <v>1</v>
      </c>
      <c r="AS4" s="184" t="s">
        <v>145</v>
      </c>
      <c r="AT4" s="80" t="s">
        <v>163</v>
      </c>
      <c r="AU4" s="80" t="s">
        <v>1</v>
      </c>
      <c r="AV4" s="80" t="s">
        <v>145</v>
      </c>
      <c r="AW4" s="80" t="s">
        <v>163</v>
      </c>
      <c r="AX4" s="80" t="s">
        <v>1</v>
      </c>
      <c r="AY4" s="80" t="s">
        <v>145</v>
      </c>
      <c r="AZ4" s="80" t="s">
        <v>163</v>
      </c>
      <c r="BA4" s="80" t="s">
        <v>1</v>
      </c>
      <c r="BB4" s="80" t="s">
        <v>145</v>
      </c>
      <c r="BC4" s="80" t="s">
        <v>163</v>
      </c>
      <c r="BD4" s="80" t="s">
        <v>1</v>
      </c>
      <c r="BE4" s="80" t="s">
        <v>145</v>
      </c>
      <c r="BF4" s="80" t="s">
        <v>163</v>
      </c>
      <c r="BG4" s="80" t="s">
        <v>1</v>
      </c>
      <c r="BH4" s="80" t="s">
        <v>145</v>
      </c>
      <c r="BI4" s="81" t="s">
        <v>163</v>
      </c>
      <c r="BJ4" s="81" t="s">
        <v>1</v>
      </c>
      <c r="BK4" s="81" t="s">
        <v>145</v>
      </c>
      <c r="BL4" s="81" t="s">
        <v>163</v>
      </c>
      <c r="BM4" s="81" t="s">
        <v>1</v>
      </c>
      <c r="BN4" s="81" t="s">
        <v>145</v>
      </c>
      <c r="BO4" s="81" t="s">
        <v>163</v>
      </c>
      <c r="BP4" s="81" t="s">
        <v>1</v>
      </c>
      <c r="BQ4" s="81" t="s">
        <v>145</v>
      </c>
      <c r="BR4" s="81" t="s">
        <v>163</v>
      </c>
      <c r="BS4" s="81" t="s">
        <v>1</v>
      </c>
      <c r="BT4" s="81" t="s">
        <v>145</v>
      </c>
      <c r="BU4" s="81" t="s">
        <v>163</v>
      </c>
      <c r="BV4" s="81" t="s">
        <v>1</v>
      </c>
      <c r="BW4" s="81" t="s">
        <v>145</v>
      </c>
      <c r="BX4" s="81" t="s">
        <v>163</v>
      </c>
      <c r="BY4" s="81" t="s">
        <v>1</v>
      </c>
      <c r="BZ4" s="81" t="s">
        <v>145</v>
      </c>
      <c r="CA4" s="81" t="s">
        <v>163</v>
      </c>
      <c r="CB4" s="81" t="s">
        <v>1</v>
      </c>
      <c r="CC4" s="81" t="s">
        <v>145</v>
      </c>
      <c r="CD4" s="81" t="s">
        <v>163</v>
      </c>
      <c r="CE4" s="81" t="s">
        <v>1</v>
      </c>
      <c r="CF4" s="81" t="s">
        <v>145</v>
      </c>
      <c r="CG4" s="81" t="s">
        <v>163</v>
      </c>
      <c r="CH4" s="81" t="s">
        <v>1</v>
      </c>
      <c r="CI4" s="81" t="s">
        <v>145</v>
      </c>
      <c r="CJ4" s="91" t="s">
        <v>163</v>
      </c>
      <c r="CK4" s="91" t="s">
        <v>1</v>
      </c>
      <c r="CL4" s="91" t="s">
        <v>145</v>
      </c>
      <c r="CM4" s="91" t="s">
        <v>163</v>
      </c>
      <c r="CN4" s="91" t="s">
        <v>1</v>
      </c>
      <c r="CO4" s="91" t="s">
        <v>145</v>
      </c>
      <c r="CP4" s="91" t="s">
        <v>163</v>
      </c>
      <c r="CQ4" s="91" t="s">
        <v>1</v>
      </c>
      <c r="CR4" s="91" t="s">
        <v>145</v>
      </c>
      <c r="CS4" s="78" t="s">
        <v>163</v>
      </c>
      <c r="CT4" s="78" t="s">
        <v>1</v>
      </c>
      <c r="CU4" s="78" t="s">
        <v>145</v>
      </c>
      <c r="CV4" s="82" t="s">
        <v>163</v>
      </c>
      <c r="CW4" s="83" t="s">
        <v>1</v>
      </c>
      <c r="CX4" s="83" t="s">
        <v>145</v>
      </c>
      <c r="CY4" s="82" t="s">
        <v>163</v>
      </c>
      <c r="CZ4" s="83" t="s">
        <v>1</v>
      </c>
      <c r="DA4" s="83" t="s">
        <v>145</v>
      </c>
      <c r="DB4" s="78" t="s">
        <v>163</v>
      </c>
      <c r="DC4" s="79" t="s">
        <v>1</v>
      </c>
      <c r="DD4" s="79" t="s">
        <v>145</v>
      </c>
      <c r="DE4" s="78" t="s">
        <v>163</v>
      </c>
      <c r="DF4" s="79" t="s">
        <v>1</v>
      </c>
      <c r="DG4" s="79" t="s">
        <v>145</v>
      </c>
      <c r="DH4" s="78" t="s">
        <v>163</v>
      </c>
      <c r="DI4" s="79" t="s">
        <v>1</v>
      </c>
      <c r="DJ4" s="79" t="s">
        <v>145</v>
      </c>
      <c r="DK4" s="78" t="s">
        <v>163</v>
      </c>
      <c r="DL4" s="79" t="s">
        <v>1</v>
      </c>
      <c r="DM4" s="79" t="s">
        <v>145</v>
      </c>
      <c r="DN4" s="190" t="s">
        <v>163</v>
      </c>
      <c r="DO4" s="191" t="s">
        <v>1</v>
      </c>
      <c r="DP4" s="191" t="s">
        <v>145</v>
      </c>
      <c r="DQ4" s="190" t="s">
        <v>163</v>
      </c>
      <c r="DR4" s="191" t="s">
        <v>1</v>
      </c>
      <c r="DS4" s="191" t="s">
        <v>145</v>
      </c>
      <c r="DT4" s="78" t="s">
        <v>163</v>
      </c>
      <c r="DU4" s="79" t="s">
        <v>1</v>
      </c>
      <c r="DV4" s="79" t="s">
        <v>145</v>
      </c>
      <c r="DW4" s="182" t="s">
        <v>163</v>
      </c>
      <c r="DX4" s="183" t="s">
        <v>1</v>
      </c>
      <c r="DY4" s="183" t="s">
        <v>145</v>
      </c>
      <c r="DZ4" s="80" t="s">
        <v>163</v>
      </c>
      <c r="EA4" s="80" t="s">
        <v>1</v>
      </c>
      <c r="EB4" s="80" t="s">
        <v>145</v>
      </c>
      <c r="EC4" s="80" t="s">
        <v>163</v>
      </c>
      <c r="ED4" s="80" t="s">
        <v>1</v>
      </c>
      <c r="EE4" s="80" t="s">
        <v>145</v>
      </c>
      <c r="EF4" s="184" t="s">
        <v>163</v>
      </c>
      <c r="EG4" s="184" t="s">
        <v>1</v>
      </c>
      <c r="EH4" s="184" t="s">
        <v>145</v>
      </c>
      <c r="EI4" s="80" t="s">
        <v>163</v>
      </c>
      <c r="EJ4" s="80" t="s">
        <v>1</v>
      </c>
      <c r="EK4" s="80" t="s">
        <v>145</v>
      </c>
      <c r="EL4" s="184" t="s">
        <v>163</v>
      </c>
      <c r="EM4" s="184" t="s">
        <v>1</v>
      </c>
      <c r="EN4" s="184" t="s">
        <v>145</v>
      </c>
      <c r="EO4" s="80" t="s">
        <v>163</v>
      </c>
      <c r="EP4" s="80" t="s">
        <v>1</v>
      </c>
      <c r="EQ4" s="80" t="s">
        <v>145</v>
      </c>
      <c r="ER4" s="80" t="s">
        <v>163</v>
      </c>
      <c r="ES4" s="80" t="s">
        <v>1</v>
      </c>
      <c r="ET4" s="80" t="s">
        <v>145</v>
      </c>
      <c r="EU4" s="80" t="s">
        <v>163</v>
      </c>
      <c r="EV4" s="80" t="s">
        <v>1</v>
      </c>
      <c r="EW4" s="80" t="s">
        <v>145</v>
      </c>
      <c r="EX4" s="80" t="s">
        <v>163</v>
      </c>
      <c r="EY4" s="80" t="s">
        <v>1</v>
      </c>
      <c r="EZ4" s="80" t="s">
        <v>145</v>
      </c>
      <c r="FA4" s="184" t="s">
        <v>163</v>
      </c>
      <c r="FB4" s="184" t="s">
        <v>1</v>
      </c>
      <c r="FC4" s="184" t="s">
        <v>145</v>
      </c>
      <c r="FD4" s="81" t="s">
        <v>163</v>
      </c>
      <c r="FE4" s="81" t="s">
        <v>1</v>
      </c>
      <c r="FF4" s="81" t="s">
        <v>145</v>
      </c>
      <c r="FG4" s="81" t="s">
        <v>163</v>
      </c>
      <c r="FH4" s="81" t="s">
        <v>1</v>
      </c>
      <c r="FI4" s="81" t="s">
        <v>145</v>
      </c>
      <c r="FJ4" s="81" t="s">
        <v>163</v>
      </c>
      <c r="FK4" s="81" t="s">
        <v>1</v>
      </c>
      <c r="FL4" s="81" t="s">
        <v>145</v>
      </c>
      <c r="FM4" s="81" t="s">
        <v>163</v>
      </c>
      <c r="FN4" s="81" t="s">
        <v>1</v>
      </c>
      <c r="FO4" s="81" t="s">
        <v>145</v>
      </c>
      <c r="FP4" s="81" t="s">
        <v>163</v>
      </c>
      <c r="FQ4" s="81" t="s">
        <v>1</v>
      </c>
      <c r="FR4" s="81" t="s">
        <v>145</v>
      </c>
      <c r="FS4" s="81" t="s">
        <v>163</v>
      </c>
      <c r="FT4" s="81" t="s">
        <v>1</v>
      </c>
      <c r="FU4" s="81" t="s">
        <v>145</v>
      </c>
      <c r="FV4" s="78" t="s">
        <v>163</v>
      </c>
      <c r="FW4" s="79" t="s">
        <v>1</v>
      </c>
      <c r="FX4" s="79" t="s">
        <v>145</v>
      </c>
      <c r="FY4" s="78" t="s">
        <v>163</v>
      </c>
      <c r="FZ4" s="79" t="s">
        <v>1</v>
      </c>
      <c r="GA4" s="79" t="s">
        <v>145</v>
      </c>
      <c r="GB4" s="78" t="s">
        <v>163</v>
      </c>
      <c r="GC4" s="79" t="s">
        <v>1</v>
      </c>
      <c r="GD4" s="79" t="s">
        <v>145</v>
      </c>
      <c r="GE4" s="78" t="s">
        <v>163</v>
      </c>
      <c r="GF4" s="79" t="s">
        <v>1</v>
      </c>
      <c r="GG4" s="79" t="s">
        <v>145</v>
      </c>
      <c r="GH4" s="190" t="s">
        <v>163</v>
      </c>
      <c r="GI4" s="191" t="s">
        <v>1</v>
      </c>
      <c r="GJ4" s="191" t="s">
        <v>145</v>
      </c>
      <c r="GK4" s="190" t="s">
        <v>163</v>
      </c>
      <c r="GL4" s="191" t="s">
        <v>1</v>
      </c>
      <c r="GM4" s="191" t="s">
        <v>145</v>
      </c>
      <c r="GN4" s="78" t="s">
        <v>163</v>
      </c>
      <c r="GO4" s="79" t="s">
        <v>1</v>
      </c>
      <c r="GP4" s="79" t="s">
        <v>145</v>
      </c>
      <c r="GQ4" s="182" t="s">
        <v>163</v>
      </c>
      <c r="GR4" s="183" t="s">
        <v>1</v>
      </c>
      <c r="GS4" s="183" t="s">
        <v>145</v>
      </c>
      <c r="GT4" s="80" t="s">
        <v>163</v>
      </c>
      <c r="GU4" s="80" t="s">
        <v>1</v>
      </c>
      <c r="GV4" s="80" t="s">
        <v>145</v>
      </c>
      <c r="GW4" s="80" t="s">
        <v>163</v>
      </c>
      <c r="GX4" s="80" t="s">
        <v>1</v>
      </c>
      <c r="GY4" s="80" t="s">
        <v>145</v>
      </c>
      <c r="GZ4" s="184" t="s">
        <v>163</v>
      </c>
      <c r="HA4" s="184" t="s">
        <v>1</v>
      </c>
      <c r="HB4" s="184" t="s">
        <v>145</v>
      </c>
      <c r="HC4" s="80" t="s">
        <v>163</v>
      </c>
      <c r="HD4" s="80" t="s">
        <v>1</v>
      </c>
      <c r="HE4" s="80" t="s">
        <v>145</v>
      </c>
      <c r="HF4" s="184" t="s">
        <v>163</v>
      </c>
      <c r="HG4" s="184" t="s">
        <v>1</v>
      </c>
      <c r="HH4" s="184" t="s">
        <v>145</v>
      </c>
      <c r="HI4" s="80" t="s">
        <v>163</v>
      </c>
      <c r="HJ4" s="80" t="s">
        <v>1</v>
      </c>
      <c r="HK4" s="80" t="s">
        <v>145</v>
      </c>
      <c r="HL4" s="80" t="s">
        <v>163</v>
      </c>
      <c r="HM4" s="80" t="s">
        <v>1</v>
      </c>
      <c r="HN4" s="80" t="s">
        <v>145</v>
      </c>
      <c r="HO4" s="80" t="s">
        <v>163</v>
      </c>
      <c r="HP4" s="80" t="s">
        <v>1</v>
      </c>
      <c r="HQ4" s="80" t="s">
        <v>145</v>
      </c>
      <c r="HR4" s="80" t="s">
        <v>163</v>
      </c>
      <c r="HS4" s="80" t="s">
        <v>1</v>
      </c>
      <c r="HT4" s="80" t="s">
        <v>145</v>
      </c>
      <c r="HU4" s="184" t="s">
        <v>163</v>
      </c>
      <c r="HV4" s="184" t="s">
        <v>1</v>
      </c>
      <c r="HW4" s="184" t="s">
        <v>145</v>
      </c>
      <c r="HX4" s="78" t="s">
        <v>163</v>
      </c>
      <c r="HY4" s="79" t="s">
        <v>1</v>
      </c>
      <c r="HZ4" s="79" t="s">
        <v>145</v>
      </c>
      <c r="IA4" s="78" t="s">
        <v>163</v>
      </c>
      <c r="IB4" s="79" t="s">
        <v>1</v>
      </c>
      <c r="IC4" s="79" t="s">
        <v>145</v>
      </c>
      <c r="ID4" s="78" t="s">
        <v>163</v>
      </c>
      <c r="IE4" s="79" t="s">
        <v>1</v>
      </c>
      <c r="IF4" s="79" t="s">
        <v>145</v>
      </c>
      <c r="IG4" s="78" t="s">
        <v>163</v>
      </c>
      <c r="IH4" s="79" t="s">
        <v>1</v>
      </c>
      <c r="II4" s="79" t="s">
        <v>145</v>
      </c>
      <c r="IJ4" s="190" t="s">
        <v>163</v>
      </c>
      <c r="IK4" s="191" t="s">
        <v>1</v>
      </c>
      <c r="IL4" s="191" t="s">
        <v>145</v>
      </c>
      <c r="IM4" s="190" t="s">
        <v>163</v>
      </c>
      <c r="IN4" s="191" t="s">
        <v>1</v>
      </c>
      <c r="IO4" s="191" t="s">
        <v>145</v>
      </c>
      <c r="IP4" s="78" t="s">
        <v>163</v>
      </c>
      <c r="IQ4" s="79" t="s">
        <v>1</v>
      </c>
      <c r="IR4" s="79" t="s">
        <v>145</v>
      </c>
      <c r="IS4" s="182" t="s">
        <v>163</v>
      </c>
      <c r="IT4" s="183" t="s">
        <v>1</v>
      </c>
      <c r="IU4" s="183" t="s">
        <v>145</v>
      </c>
      <c r="IV4" s="80" t="s">
        <v>163</v>
      </c>
      <c r="IW4" s="80" t="s">
        <v>1</v>
      </c>
      <c r="IX4" s="80" t="s">
        <v>145</v>
      </c>
      <c r="IY4" s="80" t="s">
        <v>163</v>
      </c>
      <c r="IZ4" s="80" t="s">
        <v>1</v>
      </c>
      <c r="JA4" s="80" t="s">
        <v>145</v>
      </c>
      <c r="JB4" s="184" t="s">
        <v>163</v>
      </c>
      <c r="JC4" s="184" t="s">
        <v>1</v>
      </c>
      <c r="JD4" s="184" t="s">
        <v>145</v>
      </c>
      <c r="JE4" s="80" t="s">
        <v>163</v>
      </c>
      <c r="JF4" s="80" t="s">
        <v>1</v>
      </c>
      <c r="JG4" s="80" t="s">
        <v>145</v>
      </c>
      <c r="JH4" s="184" t="s">
        <v>163</v>
      </c>
      <c r="JI4" s="184" t="s">
        <v>1</v>
      </c>
      <c r="JJ4" s="184" t="s">
        <v>145</v>
      </c>
      <c r="JK4" s="80" t="s">
        <v>163</v>
      </c>
      <c r="JL4" s="80" t="s">
        <v>1</v>
      </c>
      <c r="JM4" s="80" t="s">
        <v>145</v>
      </c>
      <c r="JN4" s="80" t="s">
        <v>163</v>
      </c>
      <c r="JO4" s="80" t="s">
        <v>1</v>
      </c>
      <c r="JP4" s="80" t="s">
        <v>145</v>
      </c>
      <c r="JQ4" s="80" t="s">
        <v>163</v>
      </c>
      <c r="JR4" s="80" t="s">
        <v>1</v>
      </c>
      <c r="JS4" s="80" t="s">
        <v>145</v>
      </c>
      <c r="JT4" s="80" t="s">
        <v>163</v>
      </c>
      <c r="JU4" s="80" t="s">
        <v>1</v>
      </c>
      <c r="JV4" s="80" t="s">
        <v>145</v>
      </c>
      <c r="JW4" s="184" t="s">
        <v>163</v>
      </c>
      <c r="JX4" s="184" t="s">
        <v>1</v>
      </c>
      <c r="JY4" s="184" t="s">
        <v>145</v>
      </c>
    </row>
    <row r="5" spans="1:285">
      <c r="A5" s="177"/>
      <c r="B5" s="49"/>
      <c r="C5" s="73"/>
      <c r="D5" s="73"/>
      <c r="E5" s="73"/>
      <c r="F5" s="73"/>
      <c r="G5" s="73">
        <v>1</v>
      </c>
      <c r="H5" s="75"/>
      <c r="I5" s="75"/>
      <c r="J5" s="73">
        <f>G5+1</f>
        <v>2</v>
      </c>
      <c r="K5" s="75"/>
      <c r="L5" s="75"/>
      <c r="M5" s="73">
        <f>J5+1</f>
        <v>3</v>
      </c>
      <c r="N5" s="75"/>
      <c r="O5" s="75"/>
      <c r="P5" s="73">
        <f>M5+1</f>
        <v>4</v>
      </c>
      <c r="Q5" s="75"/>
      <c r="R5" s="75"/>
      <c r="S5" s="73">
        <f>P5+1</f>
        <v>5</v>
      </c>
      <c r="T5" s="75"/>
      <c r="U5" s="75"/>
      <c r="V5" s="73">
        <f>S5+1</f>
        <v>6</v>
      </c>
      <c r="W5" s="75"/>
      <c r="X5" s="75"/>
      <c r="Y5" s="73">
        <f>V5+1</f>
        <v>7</v>
      </c>
      <c r="Z5" s="75"/>
      <c r="AA5" s="75"/>
      <c r="AB5" s="73">
        <f>Y5+1</f>
        <v>8</v>
      </c>
      <c r="AC5" s="75"/>
      <c r="AD5" s="75"/>
      <c r="AE5" s="73">
        <f>AB5+1</f>
        <v>9</v>
      </c>
      <c r="AF5" s="73"/>
      <c r="AG5" s="73"/>
      <c r="AH5" s="73">
        <f>AE5+1</f>
        <v>10</v>
      </c>
      <c r="AI5" s="73"/>
      <c r="AJ5" s="73"/>
      <c r="AK5" s="73">
        <f>AH5+1</f>
        <v>11</v>
      </c>
      <c r="AL5" s="73"/>
      <c r="AM5" s="73"/>
      <c r="AN5" s="73">
        <f>AK5+1</f>
        <v>12</v>
      </c>
      <c r="AO5" s="73"/>
      <c r="AP5" s="73"/>
      <c r="AQ5" s="73">
        <f>AN5+1</f>
        <v>13</v>
      </c>
      <c r="AR5" s="73"/>
      <c r="AS5" s="73"/>
      <c r="AT5" s="73">
        <f>AQ5+1</f>
        <v>14</v>
      </c>
      <c r="AU5" s="73"/>
      <c r="AV5" s="73"/>
      <c r="AW5" s="73">
        <f>AT5+1</f>
        <v>15</v>
      </c>
      <c r="AX5" s="73"/>
      <c r="AY5" s="73"/>
      <c r="AZ5" s="73">
        <f>AW5+1</f>
        <v>16</v>
      </c>
      <c r="BA5" s="73"/>
      <c r="BB5" s="73"/>
      <c r="BC5" s="73">
        <f>AZ5+1</f>
        <v>17</v>
      </c>
      <c r="BD5" s="73"/>
      <c r="BE5" s="73"/>
      <c r="BF5" s="73">
        <f>BC5+1</f>
        <v>18</v>
      </c>
      <c r="BG5" s="73"/>
      <c r="BH5" s="73"/>
      <c r="BI5" s="73">
        <f>BF5+1</f>
        <v>19</v>
      </c>
      <c r="BJ5" s="73"/>
      <c r="BK5" s="73"/>
      <c r="BL5" s="73">
        <f>BI5+1</f>
        <v>20</v>
      </c>
      <c r="BM5" s="73"/>
      <c r="BN5" s="73"/>
      <c r="BO5" s="73">
        <f>BL5+1</f>
        <v>21</v>
      </c>
      <c r="BP5" s="73"/>
      <c r="BQ5" s="73"/>
      <c r="BR5" s="73">
        <f>BO5+1</f>
        <v>22</v>
      </c>
      <c r="BS5" s="73"/>
      <c r="BT5" s="73"/>
      <c r="BU5" s="73">
        <f>BR5+1</f>
        <v>23</v>
      </c>
      <c r="BV5" s="73"/>
      <c r="BW5" s="73"/>
      <c r="BX5" s="73">
        <f>BU5+1</f>
        <v>24</v>
      </c>
      <c r="BY5" s="73"/>
      <c r="BZ5" s="73"/>
      <c r="CA5" s="73">
        <f>BX5+1</f>
        <v>25</v>
      </c>
      <c r="CB5" s="73"/>
      <c r="CC5" s="73"/>
      <c r="CD5" s="73">
        <f>CA5+1</f>
        <v>26</v>
      </c>
      <c r="CE5" s="73"/>
      <c r="CF5" s="73"/>
      <c r="CG5" s="73">
        <f>CD5+1</f>
        <v>27</v>
      </c>
      <c r="CH5" s="73"/>
      <c r="CI5" s="73"/>
      <c r="CJ5" s="73">
        <f>CG5+1</f>
        <v>28</v>
      </c>
      <c r="CK5" s="73"/>
      <c r="CL5" s="73"/>
      <c r="CM5" s="73">
        <f>CJ5+1</f>
        <v>29</v>
      </c>
      <c r="CN5" s="73"/>
      <c r="CO5" s="73"/>
      <c r="CP5" s="73">
        <f>CM5+1</f>
        <v>30</v>
      </c>
      <c r="CQ5" s="73"/>
      <c r="CR5" s="73"/>
      <c r="CS5" s="73">
        <f>CP5+1</f>
        <v>31</v>
      </c>
      <c r="CT5" s="73"/>
      <c r="CU5" s="73"/>
      <c r="CV5" s="73">
        <f>CS5+1</f>
        <v>32</v>
      </c>
      <c r="CW5" s="75"/>
      <c r="CX5" s="75"/>
      <c r="CY5" s="73">
        <f>CV5+1</f>
        <v>33</v>
      </c>
      <c r="CZ5" s="75"/>
      <c r="DA5" s="75"/>
      <c r="DB5" s="73">
        <f>CY5+1</f>
        <v>34</v>
      </c>
      <c r="DC5" s="75"/>
      <c r="DD5" s="75"/>
      <c r="DE5" s="73">
        <f>DB5+1</f>
        <v>35</v>
      </c>
      <c r="DF5" s="75"/>
      <c r="DG5" s="75"/>
      <c r="DH5" s="73">
        <f>DE5+1</f>
        <v>36</v>
      </c>
      <c r="DI5" s="75"/>
      <c r="DJ5" s="75"/>
      <c r="DK5" s="73">
        <f>DH5+1</f>
        <v>37</v>
      </c>
      <c r="DL5" s="75"/>
      <c r="DM5" s="75"/>
      <c r="DN5" s="73">
        <f>DK5+1</f>
        <v>38</v>
      </c>
      <c r="DO5" s="245"/>
      <c r="DP5" s="245"/>
      <c r="DQ5" s="73">
        <f>DN5+1</f>
        <v>39</v>
      </c>
      <c r="DR5" s="75"/>
      <c r="DS5" s="75"/>
      <c r="DT5" s="73">
        <f>DQ5+1</f>
        <v>40</v>
      </c>
      <c r="DU5" s="75"/>
      <c r="DV5" s="75"/>
      <c r="DW5" s="73">
        <f>DT5+1</f>
        <v>41</v>
      </c>
      <c r="DX5" s="75"/>
      <c r="DY5" s="75"/>
      <c r="DZ5" s="73">
        <f>DW5+1</f>
        <v>42</v>
      </c>
      <c r="EA5" s="73"/>
      <c r="EB5" s="73"/>
      <c r="EC5" s="73">
        <f>DZ5+1</f>
        <v>43</v>
      </c>
      <c r="ED5" s="73"/>
      <c r="EE5" s="73"/>
      <c r="EF5" s="73">
        <f>EC5+1</f>
        <v>44</v>
      </c>
      <c r="EG5" s="73"/>
      <c r="EH5" s="73"/>
      <c r="EI5" s="73">
        <f>EF5+1</f>
        <v>45</v>
      </c>
      <c r="EJ5" s="73"/>
      <c r="EK5" s="73"/>
      <c r="EL5" s="73">
        <f>EI5+1</f>
        <v>46</v>
      </c>
      <c r="EM5" s="73"/>
      <c r="EN5" s="73"/>
      <c r="EO5" s="73">
        <f>EL5+1</f>
        <v>47</v>
      </c>
      <c r="EP5" s="73"/>
      <c r="EQ5" s="73"/>
      <c r="ER5" s="73">
        <f>EO5+1</f>
        <v>48</v>
      </c>
      <c r="ES5" s="73"/>
      <c r="ET5" s="73"/>
      <c r="EU5" s="73">
        <f>ER5+1</f>
        <v>49</v>
      </c>
      <c r="EV5" s="73"/>
      <c r="EW5" s="73"/>
      <c r="EX5" s="73">
        <f>EU5+1</f>
        <v>50</v>
      </c>
      <c r="EY5" s="73"/>
      <c r="EZ5" s="73"/>
      <c r="FA5" s="73">
        <f>EX5+1</f>
        <v>51</v>
      </c>
      <c r="FB5" s="73"/>
      <c r="FC5" s="73"/>
      <c r="FD5" s="73">
        <f>FA5+1</f>
        <v>52</v>
      </c>
      <c r="FE5" s="73"/>
      <c r="FF5" s="73"/>
      <c r="FG5" s="73">
        <f>FD5+1</f>
        <v>53</v>
      </c>
      <c r="FH5" s="73"/>
      <c r="FI5" s="73"/>
      <c r="FJ5" s="73">
        <f>FG5+1</f>
        <v>54</v>
      </c>
      <c r="FK5" s="73"/>
      <c r="FL5" s="73"/>
      <c r="FM5" s="73">
        <f>FJ5+1</f>
        <v>55</v>
      </c>
      <c r="FN5" s="73"/>
      <c r="FO5" s="73"/>
      <c r="FP5" s="73">
        <f>FM5+1</f>
        <v>56</v>
      </c>
      <c r="FQ5" s="73"/>
      <c r="FR5" s="73"/>
      <c r="FS5" s="73">
        <f>FP5+1</f>
        <v>57</v>
      </c>
      <c r="FT5" s="73"/>
      <c r="FU5" s="73"/>
      <c r="FV5" s="73">
        <f>FS5+1</f>
        <v>58</v>
      </c>
      <c r="FW5" s="75"/>
      <c r="FX5" s="75"/>
      <c r="FY5" s="73">
        <f>FV5+1</f>
        <v>59</v>
      </c>
      <c r="FZ5" s="75"/>
      <c r="GA5" s="75"/>
      <c r="GB5" s="73">
        <f>FY5+1</f>
        <v>60</v>
      </c>
      <c r="GC5" s="75"/>
      <c r="GD5" s="75"/>
      <c r="GE5" s="73">
        <f>GB5+1</f>
        <v>61</v>
      </c>
      <c r="GF5" s="75"/>
      <c r="GG5" s="75"/>
      <c r="GH5" s="73">
        <f>GE5+1</f>
        <v>62</v>
      </c>
      <c r="GI5" s="75"/>
      <c r="GJ5" s="75"/>
      <c r="GK5" s="73">
        <f>GH5+1</f>
        <v>63</v>
      </c>
      <c r="GL5" s="75"/>
      <c r="GM5" s="75"/>
      <c r="GN5" s="73">
        <f>GK5+1</f>
        <v>64</v>
      </c>
      <c r="GO5" s="75"/>
      <c r="GP5" s="75"/>
      <c r="GQ5" s="73">
        <f>GN5+1</f>
        <v>65</v>
      </c>
      <c r="GR5" s="75"/>
      <c r="GS5" s="75"/>
      <c r="GT5" s="73">
        <f>GQ5+1</f>
        <v>66</v>
      </c>
      <c r="GU5" s="73"/>
      <c r="GV5" s="73"/>
      <c r="GW5" s="73">
        <f>GT5+1</f>
        <v>67</v>
      </c>
      <c r="GX5" s="73"/>
      <c r="GY5" s="73"/>
      <c r="GZ5" s="73">
        <f>GW5+1</f>
        <v>68</v>
      </c>
      <c r="HA5" s="73"/>
      <c r="HB5" s="73"/>
      <c r="HC5" s="73">
        <f>GZ5+1</f>
        <v>69</v>
      </c>
      <c r="HD5" s="73"/>
      <c r="HE5" s="73"/>
      <c r="HF5" s="73">
        <f>HC5+1</f>
        <v>70</v>
      </c>
      <c r="HG5" s="73"/>
      <c r="HH5" s="73"/>
      <c r="HI5" s="73">
        <f>HF5+1</f>
        <v>71</v>
      </c>
      <c r="HJ5" s="73"/>
      <c r="HK5" s="73"/>
      <c r="HL5" s="73">
        <f>HI5+1</f>
        <v>72</v>
      </c>
      <c r="HM5" s="73"/>
      <c r="HN5" s="73"/>
      <c r="HO5" s="73">
        <f>HL5+1</f>
        <v>73</v>
      </c>
      <c r="HP5" s="73"/>
      <c r="HQ5" s="73"/>
      <c r="HR5" s="73">
        <f>HO5+1</f>
        <v>74</v>
      </c>
      <c r="HS5" s="73"/>
      <c r="HT5" s="73"/>
      <c r="HU5" s="73">
        <f>HR5+1</f>
        <v>75</v>
      </c>
      <c r="HV5" s="73"/>
      <c r="HW5" s="73"/>
      <c r="HX5" s="73">
        <f>HU5+1</f>
        <v>76</v>
      </c>
      <c r="HY5" s="75"/>
      <c r="HZ5" s="75"/>
      <c r="IA5" s="73">
        <f>HX5+1</f>
        <v>77</v>
      </c>
      <c r="IB5" s="75"/>
      <c r="IC5" s="75"/>
      <c r="ID5" s="73">
        <f>IA5+1</f>
        <v>78</v>
      </c>
      <c r="IE5" s="75"/>
      <c r="IF5" s="75"/>
      <c r="IG5" s="73">
        <f>ID5+1</f>
        <v>79</v>
      </c>
      <c r="IH5" s="75"/>
      <c r="II5" s="75"/>
      <c r="IJ5" s="73">
        <f>IG5+1</f>
        <v>80</v>
      </c>
      <c r="IK5" s="75"/>
      <c r="IL5" s="75"/>
      <c r="IM5" s="73">
        <f>IJ5+1</f>
        <v>81</v>
      </c>
      <c r="IN5" s="75"/>
      <c r="IO5" s="75"/>
      <c r="IP5" s="73">
        <f>IM5+1</f>
        <v>82</v>
      </c>
      <c r="IQ5" s="75"/>
      <c r="IR5" s="75"/>
      <c r="IS5" s="73">
        <f>IP5+1</f>
        <v>83</v>
      </c>
      <c r="IT5" s="75"/>
      <c r="IU5" s="75"/>
      <c r="IV5" s="73">
        <f>IS5+1</f>
        <v>84</v>
      </c>
      <c r="IW5" s="73"/>
      <c r="IX5" s="73"/>
      <c r="IY5" s="73">
        <f>IV5+1</f>
        <v>85</v>
      </c>
      <c r="IZ5" s="73"/>
      <c r="JA5" s="73"/>
      <c r="JB5" s="73">
        <f>IY5+1</f>
        <v>86</v>
      </c>
      <c r="JC5" s="73"/>
      <c r="JD5" s="73"/>
      <c r="JE5" s="73">
        <f>JB5+1</f>
        <v>87</v>
      </c>
      <c r="JF5" s="73"/>
      <c r="JG5" s="73"/>
      <c r="JH5" s="73">
        <f>JE5+1</f>
        <v>88</v>
      </c>
      <c r="JI5" s="73"/>
      <c r="JJ5" s="73"/>
      <c r="JK5" s="73">
        <f>JH5+1</f>
        <v>89</v>
      </c>
      <c r="JL5" s="73"/>
      <c r="JM5" s="73"/>
      <c r="JN5" s="73">
        <f>JK5+1</f>
        <v>90</v>
      </c>
      <c r="JO5" s="73"/>
      <c r="JP5" s="73"/>
      <c r="JQ5" s="73">
        <f>JN5+1</f>
        <v>91</v>
      </c>
      <c r="JR5" s="73"/>
      <c r="JS5" s="73"/>
      <c r="JT5" s="73">
        <f>JQ5+1</f>
        <v>92</v>
      </c>
      <c r="JU5" s="73"/>
      <c r="JV5" s="73"/>
      <c r="JW5" s="73">
        <f>JT5+1</f>
        <v>93</v>
      </c>
      <c r="JX5" s="73"/>
      <c r="JY5" s="73"/>
    </row>
    <row r="6" spans="1:285">
      <c r="A6" s="176"/>
      <c r="B6" s="178"/>
      <c r="C6" s="6">
        <v>1</v>
      </c>
      <c r="D6" s="242" t="s">
        <v>309</v>
      </c>
      <c r="E6" s="23" t="s">
        <v>304</v>
      </c>
      <c r="F6" s="5" t="s">
        <v>33</v>
      </c>
      <c r="G6" s="93">
        <f>VLOOKUP($G$3,Commited_Actual_1stProject!$E$9:$BU$36,$D26,0)</f>
        <v>0</v>
      </c>
      <c r="H6" s="93">
        <f>VLOOKUP($G$3,Commited_Actual_1stProject!$E$9:$BU$36,$D26+1,0)</f>
        <v>0</v>
      </c>
      <c r="I6" s="241">
        <f>VLOOKUP($G$3,Commited_Actual_1stProject!$E$9:$BU$36,$D26+2,0)</f>
        <v>0</v>
      </c>
      <c r="J6" s="93">
        <f>VLOOKUP($J$3,Commited_Actual_1stProject!$E$9:$BU$36,$D26,0)</f>
        <v>0</v>
      </c>
      <c r="K6" s="93">
        <f>VLOOKUP($J$3,Commited_Actual_1stProject!$E$9:$BU$36,$D26+1,0)</f>
        <v>0</v>
      </c>
      <c r="L6" s="241">
        <f>VLOOKUP($J$3,Commited_Actual_1stProject!$E$9:$BU$36,$D26+2,0)</f>
        <v>0</v>
      </c>
      <c r="M6" s="93">
        <f>VLOOKUP($M$3,Commited_Actual_1stProject!$E$9:$BU$36,$D26,0)</f>
        <v>0</v>
      </c>
      <c r="N6" s="93">
        <f>VLOOKUP($M$3,Commited_Actual_1stProject!$E$9:$BU$36,$D26+1,0)</f>
        <v>0</v>
      </c>
      <c r="O6" s="241">
        <f>VLOOKUP($M$3,Commited_Actual_1stProject!$E$9:$BU$36,$D26+2,0)</f>
        <v>0</v>
      </c>
      <c r="P6" s="93">
        <f>VLOOKUP($P$3,Commited_Actual_1stProject!$E$9:$BU$36,$D26,0)</f>
        <v>0</v>
      </c>
      <c r="Q6" s="93">
        <f>VLOOKUP($P$3,Commited_Actual_1stProject!$E$9:$BU$36,$D26+1,0)</f>
        <v>0</v>
      </c>
      <c r="R6" s="241">
        <f>VLOOKUP($P$3,Commited_Actual_1stProject!$E$9:$BU$36,$D26+2,0)</f>
        <v>0</v>
      </c>
      <c r="S6" s="93">
        <f>VLOOKUP($S$3,Commited_Actual_1stProject!$E$9:$BU$36,$D26,0)</f>
        <v>0.06</v>
      </c>
      <c r="T6" s="241">
        <f>VLOOKUP($S$3,Commited_Actual_1stProject!$E$9:$BU$36,$D26+1,0)</f>
        <v>35</v>
      </c>
      <c r="U6" s="241">
        <f>VLOOKUP($S$3,Commited_Actual_1stProject!$E$9:$BU$36,$D26+2,0)</f>
        <v>37.01</v>
      </c>
      <c r="V6" s="93">
        <f>VLOOKUP($V$3,Commited_Actual_1stProject!$E$9:$BU$36,$D26,0)</f>
        <v>0.06</v>
      </c>
      <c r="W6" s="241">
        <f>VLOOKUP($V$3,Commited_Actual_1stProject!$E$9:$BU$36,$D26+1,0)</f>
        <v>28</v>
      </c>
      <c r="X6" s="241">
        <f>VLOOKUP($V$3,Commited_Actual_1stProject!$E$9:$BU$36,$D26+2,0)</f>
        <v>36.72</v>
      </c>
      <c r="Y6" s="93">
        <f>VLOOKUP($Y$3,Commited_Actual_1stProject!$E$9:$BU$36,$D26,0)</f>
        <v>0.06</v>
      </c>
      <c r="Z6" s="241">
        <f>VLOOKUP($Y$3,Commited_Actual_1stProject!$E$9:$BU$36,$D26+1,0)</f>
        <v>10</v>
      </c>
      <c r="AA6" s="241">
        <f>VLOOKUP($Y$3,Commited_Actual_1stProject!$E$9:$BU$36,$D26+2,0)</f>
        <v>13.53</v>
      </c>
      <c r="AB6" s="93">
        <f>VLOOKUP($AB$3,Commited_Actual_1stProject!$E$9:$BU$36,$D26,0)</f>
        <v>0.06</v>
      </c>
      <c r="AC6" s="241">
        <f>VLOOKUP($AB$3,Commited_Actual_1stProject!$E$9:$BU$36,$D26+1,0)</f>
        <v>7</v>
      </c>
      <c r="AD6" s="241">
        <f>VLOOKUP($AB$3,Commited_Actual_1stProject!$E$9:$BU$36,$D26+2,0)</f>
        <v>7.49</v>
      </c>
      <c r="AE6" s="93">
        <f>VLOOKUP($AE$3,Commited_Actual_1stProject!$E$9:$BU$36,$D26,0)</f>
        <v>0</v>
      </c>
      <c r="AF6" s="93">
        <f>VLOOKUP($AE$3,Commited_Actual_1stProject!$E$9:$BU$36,$D26+1,0)</f>
        <v>0</v>
      </c>
      <c r="AG6" s="93">
        <f>VLOOKUP($AE$3,Commited_Actual_1stProject!$E$9:$BU$36,$D26+2,0)</f>
        <v>0</v>
      </c>
      <c r="AH6" s="93">
        <f>VLOOKUP($AH$3,Commited_Actual_1stProject!$E$9:$BU$36,$D26,0)</f>
        <v>0</v>
      </c>
      <c r="AI6" s="118">
        <f>VLOOKUP($AH$3,Commited_Actual_1stProject!$E$9:$BU$36,$D26+1,0)</f>
        <v>0</v>
      </c>
      <c r="AJ6" s="93">
        <f>VLOOKUP($AH$3,Commited_Actual_1stProject!$E$9:$BU$36,$D26+2,0)</f>
        <v>0</v>
      </c>
      <c r="AK6" s="93">
        <f>VLOOKUP($AK$3,Commited_Actual_1stProject!$E$9:$BU$36,$D26,0)</f>
        <v>0</v>
      </c>
      <c r="AL6" s="118">
        <f>VLOOKUP($AK$3,Commited_Actual_1stProject!$E$9:$BU$36,$D26+1,0)</f>
        <v>0</v>
      </c>
      <c r="AM6" s="118">
        <f>VLOOKUP($AK$3,Commited_Actual_1stProject!$E$9:$BU$36,$D26+2,0)</f>
        <v>0</v>
      </c>
      <c r="AN6" s="93">
        <f>VLOOKUP($AN$3,Commited_Actual_1stProject!$E$9:$BU$36,$D26,0)</f>
        <v>0</v>
      </c>
      <c r="AO6" s="93">
        <f>VLOOKUP($AN$3,Commited_Actual_1stProject!$E$9:$BU$36,$D26+1,0)</f>
        <v>0</v>
      </c>
      <c r="AP6" s="93">
        <f>VLOOKUP($AN$3,Commited_Actual_1stProject!$E$9:$BU$36,$D26+2,0)</f>
        <v>0</v>
      </c>
      <c r="AQ6" s="93">
        <f>VLOOKUP($AQ$3,Commited_Actual_1stProject!$E$9:$BU$36,$D26,0)</f>
        <v>0</v>
      </c>
      <c r="AR6" s="93">
        <f>VLOOKUP($AQ$3,Commited_Actual_1stProject!$E$9:$BU$36,$D26+1,0)</f>
        <v>0</v>
      </c>
      <c r="AS6" s="93">
        <f>VLOOKUP($AQ$3,Commited_Actual_1stProject!$E$9:$BU$36,$D26+2,0)</f>
        <v>0</v>
      </c>
      <c r="AT6" s="93">
        <f>VLOOKUP($AT$3,Commited_Actual_1stProject!$E$9:$BU$36,$D26,0)</f>
        <v>0</v>
      </c>
      <c r="AU6" s="93">
        <f>VLOOKUP($AT$3,Commited_Actual_1stProject!$E$9:$BU$36,$D26+1,0)</f>
        <v>0</v>
      </c>
      <c r="AV6" s="93">
        <f>VLOOKUP($AT$3,Commited_Actual_1stProject!$E$9:$BU$36,$D26+2,0)</f>
        <v>0</v>
      </c>
      <c r="AW6" s="93">
        <f>VLOOKUP($AW$3,Commited_Actual_1stProject!$E$9:$BU$36,$D26,0)</f>
        <v>0.05</v>
      </c>
      <c r="AX6" s="93">
        <f>VLOOKUP($AW$3,Commited_Actual_1stProject!$E$9:$BU$36,$D26+1,0)</f>
        <v>0.05</v>
      </c>
      <c r="AY6" s="93">
        <f>VLOOKUP($AW$3,Commited_Actual_1stProject!$E$9:$BU$36,$D26+2,0)</f>
        <v>0</v>
      </c>
      <c r="AZ6" s="93">
        <f>VLOOKUP($AZ$3,Commited_Actual_1stProject!$E$9:$BU$36,$D26,0)</f>
        <v>0</v>
      </c>
      <c r="BA6" s="93">
        <f>VLOOKUP($AZ$3,Commited_Actual_1stProject!$E$9:$BU$36,$D26+1,0)</f>
        <v>0</v>
      </c>
      <c r="BB6" s="93">
        <f>VLOOKUP($AZ$3,Commited_Actual_1stProject!$E$9:$BU$36,$D26+2,0)</f>
        <v>0</v>
      </c>
      <c r="BC6" s="93">
        <f>VLOOKUP($BC$3,Commited_Actual_1stProject!$E$9:$BU$36,$D26,0)</f>
        <v>0.05</v>
      </c>
      <c r="BD6" s="118">
        <f>VLOOKUP($BC$3,Commited_Actual_1stProject!$E$9:$BU$36,$D26+1,0)</f>
        <v>0.25</v>
      </c>
      <c r="BE6" s="118">
        <f>VLOOKUP($BC$3,Commited_Actual_1stProject!$E$9:$BU$36,$D26+2,0)</f>
        <v>0.47</v>
      </c>
      <c r="BF6" s="93"/>
      <c r="BG6" s="93"/>
      <c r="BH6" s="93"/>
      <c r="BI6" s="93">
        <f>VLOOKUP($BI$3,Commited_Actual_1stProject!$E$9:$BU$36,$D26,0)</f>
        <v>0</v>
      </c>
      <c r="BJ6" s="241">
        <f>VLOOKUP($BI$3,Commited_Actual_1stProject!$E$9:$BU$36,$D26+1,0)</f>
        <v>0</v>
      </c>
      <c r="BK6" s="241">
        <f>VLOOKUP($BI$3,Commited_Actual_1stProject!$E$9:$BU$36,$D26+2,0)</f>
        <v>0</v>
      </c>
      <c r="BL6" s="93">
        <f>VLOOKUP($BL$3,Commited_Actual_1stProject!$E$9:$BU$36,$D26,0)</f>
        <v>0.04</v>
      </c>
      <c r="BM6" s="241">
        <f>VLOOKUP($BL$3,Commited_Actual_1stProject!$E$9:$BU$36,$D26+1,0)</f>
        <v>3</v>
      </c>
      <c r="BN6" s="241">
        <f>VLOOKUP($BL$3,Commited_Actual_1stProject!$E$9:$BU$36,$D26+2,0)</f>
        <v>5</v>
      </c>
      <c r="BO6" s="93">
        <f>VLOOKUP($BO$3,Commited_Actual_1stProject!$E$9:$BU$36,$D26,0)</f>
        <v>0.04</v>
      </c>
      <c r="BP6" s="241">
        <f>VLOOKUP($BO$3,Commited_Actual_1stProject!$E$9:$BU$36,$D26+1,0)</f>
        <v>3</v>
      </c>
      <c r="BQ6" s="241">
        <f>VLOOKUP($BO$3,Commited_Actual_1stProject!$E$9:$BU$36,$D26+2,0)</f>
        <v>5</v>
      </c>
      <c r="BR6" s="93">
        <f>VLOOKUP($BR$3,Commited_Actual_1stProject!$E$9:$BU$36,$D26,0)</f>
        <v>0.06</v>
      </c>
      <c r="BS6" s="241">
        <f>VLOOKUP($BR$3,Commited_Actual_1stProject!$E$9:$BU$36,$D26+1,0)</f>
        <v>3</v>
      </c>
      <c r="BT6" s="241">
        <f>VLOOKUP($BR$3,Commited_Actual_1stProject!$E$9:$BU$36,$D26+2,0)</f>
        <v>5</v>
      </c>
      <c r="BU6" s="93">
        <f>VLOOKUP($BU$3,Commited_Actual_1stProject!$E$9:$BU$36,$D26,0)</f>
        <v>0</v>
      </c>
      <c r="BV6" s="93">
        <f>VLOOKUP($BU$3,Commited_Actual_1stProject!$E$9:$BU$36,$D26+1,0)</f>
        <v>0</v>
      </c>
      <c r="BW6" s="93">
        <f>VLOOKUP($BU$3,Commited_Actual_1stProject!$E$9:$BU$36,$D26+2,0)</f>
        <v>0</v>
      </c>
      <c r="BX6" s="93">
        <f>VLOOKUP($BX$3,Commited_Actual_1stProject!$E$9:$BU$36,$D26,0)</f>
        <v>0.06</v>
      </c>
      <c r="BY6" s="241">
        <f>VLOOKUP($BX$3,Commited_Actual_1stProject!$E$9:$BU$36,$D26+1,0)</f>
        <v>10</v>
      </c>
      <c r="BZ6" s="241">
        <f>VLOOKUP($BX$3,Commited_Actual_1stProject!$E$9:$BU$36,$D26+2,0)</f>
        <v>29.76</v>
      </c>
      <c r="CA6" s="93">
        <f>VLOOKUP($CA$3,Commited_Actual_1stProject!$E$9:$BU$36,$D26,0)</f>
        <v>0</v>
      </c>
      <c r="CB6" s="241">
        <f>VLOOKUP($CA$3,Commited_Actual_1stProject!$E$9:$BU$36,$D26+1,0)</f>
        <v>0</v>
      </c>
      <c r="CC6" s="241">
        <f>VLOOKUP($CA$3,Commited_Actual_1stProject!$E$9:$BU$36,$D26+2,0)</f>
        <v>0</v>
      </c>
      <c r="CD6" s="93"/>
      <c r="CE6" s="93"/>
      <c r="CF6" s="93"/>
      <c r="CG6" s="93"/>
      <c r="CH6" s="93"/>
      <c r="CI6" s="93"/>
      <c r="CJ6" s="93">
        <f>VLOOKUP($CJ$3,Commited_Actual_1stProject!$E$9:$BU$36,$D26,0)</f>
        <v>0.1</v>
      </c>
      <c r="CK6" s="241">
        <f>VLOOKUP($CJ$3,Commited_Actual_1stProject!$E$9:$BU$36,$D26+1,0)</f>
        <v>3</v>
      </c>
      <c r="CL6" s="241">
        <f>VLOOKUP($CJ$3,Commited_Actual_1stProject!$E$9:$BU$36,$D26+2,0)</f>
        <v>5</v>
      </c>
      <c r="CM6" s="93"/>
      <c r="CN6" s="93"/>
      <c r="CO6" s="93"/>
      <c r="CP6" s="93"/>
      <c r="CQ6" s="93"/>
      <c r="CR6" s="93"/>
      <c r="CS6" s="93">
        <f>VLOOKUP($CS$3,Commited_Actual_1stProject!$E$9:$BU$36,$D26,0)</f>
        <v>0.06</v>
      </c>
      <c r="CT6" s="93">
        <f>VLOOKUP($CS$3,Commited_Actual_1stProject!$E$9:$BU$36,$D26+1,0)</f>
        <v>0.9</v>
      </c>
      <c r="CU6" s="93">
        <f>VLOOKUP($CS$3,Commited_Actual_1stProject!$E$9:$BU$36,$D26+2,0)</f>
        <v>1</v>
      </c>
      <c r="CV6" s="93"/>
      <c r="CW6" s="93"/>
      <c r="CX6" s="93"/>
      <c r="CY6" s="93"/>
      <c r="CZ6" s="93"/>
      <c r="DA6" s="93"/>
      <c r="DB6" s="93">
        <f>VLOOKUP($DB$3,Commited_Actual_2ndProject!$E$5:$AG$34,$E26,0)</f>
        <v>0</v>
      </c>
      <c r="DC6" s="93">
        <f>VLOOKUP($DB$3,Commited_Actual_2ndProject!$E$5:$AG$34,$E26+1,0)</f>
        <v>0</v>
      </c>
      <c r="DD6" s="93">
        <f>VLOOKUP($DB$3,Commited_Actual_2ndProject!$E$5:$AG$34,$E26+2,0)</f>
        <v>0</v>
      </c>
      <c r="DE6" s="93">
        <f>VLOOKUP($DE$3,Commited_Actual_2ndProject!$E$5:$AG$34,$E26,0)</f>
        <v>0</v>
      </c>
      <c r="DF6" s="93">
        <f>VLOOKUP($DE$3,Commited_Actual_2ndProject!$E$5:$AG$34,$E26+1,0)</f>
        <v>0</v>
      </c>
      <c r="DG6" s="93">
        <f>VLOOKUP($DE$3,Commited_Actual_2ndProject!$E$5:$AG$34,$E26+2,0)</f>
        <v>0</v>
      </c>
      <c r="DH6" s="93">
        <f>VLOOKUP($DH$3,Commited_Actual_2ndProject!$E$5:$AG$34,$E26,0)</f>
        <v>0</v>
      </c>
      <c r="DI6" s="93">
        <f>VLOOKUP($DH$3,Commited_Actual_2ndProject!$E$5:$AG$34,$E26+1,0)</f>
        <v>0</v>
      </c>
      <c r="DJ6" s="93">
        <f>VLOOKUP($DH$3,Commited_Actual_2ndProject!$E$5:$AG$34,$E26+2,0)</f>
        <v>0</v>
      </c>
      <c r="DK6" s="93">
        <f>VLOOKUP($DK$3,Commited_Actual_2ndProject!$E$5:$AG$34,$E26,0)</f>
        <v>0</v>
      </c>
      <c r="DL6" s="93">
        <f>VLOOKUP($DK$3,Commited_Actual_2ndProject!$E$5:$AG$34,$E26+1,0)</f>
        <v>0</v>
      </c>
      <c r="DM6" s="93">
        <f>VLOOKUP($DK$3,Commited_Actual_2ndProject!$E$5:$AG$34,$E26+2,0)</f>
        <v>0</v>
      </c>
      <c r="DN6" s="93">
        <f>VLOOKUP($DN$3,Commited_Actual_2ndProject!$E$5:$AG$34,$E26,0)</f>
        <v>0.04</v>
      </c>
      <c r="DO6" s="241">
        <f>VLOOKUP($DN$3,Commited_Actual_2ndProject!$E$5:$AG$34,$E26+1,0)</f>
        <v>40</v>
      </c>
      <c r="DP6" s="241">
        <f>VLOOKUP($DN$3,Commited_Actual_2ndProject!$E$5:$AG$34,$E26+2,0)</f>
        <v>61.6</v>
      </c>
      <c r="DQ6" s="93">
        <f>VLOOKUP($DQ$3,Commited_Actual_2ndProject!$E$5:$AG$34,$E26,0)</f>
        <v>0.04</v>
      </c>
      <c r="DR6" s="93">
        <f>VLOOKUP($DQ$3,Commited_Actual_2ndProject!$E$5:$AG$34,$E26+1,0)</f>
        <v>60</v>
      </c>
      <c r="DS6" s="93">
        <f>VLOOKUP($DQ$3,Commited_Actual_2ndProject!$E$5:$AG$34,$E26+2,0)</f>
        <v>62.11</v>
      </c>
      <c r="DT6" s="93">
        <f>VLOOKUP($DT$3,Commited_Actual_2ndProject!$E$5:$AG$34,$E26,0)</f>
        <v>0.04</v>
      </c>
      <c r="DU6" s="93">
        <f>VLOOKUP($DT$3,Commited_Actual_2ndProject!$E$5:$AG$34,$E26+1,0)</f>
        <v>40</v>
      </c>
      <c r="DV6" s="93">
        <f>VLOOKUP($DT$3,Commited_Actual_2ndProject!$E$5:$AG$34,$E26+2,0)</f>
        <v>38.35</v>
      </c>
      <c r="DW6" s="93">
        <f>VLOOKUP($DW$3,Commited_Actual_2ndProject!$E$5:$AG$34,$E26,0)</f>
        <v>0.04</v>
      </c>
      <c r="DX6" s="93">
        <f>VLOOKUP($DW$3,Commited_Actual_2ndProject!$E$5:$AG$34,$E26+1,0)</f>
        <v>8</v>
      </c>
      <c r="DY6" s="93">
        <f>VLOOKUP($DW$3,Commited_Actual_2ndProject!$E$5:$AG$34,$E26+2,0)</f>
        <v>14.75</v>
      </c>
      <c r="DZ6" s="93">
        <f>VLOOKUP($DZ$3,Commited_Actual_2ndProject!$E$5:$AG$34,$E26,0)</f>
        <v>0</v>
      </c>
      <c r="EA6" s="93">
        <f>VLOOKUP($DZ$3,Commited_Actual_2ndProject!$E$5:$AG$34,$E26+1,0)</f>
        <v>0</v>
      </c>
      <c r="EB6" s="93">
        <f>VLOOKUP($DZ$3,Commited_Actual_2ndProject!$E$5:$AG$34,$E26+2,0)</f>
        <v>0</v>
      </c>
      <c r="EC6" s="93">
        <f>VLOOKUP($EC$3,Commited_Actual_2ndProject!$E$5:$AG$34,$E26,0)</f>
        <v>0</v>
      </c>
      <c r="ED6" s="93">
        <f>VLOOKUP($EC$3,Commited_Actual_2ndProject!$E$5:$AG$34,$E26+1,0)</f>
        <v>0</v>
      </c>
      <c r="EE6" s="93">
        <f>VLOOKUP($EC$3,Commited_Actual_2ndProject!$E$5:$AG$34,$E26+2,0)</f>
        <v>0</v>
      </c>
      <c r="EF6" s="93">
        <f>VLOOKUP($EF$3,Commited_Actual_2ndProject!$E$5:$AG$34,$E26,0)</f>
        <v>0</v>
      </c>
      <c r="EG6" s="93">
        <f>VLOOKUP($EF$3,Commited_Actual_2ndProject!$E$5:$AG$34,$E26+1,0)</f>
        <v>0</v>
      </c>
      <c r="EH6" s="93">
        <f>VLOOKUP($EF$3,Commited_Actual_2ndProject!$E$5:$AG$34,$E26+2,0)</f>
        <v>0</v>
      </c>
      <c r="EI6" s="93">
        <f>VLOOKUP($EI$3,Commited_Actual_2ndProject!$E$5:$AG$34,$E26,0)</f>
        <v>0</v>
      </c>
      <c r="EJ6" s="93">
        <f>VLOOKUP($EI$3,Commited_Actual_2ndProject!$E$5:$AG$34,$E26+1,0)</f>
        <v>0</v>
      </c>
      <c r="EK6" s="93">
        <f>VLOOKUP($EI$3,Commited_Actual_2ndProject!$E$5:$AG$34,$E26+2,0)</f>
        <v>0</v>
      </c>
      <c r="EL6" s="93">
        <f>VLOOKUP($EL$3,Commited_Actual_2ndProject!$E$5:$AG$34,$E26,0)</f>
        <v>0</v>
      </c>
      <c r="EM6" s="93">
        <f>VLOOKUP($EL$3,Commited_Actual_2ndProject!$E$5:$AG$34,$E26+1,0)</f>
        <v>0</v>
      </c>
      <c r="EN6" s="93">
        <f>VLOOKUP($EL$3,Commited_Actual_2ndProject!$E$5:$AG$34,$E26+2,0)</f>
        <v>0</v>
      </c>
      <c r="EO6" s="93">
        <f>VLOOKUP($EO$3,Commited_Actual_2ndProject!$E$5:$AG$34,$E26,0)</f>
        <v>0</v>
      </c>
      <c r="EP6" s="93">
        <f>VLOOKUP($EO$3,Commited_Actual_2ndProject!$E$5:$AG$34,$E26+1,0)</f>
        <v>0</v>
      </c>
      <c r="EQ6" s="93">
        <f>VLOOKUP($EO$3,Commited_Actual_2ndProject!$E$5:$AG$34,$E26+2,0)</f>
        <v>0</v>
      </c>
      <c r="ER6" s="93">
        <f>VLOOKUP($ER$3,Commited_Actual_2ndProject!$E$5:$AG$34,$E26,0)</f>
        <v>0.05</v>
      </c>
      <c r="ES6" s="93">
        <f>VLOOKUP($ER$3,Commited_Actual_2ndProject!$E$5:$AG$34,$E26+1,0)</f>
        <v>0.05</v>
      </c>
      <c r="ET6" s="93">
        <f>VLOOKUP($ER$3,Commited_Actual_2ndProject!$E$5:$AG$34,$E26+2,0)</f>
        <v>0.04</v>
      </c>
      <c r="EU6" s="93">
        <f>VLOOKUP($EU$3,Commited_Actual_2ndProject!$E$5:$AG$34,$E26,0)</f>
        <v>0</v>
      </c>
      <c r="EV6" s="93">
        <f>VLOOKUP($EU$3,Commited_Actual_2ndProject!$E$5:$AG$34,$E26+1,0)</f>
        <v>0</v>
      </c>
      <c r="EW6" s="93">
        <f>VLOOKUP($EU$3,Commited_Actual_2ndProject!$E$5:$AG$34,$E26+2,0)</f>
        <v>0</v>
      </c>
      <c r="EX6" s="93">
        <f>VLOOKUP($EX$3,Commited_Actual_2ndProject!$E$5:$AG$34,$E26,0)</f>
        <v>0.04</v>
      </c>
      <c r="EY6" s="93">
        <f>VLOOKUP($EX$3,Commited_Actual_2ndProject!$E$5:$AG$34,$E26+1,0)</f>
        <v>0.2</v>
      </c>
      <c r="EZ6" s="93">
        <f>VLOOKUP($EX$3,Commited_Actual_2ndProject!$E$5:$AG$34,$E26+2,0)</f>
        <v>0.2</v>
      </c>
      <c r="FA6" s="93">
        <f>VLOOKUP($FA$3,Commited_Actual_2ndProject!$E$5:$AG$34,$E26,0)</f>
        <v>0.05</v>
      </c>
      <c r="FB6" s="93">
        <f>VLOOKUP($FA$3,Commited_Actual_2ndProject!$E$5:$AG$34,$E26+1,0)</f>
        <v>1</v>
      </c>
      <c r="FC6" s="93">
        <f>VLOOKUP($FA$3,Commited_Actual_2ndProject!$E$5:$AG$34,$E26+2,0)</f>
        <v>1</v>
      </c>
      <c r="FD6" s="95"/>
      <c r="FE6" s="96"/>
      <c r="FF6" s="96"/>
      <c r="FG6" s="95"/>
      <c r="FH6" s="96"/>
      <c r="FI6" s="96"/>
      <c r="FJ6" s="95"/>
      <c r="FK6" s="96"/>
      <c r="FL6" s="96"/>
      <c r="FM6" s="95"/>
      <c r="FN6" s="96"/>
      <c r="FO6" s="96"/>
      <c r="FP6" s="95"/>
      <c r="FQ6" s="96"/>
      <c r="FR6" s="96"/>
      <c r="FS6" s="95"/>
      <c r="FT6" s="96"/>
      <c r="FU6" s="96"/>
      <c r="FV6" s="93"/>
      <c r="FW6" s="181"/>
      <c r="FX6" s="181"/>
      <c r="FY6" s="93"/>
      <c r="FZ6" s="181"/>
      <c r="GA6" s="181"/>
      <c r="GB6" s="93"/>
      <c r="GC6" s="181"/>
      <c r="GD6" s="181"/>
      <c r="GE6" s="93"/>
      <c r="GF6" s="181"/>
      <c r="GG6" s="181"/>
      <c r="GH6" s="93"/>
      <c r="GI6" s="181"/>
      <c r="GJ6" s="181"/>
      <c r="GK6" s="93"/>
      <c r="GL6" s="181"/>
      <c r="GM6" s="181"/>
      <c r="GN6" s="93"/>
      <c r="GO6" s="181"/>
      <c r="GP6" s="181"/>
      <c r="GQ6" s="93"/>
      <c r="GR6" s="94"/>
      <c r="GS6" s="94"/>
      <c r="GT6" s="93"/>
      <c r="GU6" s="181"/>
      <c r="GV6" s="181"/>
      <c r="GW6" s="93"/>
      <c r="GX6" s="181"/>
      <c r="GY6" s="181"/>
      <c r="GZ6" s="95"/>
      <c r="HA6" s="96"/>
      <c r="HB6" s="96"/>
      <c r="HC6" s="93"/>
      <c r="HD6" s="181"/>
      <c r="HE6" s="181"/>
      <c r="HF6" s="95"/>
      <c r="HG6" s="96"/>
      <c r="HH6" s="96"/>
      <c r="HI6" s="93"/>
      <c r="HJ6" s="181"/>
      <c r="HK6" s="181"/>
      <c r="HL6" s="93"/>
      <c r="HM6" s="185"/>
      <c r="HN6" s="185"/>
      <c r="HO6" s="93"/>
      <c r="HP6" s="181"/>
      <c r="HQ6" s="181"/>
      <c r="HR6" s="93"/>
      <c r="HS6" s="181"/>
      <c r="HT6" s="181"/>
      <c r="HU6" s="95"/>
      <c r="HV6" s="96"/>
      <c r="HW6" s="96"/>
      <c r="HX6" s="93"/>
      <c r="HY6" s="181"/>
      <c r="HZ6" s="181"/>
      <c r="IA6" s="93"/>
      <c r="IB6" s="181"/>
      <c r="IC6" s="181"/>
      <c r="ID6" s="93"/>
      <c r="IE6" s="181"/>
      <c r="IF6" s="181"/>
      <c r="IG6" s="93"/>
      <c r="IH6" s="181"/>
      <c r="II6" s="181"/>
      <c r="IJ6" s="93"/>
      <c r="IK6" s="181"/>
      <c r="IL6" s="181"/>
      <c r="IM6" s="93"/>
      <c r="IN6" s="181"/>
      <c r="IO6" s="181"/>
      <c r="IP6" s="93"/>
      <c r="IQ6" s="181"/>
      <c r="IR6" s="181"/>
      <c r="IS6" s="93"/>
      <c r="IT6" s="94"/>
      <c r="IU6" s="94"/>
      <c r="IV6" s="93"/>
      <c r="IW6" s="181"/>
      <c r="IX6" s="181"/>
      <c r="IY6" s="93"/>
      <c r="IZ6" s="181"/>
      <c r="JA6" s="181"/>
      <c r="JB6" s="95"/>
      <c r="JC6" s="96"/>
      <c r="JD6" s="96"/>
      <c r="JE6" s="93"/>
      <c r="JF6" s="181"/>
      <c r="JG6" s="181"/>
      <c r="JH6" s="95"/>
      <c r="JI6" s="96"/>
      <c r="JJ6" s="96"/>
      <c r="JK6" s="93"/>
      <c r="JL6" s="181"/>
      <c r="JM6" s="181"/>
      <c r="JN6" s="93"/>
      <c r="JO6" s="185"/>
      <c r="JP6" s="185"/>
      <c r="JQ6" s="93"/>
      <c r="JR6" s="181"/>
      <c r="JS6" s="181"/>
      <c r="JT6" s="93"/>
      <c r="JU6" s="181"/>
      <c r="JV6" s="181"/>
      <c r="JW6" s="95"/>
      <c r="JX6" s="96"/>
      <c r="JY6" s="96"/>
    </row>
    <row r="7" spans="1:285">
      <c r="A7" s="176">
        <v>7</v>
      </c>
      <c r="B7" s="178"/>
      <c r="C7" s="6">
        <v>2</v>
      </c>
      <c r="D7" s="186" t="s">
        <v>310</v>
      </c>
      <c r="E7" s="23" t="s">
        <v>304</v>
      </c>
      <c r="F7" s="5" t="s">
        <v>33</v>
      </c>
      <c r="G7" s="93">
        <f>VLOOKUP($G$3,Commited_Actual_1stProject!$E$9:$BU$36,$A7,0)</f>
        <v>0.1</v>
      </c>
      <c r="H7" s="241">
        <f>VLOOKUP($G$3,Commited_Actual_1stProject!$E$9:$BU$36,$A7+1,0)</f>
        <v>37</v>
      </c>
      <c r="I7" s="241">
        <f>VLOOKUP($G$3,Commited_Actual_1stProject!$E$9:$BU$36,$A7+2,0)</f>
        <v>37.82</v>
      </c>
      <c r="J7" s="93">
        <f>VLOOKUP($J$3,Commited_Actual_1stProject!$E$9:$BU$36,$A7,0)</f>
        <v>0.1</v>
      </c>
      <c r="K7" s="241">
        <f>VLOOKUP($J$3,Commited_Actual_1stProject!$E$9:$BU$36,$A7+1,0)</f>
        <v>13</v>
      </c>
      <c r="L7" s="241">
        <f>VLOOKUP($J$3,Commited_Actual_1stProject!$E$9:$BU$36,$A7+2,0)</f>
        <v>13.95</v>
      </c>
      <c r="M7" s="93">
        <f>VLOOKUP($M$3,Commited_Actual_1stProject!$E$9:$BU$36,$A7,0)</f>
        <v>0.1</v>
      </c>
      <c r="N7" s="241">
        <f>VLOOKUP($M$3,Commited_Actual_1stProject!$E$9:$BU$36,$A7+1,0)</f>
        <v>15</v>
      </c>
      <c r="O7" s="241">
        <f>VLOOKUP($M$3,Commited_Actual_1stProject!$E$9:$BU$36,$A7+2,0)</f>
        <v>16.059999999999999</v>
      </c>
      <c r="P7" s="93">
        <f>VLOOKUP($P$3,Commited_Actual_1stProject!$E$9:$BU$36,$A7,0)</f>
        <v>0.1</v>
      </c>
      <c r="Q7" s="241">
        <f>VLOOKUP($P$3,Commited_Actual_1stProject!$E$9:$BU$36,$A7+1,0)</f>
        <v>37</v>
      </c>
      <c r="R7" s="241">
        <f>VLOOKUP($P$3,Commited_Actual_1stProject!$E$9:$BU$36,$A7+2,0)</f>
        <v>36.96</v>
      </c>
      <c r="S7" s="93">
        <f>VLOOKUP($S$3,Commited_Actual_1stProject!$E$9:$BU$36,$A7,0)</f>
        <v>0</v>
      </c>
      <c r="T7" s="241">
        <f>VLOOKUP($S$3,Commited_Actual_1stProject!$E$9:$BU$36,$A7+1,0)</f>
        <v>0</v>
      </c>
      <c r="U7" s="241">
        <f>VLOOKUP($S$3,Commited_Actual_1stProject!$E$9:$BU$36,$A7+2,0)</f>
        <v>0</v>
      </c>
      <c r="V7" s="93">
        <f>VLOOKUP($V$3,Commited_Actual_1stProject!$E$9:$BU$36,$A7,0)</f>
        <v>0</v>
      </c>
      <c r="W7" s="241">
        <f>VLOOKUP($V$3,Commited_Actual_1stProject!$E$9:$BU$36,$A7+1,0)</f>
        <v>0</v>
      </c>
      <c r="X7" s="241">
        <f>VLOOKUP($V$3,Commited_Actual_1stProject!$E$9:$BU$36,$A7+2,0)</f>
        <v>0</v>
      </c>
      <c r="Y7" s="93">
        <f>VLOOKUP($Y$3,Commited_Actual_1stProject!$E$9:$BU$36,$A7,0)</f>
        <v>0</v>
      </c>
      <c r="Z7" s="241">
        <f>VLOOKUP($Y$3,Commited_Actual_1stProject!$E$9:$BU$36,$A7+1,0)</f>
        <v>0</v>
      </c>
      <c r="AA7" s="241">
        <f>VLOOKUP($Y$3,Commited_Actual_1stProject!$E$9:$BU$36,$A7+2,0)</f>
        <v>0</v>
      </c>
      <c r="AB7" s="93">
        <f>VLOOKUP($AB$3,Commited_Actual_1stProject!$E$9:$BU$36,$A7,0)</f>
        <v>0</v>
      </c>
      <c r="AC7" s="241">
        <f>VLOOKUP($AB$3,Commited_Actual_1stProject!$E$9:$BU$36,$A7+1,0)</f>
        <v>0</v>
      </c>
      <c r="AD7" s="241">
        <f>VLOOKUP($AB$3,Commited_Actual_1stProject!$E$9:$BU$36,$A7+2,0)</f>
        <v>0</v>
      </c>
      <c r="AE7" s="93">
        <f>VLOOKUP($AE$3,Commited_Actual_1stProject!$E$9:$BU$36,$A7,0)</f>
        <v>0</v>
      </c>
      <c r="AF7" s="241">
        <f>VLOOKUP($AE$3,Commited_Actual_1stProject!$E$9:$BU$36,$A7+1,0)</f>
        <v>0</v>
      </c>
      <c r="AG7" s="241">
        <f>VLOOKUP($AE$3,Commited_Actual_1stProject!$E$9:$BU$36,$A7+2,0)</f>
        <v>0</v>
      </c>
      <c r="AH7" s="93">
        <f>VLOOKUP($AH$3,Commited_Actual_1stProject!$E$9:$BU$36,$A7,0)</f>
        <v>0.05</v>
      </c>
      <c r="AI7" s="118">
        <f>VLOOKUP($AH$3,Commited_Actual_1stProject!$E$9:$BU$36,$A7+1,0)</f>
        <v>0.05</v>
      </c>
      <c r="AJ7" s="93">
        <f>VLOOKUP($AH$3,Commited_Actual_1stProject!$E$9:$BU$36,$A7+2,0)</f>
        <v>0.05</v>
      </c>
      <c r="AK7" s="93">
        <f>VLOOKUP($AK$3,Commited_Actual_1stProject!$E$9:$BU$36,$A7,0)</f>
        <v>0</v>
      </c>
      <c r="AL7" s="118">
        <f>VLOOKUP($AK$3,Commited_Actual_1stProject!$E$9:$BU$36,$A7+1,0)</f>
        <v>0</v>
      </c>
      <c r="AM7" s="118">
        <f>VLOOKUP($AK$3,Commited_Actual_1stProject!$E$9:$BU$36,$A7+2,0)</f>
        <v>0</v>
      </c>
      <c r="AN7" s="93">
        <f>VLOOKUP($AN$3,Commited_Actual_1stProject!$E$9:$BU$36,$A7,0)</f>
        <v>0.1</v>
      </c>
      <c r="AO7" s="93">
        <f>VLOOKUP($AN$3,Commited_Actual_1stProject!$E$9:$BU$36,$A7+1,0)</f>
        <v>0.05</v>
      </c>
      <c r="AP7" s="93">
        <f>VLOOKUP($AN$3,Commited_Actual_1stProject!$E$9:$BU$36,$A7+2,0)</f>
        <v>0.01</v>
      </c>
      <c r="AQ7" s="93">
        <f>VLOOKUP($AQ$3,Commited_Actual_1stProject!$E$9:$BU$36,$A7,0)</f>
        <v>0</v>
      </c>
      <c r="AR7" s="241">
        <f>VLOOKUP($AQ$3,Commited_Actual_1stProject!$E$9:$BU$36,$A7+1,0)</f>
        <v>0</v>
      </c>
      <c r="AS7" s="241">
        <f>VLOOKUP($AQ$3,Commited_Actual_1stProject!$E$9:$BU$36,$A7+2,0)</f>
        <v>0</v>
      </c>
      <c r="AT7" s="93">
        <f>VLOOKUP($AT$3,Commited_Actual_1stProject!$E$9:$BU$36,$A7,0)</f>
        <v>0.1</v>
      </c>
      <c r="AU7" s="93">
        <f>VLOOKUP($AT$3,Commited_Actual_1stProject!$E$9:$BU$36,$A7+1,0)</f>
        <v>0.1</v>
      </c>
      <c r="AV7" s="93">
        <f>VLOOKUP($AT$3,Commited_Actual_1stProject!$E$9:$BU$36,$A7+2,0)</f>
        <v>0.02</v>
      </c>
      <c r="AW7" s="93">
        <f>VLOOKUP($AW$3,Commited_Actual_1stProject!$E$9:$BU$36,$A7,0)</f>
        <v>0</v>
      </c>
      <c r="AX7" s="241">
        <f>VLOOKUP($AW$3,Commited_Actual_1stProject!$E$9:$BU$36,$A7+1,0)</f>
        <v>0</v>
      </c>
      <c r="AY7" s="241">
        <f>VLOOKUP($AW$3,Commited_Actual_1stProject!$E$9:$BU$36,$A7+2,0)</f>
        <v>0</v>
      </c>
      <c r="AZ7" s="93">
        <f>VLOOKUP($AZ$3,Commited_Actual_1stProject!$E$9:$BU$36,$A7,0)</f>
        <v>0</v>
      </c>
      <c r="BA7" s="241">
        <f>VLOOKUP($AZ$3,Commited_Actual_1stProject!$E$9:$BU$36,$A7+1,0)</f>
        <v>0</v>
      </c>
      <c r="BB7" s="241">
        <f>VLOOKUP($AZ$3,Commited_Actual_1stProject!$E$9:$BU$36,$A7+2,0)</f>
        <v>0</v>
      </c>
      <c r="BC7" s="93">
        <f>VLOOKUP($BC$3,Commited_Actual_1stProject!$E$9:$BU$36,$A7,0)</f>
        <v>0.1</v>
      </c>
      <c r="BD7" s="118">
        <f>VLOOKUP($BC$3,Commited_Actual_1stProject!$E$9:$BU$36,$A7+1,0)</f>
        <v>0.25</v>
      </c>
      <c r="BE7" s="118">
        <f>VLOOKUP($BC$3,Commited_Actual_1stProject!$E$9:$BU$36,$A7+2,0)</f>
        <v>0.32</v>
      </c>
      <c r="BF7" s="93"/>
      <c r="BG7" s="241"/>
      <c r="BH7" s="241"/>
      <c r="BI7" s="93">
        <f>VLOOKUP($BI$3,Commited_Actual_1stProject!$E$9:$BU$36,$A7,0)</f>
        <v>0.05</v>
      </c>
      <c r="BJ7" s="241">
        <f>VLOOKUP($BI$3,Commited_Actual_1stProject!$E$9:$BU$36,$A7+1,0)</f>
        <v>600</v>
      </c>
      <c r="BK7" s="241">
        <f>VLOOKUP($BI$3,Commited_Actual_1stProject!$E$9:$BU$36,$A7+2,0)</f>
        <v>870</v>
      </c>
      <c r="BL7" s="93">
        <f>VLOOKUP($BL$3,Commited_Actual_1stProject!$E$9:$BU$36,$A7,0)</f>
        <v>0.04</v>
      </c>
      <c r="BM7" s="241">
        <f>VLOOKUP($BL$3,Commited_Actual_1stProject!$E$9:$BU$36,$A7+1,0)</f>
        <v>3</v>
      </c>
      <c r="BN7" s="241">
        <f>VLOOKUP($BL$3,Commited_Actual_1stProject!$E$9:$BU$36,$A7+2,0)</f>
        <v>3</v>
      </c>
      <c r="BO7" s="93">
        <f>VLOOKUP($BO$3,Commited_Actual_1stProject!$E$9:$BU$36,$A7,0)</f>
        <v>0.03</v>
      </c>
      <c r="BP7" s="241">
        <f>VLOOKUP($BO$3,Commited_Actual_1stProject!$E$9:$BU$36,$A7+1,0)</f>
        <v>3</v>
      </c>
      <c r="BQ7" s="241">
        <f>VLOOKUP($BO$3,Commited_Actual_1stProject!$E$9:$BU$36,$A7+2,0)</f>
        <v>3</v>
      </c>
      <c r="BR7" s="93">
        <f>VLOOKUP($BR$3,Commited_Actual_1stProject!$E$9:$BU$36,$A7,0)</f>
        <v>0.03</v>
      </c>
      <c r="BS7" s="241">
        <f>VLOOKUP($BR$3,Commited_Actual_1stProject!$E$9:$BU$36,$A7+1,0)</f>
        <v>3</v>
      </c>
      <c r="BT7" s="241">
        <f>VLOOKUP($BR$3,Commited_Actual_1stProject!$E$9:$BU$36,$A7+2,0)</f>
        <v>3</v>
      </c>
      <c r="BU7" s="93">
        <f>VLOOKUP($BU$3,Commited_Actual_1stProject!$E$9:$BU$36,$A7,0)</f>
        <v>0</v>
      </c>
      <c r="BV7" s="241">
        <f>VLOOKUP($BU$3,Commited_Actual_1stProject!$E$9:$BU$36,$A7+1,0)</f>
        <v>0</v>
      </c>
      <c r="BW7" s="241">
        <f>VLOOKUP($BU$3,Commited_Actual_1stProject!$E$9:$BU$36,$A7+2,0)</f>
        <v>0</v>
      </c>
      <c r="BX7" s="93">
        <f>VLOOKUP($BX$3,Commited_Actual_1stProject!$E$9:$BU$36,$A7,0)</f>
        <v>0.05</v>
      </c>
      <c r="BY7" s="241">
        <f>VLOOKUP($BX$3,Commited_Actual_1stProject!$E$9:$BU$36,$A7+1,0)</f>
        <v>10</v>
      </c>
      <c r="BZ7" s="241">
        <f>VLOOKUP($BX$3,Commited_Actual_1stProject!$E$9:$BU$36,$A7+2,0)</f>
        <v>56.5</v>
      </c>
      <c r="CA7" s="93">
        <f>VLOOKUP($CA$3,Commited_Actual_1stProject!$E$9:$BU$36,$A7,0)</f>
        <v>0</v>
      </c>
      <c r="CB7" s="241">
        <f>VLOOKUP($CA$3,Commited_Actual_1stProject!$E$9:$BU$36,$A7+1,0)</f>
        <v>0</v>
      </c>
      <c r="CC7" s="241">
        <f>VLOOKUP($CA$3,Commited_Actual_1stProject!$E$9:$BU$36,$A7+2,0)</f>
        <v>0</v>
      </c>
      <c r="CD7" s="93"/>
      <c r="CE7" s="241"/>
      <c r="CF7" s="241"/>
      <c r="CG7" s="93"/>
      <c r="CH7" s="241"/>
      <c r="CI7" s="241"/>
      <c r="CJ7" s="93">
        <f>VLOOKUP($CJ$3,Commited_Actual_1stProject!$E$9:$BU$36,$A7,0)</f>
        <v>0.05</v>
      </c>
      <c r="CK7" s="241">
        <f>VLOOKUP($CJ$3,Commited_Actual_1stProject!$E$9:$BU$36,$A7+1,0)</f>
        <v>3</v>
      </c>
      <c r="CL7" s="241">
        <f>VLOOKUP($CJ$3,Commited_Actual_1stProject!$E$9:$BU$36,$A7+2,0)</f>
        <v>3</v>
      </c>
      <c r="CM7" s="93"/>
      <c r="CN7" s="241"/>
      <c r="CO7" s="241"/>
      <c r="CP7" s="93"/>
      <c r="CQ7" s="241"/>
      <c r="CR7" s="241"/>
      <c r="CS7" s="93">
        <f>VLOOKUP($CS$3,Commited_Actual_1stProject!$E$9:$BU$36,$A7,0)</f>
        <v>0</v>
      </c>
      <c r="CT7" s="241">
        <f>VLOOKUP($CS$3,Commited_Actual_1stProject!$E$9:$BU$36,$A7+1,0)</f>
        <v>0</v>
      </c>
      <c r="CU7" s="241">
        <f>VLOOKUP($CS$3,Commited_Actual_1stProject!$E$9:$BU$36,$A7+2,0)</f>
        <v>0</v>
      </c>
      <c r="CV7" s="93"/>
      <c r="CW7" s="241"/>
      <c r="CX7" s="241"/>
      <c r="CY7" s="93"/>
      <c r="CZ7" s="241"/>
      <c r="DA7" s="241"/>
      <c r="DB7" s="93"/>
      <c r="DC7" s="93"/>
      <c r="DD7" s="93"/>
      <c r="DE7" s="93"/>
      <c r="DF7" s="93"/>
      <c r="DG7" s="93"/>
      <c r="DH7" s="93"/>
      <c r="DI7" s="93"/>
      <c r="DJ7" s="93"/>
      <c r="DK7" s="93"/>
      <c r="DL7" s="93"/>
      <c r="DM7" s="93"/>
      <c r="DN7" s="93"/>
      <c r="DO7" s="241"/>
      <c r="DP7" s="241"/>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5"/>
      <c r="FB7" s="96"/>
      <c r="FC7" s="96"/>
      <c r="FD7" s="95"/>
      <c r="FE7" s="96"/>
      <c r="FF7" s="96"/>
      <c r="FG7" s="95"/>
      <c r="FH7" s="96"/>
      <c r="FI7" s="96"/>
      <c r="FJ7" s="95"/>
      <c r="FK7" s="96"/>
      <c r="FL7" s="96"/>
      <c r="FM7" s="95"/>
      <c r="FN7" s="96"/>
      <c r="FO7" s="96"/>
      <c r="FP7" s="95"/>
      <c r="FQ7" s="96"/>
      <c r="FR7" s="96"/>
      <c r="FS7" s="95"/>
      <c r="FT7" s="96"/>
      <c r="FU7" s="96"/>
      <c r="FV7" s="93"/>
      <c r="FW7" s="181"/>
      <c r="FX7" s="181"/>
      <c r="FY7" s="93"/>
      <c r="FZ7" s="181"/>
      <c r="GA7" s="181"/>
      <c r="GB7" s="93"/>
      <c r="GC7" s="181"/>
      <c r="GD7" s="181"/>
      <c r="GE7" s="93"/>
      <c r="GF7" s="181"/>
      <c r="GG7" s="181"/>
      <c r="GH7" s="93"/>
      <c r="GI7" s="181"/>
      <c r="GJ7" s="181"/>
      <c r="GK7" s="93"/>
      <c r="GL7" s="181"/>
      <c r="GM7" s="181"/>
      <c r="GN7" s="93"/>
      <c r="GO7" s="181"/>
      <c r="GP7" s="181"/>
      <c r="GQ7" s="93"/>
      <c r="GR7" s="94"/>
      <c r="GS7" s="94"/>
      <c r="GT7" s="93"/>
      <c r="GU7" s="181"/>
      <c r="GV7" s="181"/>
      <c r="GW7" s="93"/>
      <c r="GX7" s="181"/>
      <c r="GY7" s="181"/>
      <c r="GZ7" s="95"/>
      <c r="HA7" s="96"/>
      <c r="HB7" s="96"/>
      <c r="HC7" s="93"/>
      <c r="HD7" s="181"/>
      <c r="HE7" s="181"/>
      <c r="HF7" s="95"/>
      <c r="HG7" s="118"/>
      <c r="HH7" s="118"/>
      <c r="HI7" s="93"/>
      <c r="HJ7" s="181"/>
      <c r="HK7" s="181"/>
      <c r="HL7" s="93"/>
      <c r="HM7" s="185"/>
      <c r="HN7" s="185"/>
      <c r="HO7" s="93"/>
      <c r="HP7" s="181"/>
      <c r="HQ7" s="181"/>
      <c r="HR7" s="93"/>
      <c r="HS7" s="181"/>
      <c r="HT7" s="181"/>
      <c r="HU7" s="95"/>
      <c r="HV7" s="96"/>
      <c r="HW7" s="96"/>
      <c r="HX7" s="93"/>
      <c r="HY7" s="181"/>
      <c r="HZ7" s="181"/>
      <c r="IA7" s="93"/>
      <c r="IB7" s="181"/>
      <c r="IC7" s="181"/>
      <c r="ID7" s="93"/>
      <c r="IE7" s="181"/>
      <c r="IF7" s="181"/>
      <c r="IG7" s="93"/>
      <c r="IH7" s="181"/>
      <c r="II7" s="181"/>
      <c r="IJ7" s="93"/>
      <c r="IK7" s="181"/>
      <c r="IL7" s="181"/>
      <c r="IM7" s="93"/>
      <c r="IN7" s="181"/>
      <c r="IO7" s="181"/>
      <c r="IP7" s="93"/>
      <c r="IQ7" s="181"/>
      <c r="IR7" s="181"/>
      <c r="IS7" s="93"/>
      <c r="IT7" s="94"/>
      <c r="IU7" s="94"/>
      <c r="IV7" s="93"/>
      <c r="IW7" s="181"/>
      <c r="IX7" s="181"/>
      <c r="IY7" s="93"/>
      <c r="IZ7" s="181"/>
      <c r="JA7" s="181"/>
      <c r="JB7" s="95"/>
      <c r="JC7" s="96"/>
      <c r="JD7" s="96"/>
      <c r="JE7" s="93"/>
      <c r="JF7" s="181"/>
      <c r="JG7" s="181"/>
      <c r="JH7" s="95"/>
      <c r="JI7" s="118"/>
      <c r="JJ7" s="118"/>
      <c r="JK7" s="93"/>
      <c r="JL7" s="181"/>
      <c r="JM7" s="181"/>
      <c r="JN7" s="93"/>
      <c r="JO7" s="185"/>
      <c r="JP7" s="185"/>
      <c r="JQ7" s="93"/>
      <c r="JR7" s="181"/>
      <c r="JS7" s="181"/>
      <c r="JT7" s="93"/>
      <c r="JU7" s="181"/>
      <c r="JV7" s="181"/>
      <c r="JW7" s="95"/>
      <c r="JX7" s="96"/>
      <c r="JY7" s="96"/>
    </row>
    <row r="8" spans="1:285">
      <c r="A8" s="176">
        <v>12</v>
      </c>
      <c r="B8" s="178"/>
      <c r="C8" s="6">
        <v>3</v>
      </c>
      <c r="D8" s="186" t="s">
        <v>311</v>
      </c>
      <c r="E8" s="23" t="s">
        <v>304</v>
      </c>
      <c r="F8" s="5" t="s">
        <v>33</v>
      </c>
      <c r="G8" s="93">
        <f>VLOOKUP($G$3,Commited_Actual_1stProject!$E$9:$BU$36,$A8,0)</f>
        <v>0.1</v>
      </c>
      <c r="H8" s="241">
        <f>VLOOKUP($G$3,Commited_Actual_1stProject!$E$9:$BU$36,$A8+1,0)</f>
        <v>38</v>
      </c>
      <c r="I8" s="241">
        <f>VLOOKUP($G$3,Commited_Actual_1stProject!$E$9:$BU$36,$A8+2,0)</f>
        <v>38.700000000000003</v>
      </c>
      <c r="J8" s="93">
        <f>VLOOKUP($J$3,Commited_Actual_1stProject!$E$9:$BU$36,$A8,0)</f>
        <v>0.1</v>
      </c>
      <c r="K8" s="241">
        <f>VLOOKUP($J$3,Commited_Actual_1stProject!$E$9:$BU$36,$A8+1,0)</f>
        <v>9</v>
      </c>
      <c r="L8" s="241">
        <f>VLOOKUP($J$3,Commited_Actual_1stProject!$E$9:$BU$36,$A8+2,0)</f>
        <v>13.23</v>
      </c>
      <c r="M8" s="93">
        <f>VLOOKUP($M$3,Commited_Actual_1stProject!$E$9:$BU$36,$A8,0)</f>
        <v>0.1</v>
      </c>
      <c r="N8" s="241">
        <f>VLOOKUP($M$3,Commited_Actual_1stProject!$E$9:$BU$36,$A8+1,0)</f>
        <v>11</v>
      </c>
      <c r="O8" s="241">
        <f>VLOOKUP($M$3,Commited_Actual_1stProject!$E$9:$BU$36,$A8+2,0)</f>
        <v>10.91</v>
      </c>
      <c r="P8" s="93">
        <f>VLOOKUP($P$3,Commited_Actual_1stProject!$E$9:$BU$36,$A8,0)</f>
        <v>0.1</v>
      </c>
      <c r="Q8" s="241">
        <f>VLOOKUP($P$3,Commited_Actual_1stProject!$E$9:$BU$36,$A8+1,0)</f>
        <v>30</v>
      </c>
      <c r="R8" s="241">
        <f>VLOOKUP($P$3,Commited_Actual_1stProject!$E$9:$BU$36,$A8+2,0)</f>
        <v>29.3</v>
      </c>
      <c r="S8" s="93">
        <f>VLOOKUP($S$3,Commited_Actual_1stProject!$E$9:$BU$36,$A8,0)</f>
        <v>0</v>
      </c>
      <c r="T8" s="241">
        <f>VLOOKUP($S$3,Commited_Actual_1stProject!$E$9:$BU$36,$A8+1,0)</f>
        <v>0</v>
      </c>
      <c r="U8" s="241">
        <f>VLOOKUP($S$3,Commited_Actual_1stProject!$E$9:$BU$36,$A8+2,0)</f>
        <v>0</v>
      </c>
      <c r="V8" s="93">
        <f>VLOOKUP($V$3,Commited_Actual_1stProject!$E$9:$BU$36,$A8,0)</f>
        <v>0</v>
      </c>
      <c r="W8" s="241">
        <f>VLOOKUP($V$3,Commited_Actual_1stProject!$E$9:$BU$36,$A8+1,0)</f>
        <v>0</v>
      </c>
      <c r="X8" s="241">
        <f>VLOOKUP($V$3,Commited_Actual_1stProject!$E$9:$BU$36,$A8+2,0)</f>
        <v>0</v>
      </c>
      <c r="Y8" s="93">
        <f>VLOOKUP($Y$3,Commited_Actual_1stProject!$E$9:$BU$36,$A8,0)</f>
        <v>0</v>
      </c>
      <c r="Z8" s="241">
        <f>VLOOKUP($Y$3,Commited_Actual_1stProject!$E$9:$BU$36,$A8+1,0)</f>
        <v>0</v>
      </c>
      <c r="AA8" s="241">
        <f>VLOOKUP($Y$3,Commited_Actual_1stProject!$E$9:$BU$36,$A8+2,0)</f>
        <v>0</v>
      </c>
      <c r="AB8" s="93">
        <f>VLOOKUP($AB$3,Commited_Actual_1stProject!$E$9:$BU$36,$A8,0)</f>
        <v>0</v>
      </c>
      <c r="AC8" s="241">
        <f>VLOOKUP($AB$3,Commited_Actual_1stProject!$E$9:$BU$36,$A8+1,0)</f>
        <v>0</v>
      </c>
      <c r="AD8" s="241">
        <f>VLOOKUP($AB$3,Commited_Actual_1stProject!$E$9:$BU$36,$A8+2,0)</f>
        <v>0</v>
      </c>
      <c r="AE8" s="93">
        <f>VLOOKUP($AE$3,Commited_Actual_1stProject!$E$9:$BU$36,$A8,0)</f>
        <v>0</v>
      </c>
      <c r="AF8" s="241">
        <f>VLOOKUP($AE$3,Commited_Actual_1stProject!$E$9:$BU$36,$A8+1,0)</f>
        <v>0</v>
      </c>
      <c r="AG8" s="241">
        <f>VLOOKUP($AE$3,Commited_Actual_1stProject!$E$9:$BU$36,$A8+2,0)</f>
        <v>0</v>
      </c>
      <c r="AH8" s="93">
        <f>VLOOKUP($AH$3,Commited_Actual_1stProject!$E$9:$BU$36,$A8,0)</f>
        <v>0.05</v>
      </c>
      <c r="AI8" s="118">
        <f>VLOOKUP($AH$3,Commited_Actual_1stProject!$E$9:$BU$36,$A8+1,0)</f>
        <v>0.05</v>
      </c>
      <c r="AJ8" s="93">
        <f>VLOOKUP($AH$3,Commited_Actual_1stProject!$E$9:$BU$36,$A8+2,0)</f>
        <v>0</v>
      </c>
      <c r="AK8" s="93">
        <f>VLOOKUP($AK$3,Commited_Actual_1stProject!$E$9:$BU$36,$A8,0)</f>
        <v>0</v>
      </c>
      <c r="AL8" s="118">
        <f>VLOOKUP($AK$3,Commited_Actual_1stProject!$E$9:$BU$36,$A8+1,0)</f>
        <v>0</v>
      </c>
      <c r="AM8" s="118">
        <f>VLOOKUP($AK$3,Commited_Actual_1stProject!$E$9:$BU$36,$A8+2,0)</f>
        <v>0</v>
      </c>
      <c r="AN8" s="93">
        <f>VLOOKUP($AN$3,Commited_Actual_1stProject!$E$9:$BU$36,$A8,0)</f>
        <v>0.1</v>
      </c>
      <c r="AO8" s="93">
        <f>VLOOKUP($AN$3,Commited_Actual_1stProject!$E$9:$BU$36,$A8+1,0)</f>
        <v>0.05</v>
      </c>
      <c r="AP8" s="93">
        <f>VLOOKUP($AN$3,Commited_Actual_1stProject!$E$9:$BU$36,$A8+2,0)</f>
        <v>0.01</v>
      </c>
      <c r="AQ8" s="93">
        <f>VLOOKUP($AQ$3,Commited_Actual_1stProject!$E$9:$BU$36,$A8,0)</f>
        <v>0</v>
      </c>
      <c r="AR8" s="241">
        <f>VLOOKUP($AQ$3,Commited_Actual_1stProject!$E$9:$BU$36,$A8+1,0)</f>
        <v>0</v>
      </c>
      <c r="AS8" s="241">
        <f>VLOOKUP($AQ$3,Commited_Actual_1stProject!$E$9:$BU$36,$A8+2,0)</f>
        <v>0</v>
      </c>
      <c r="AT8" s="93">
        <f>VLOOKUP($AT$3,Commited_Actual_1stProject!$E$9:$BU$36,$A8,0)</f>
        <v>0.1</v>
      </c>
      <c r="AU8" s="93">
        <f>VLOOKUP($AT$3,Commited_Actual_1stProject!$E$9:$BU$36,$A8+1,0)</f>
        <v>0.1</v>
      </c>
      <c r="AV8" s="93">
        <f>VLOOKUP($AT$3,Commited_Actual_1stProject!$E$9:$BU$36,$A8+2,0)</f>
        <v>0.01</v>
      </c>
      <c r="AW8" s="93">
        <f>VLOOKUP($AW$3,Commited_Actual_1stProject!$E$9:$BU$36,$A8,0)</f>
        <v>0</v>
      </c>
      <c r="AX8" s="241">
        <f>VLOOKUP($AW$3,Commited_Actual_1stProject!$E$9:$BU$36,$A8+1,0)</f>
        <v>0</v>
      </c>
      <c r="AY8" s="241">
        <f>VLOOKUP($AW$3,Commited_Actual_1stProject!$E$9:$BU$36,$A8+2,0)</f>
        <v>0</v>
      </c>
      <c r="AZ8" s="93">
        <f>VLOOKUP($AZ$3,Commited_Actual_1stProject!$E$9:$BU$36,$A8,0)</f>
        <v>0</v>
      </c>
      <c r="BA8" s="241">
        <f>VLOOKUP($AZ$3,Commited_Actual_1stProject!$E$9:$BU$36,$A8+1,0)</f>
        <v>0</v>
      </c>
      <c r="BB8" s="241">
        <f>VLOOKUP($AZ$3,Commited_Actual_1stProject!$E$9:$BU$36,$A8+2,0)</f>
        <v>0</v>
      </c>
      <c r="BC8" s="93">
        <f>VLOOKUP($BC$3,Commited_Actual_1stProject!$E$9:$BU$36,$A8,0)</f>
        <v>0.05</v>
      </c>
      <c r="BD8" s="118">
        <f>VLOOKUP($BC$3,Commited_Actual_1stProject!$E$9:$BU$36,$A8+1,0)</f>
        <v>0.25</v>
      </c>
      <c r="BE8" s="118">
        <f>VLOOKUP($BC$3,Commited_Actual_1stProject!$E$9:$BU$36,$A8+2,0)</f>
        <v>0.35</v>
      </c>
      <c r="BF8" s="93"/>
      <c r="BG8" s="241"/>
      <c r="BH8" s="241"/>
      <c r="BI8" s="93">
        <f>VLOOKUP($BI$3,Commited_Actual_1stProject!$E$9:$BU$36,$A8,0)</f>
        <v>0</v>
      </c>
      <c r="BJ8" s="241">
        <f>VLOOKUP($BI$3,Commited_Actual_1stProject!$E$9:$BU$36,$A8+1,0)</f>
        <v>0</v>
      </c>
      <c r="BK8" s="241">
        <f>VLOOKUP($BI$3,Commited_Actual_1stProject!$E$9:$BU$36,$A8+2,0)</f>
        <v>0</v>
      </c>
      <c r="BL8" s="93">
        <f>VLOOKUP($BL$3,Commited_Actual_1stProject!$E$9:$BU$36,$A8,0)</f>
        <v>0.05</v>
      </c>
      <c r="BM8" s="241">
        <f>VLOOKUP($BL$3,Commited_Actual_1stProject!$E$9:$BU$36,$A8+1,0)</f>
        <v>3</v>
      </c>
      <c r="BN8" s="241">
        <f>VLOOKUP($BL$3,Commited_Actual_1stProject!$E$9:$BU$36,$A8+2,0)</f>
        <v>3</v>
      </c>
      <c r="BO8" s="93">
        <f>VLOOKUP($BO$3,Commited_Actual_1stProject!$E$9:$BU$36,$A8,0)</f>
        <v>0.05</v>
      </c>
      <c r="BP8" s="241">
        <f>VLOOKUP($BO$3,Commited_Actual_1stProject!$E$9:$BU$36,$A8+1,0)</f>
        <v>3</v>
      </c>
      <c r="BQ8" s="241">
        <f>VLOOKUP($BO$3,Commited_Actual_1stProject!$E$9:$BU$36,$A8+2,0)</f>
        <v>3</v>
      </c>
      <c r="BR8" s="93">
        <f>VLOOKUP($BR$3,Commited_Actual_1stProject!$E$9:$BU$36,$A8,0)</f>
        <v>0.05</v>
      </c>
      <c r="BS8" s="241">
        <f>VLOOKUP($BR$3,Commited_Actual_1stProject!$E$9:$BU$36,$A8+1,0)</f>
        <v>3</v>
      </c>
      <c r="BT8" s="241">
        <f>VLOOKUP($BR$3,Commited_Actual_1stProject!$E$9:$BU$36,$A8+2,0)</f>
        <v>4</v>
      </c>
      <c r="BU8" s="93">
        <f>VLOOKUP($BU$3,Commited_Actual_1stProject!$E$9:$BU$36,$A8,0)</f>
        <v>0</v>
      </c>
      <c r="BV8" s="241">
        <f>VLOOKUP($BU$3,Commited_Actual_1stProject!$E$9:$BU$36,$A8+1,0)</f>
        <v>0</v>
      </c>
      <c r="BW8" s="241">
        <f>VLOOKUP($BU$3,Commited_Actual_1stProject!$E$9:$BU$36,$A8+2,0)</f>
        <v>0</v>
      </c>
      <c r="BX8" s="93">
        <f>VLOOKUP($BX$3,Commited_Actual_1stProject!$E$9:$BU$36,$A8,0)</f>
        <v>0.05</v>
      </c>
      <c r="BY8" s="241">
        <f>VLOOKUP($BX$3,Commited_Actual_1stProject!$E$9:$BU$36,$A8+1,0)</f>
        <v>10</v>
      </c>
      <c r="BZ8" s="241">
        <f>VLOOKUP($BX$3,Commited_Actual_1stProject!$E$9:$BU$36,$A8+2,0)</f>
        <v>96</v>
      </c>
      <c r="CA8" s="93">
        <f>VLOOKUP($CA$3,Commited_Actual_1stProject!$E$9:$BU$36,$A8,0)</f>
        <v>0</v>
      </c>
      <c r="CB8" s="241">
        <f>VLOOKUP($CA$3,Commited_Actual_1stProject!$E$9:$BU$36,$A8+1,0)</f>
        <v>0</v>
      </c>
      <c r="CC8" s="241">
        <f>VLOOKUP($CA$3,Commited_Actual_1stProject!$E$9:$BU$36,$A8+2,0)</f>
        <v>0</v>
      </c>
      <c r="CD8" s="93"/>
      <c r="CE8" s="241"/>
      <c r="CF8" s="241"/>
      <c r="CG8" s="93"/>
      <c r="CH8" s="241"/>
      <c r="CI8" s="241"/>
      <c r="CJ8" s="93">
        <f>VLOOKUP($CJ$3,Commited_Actual_1stProject!$E$9:$BU$36,$A8,0)</f>
        <v>0.1</v>
      </c>
      <c r="CK8" s="241">
        <f>VLOOKUP($CJ$3,Commited_Actual_1stProject!$E$9:$BU$36,$A8+1,0)</f>
        <v>3</v>
      </c>
      <c r="CL8" s="241">
        <f>VLOOKUP($CJ$3,Commited_Actual_1stProject!$E$9:$BU$36,$A8+2,0)</f>
        <v>3</v>
      </c>
      <c r="CM8" s="93"/>
      <c r="CN8" s="241"/>
      <c r="CO8" s="241"/>
      <c r="CP8" s="93"/>
      <c r="CQ8" s="241"/>
      <c r="CR8" s="241"/>
      <c r="CS8" s="93">
        <f>VLOOKUP($CS$3,Commited_Actual_1stProject!$E$9:$BU$36,$A8,0)</f>
        <v>0</v>
      </c>
      <c r="CT8" s="241">
        <f>VLOOKUP($CS$3,Commited_Actual_1stProject!$E$9:$BU$36,$A8+1,0)</f>
        <v>0</v>
      </c>
      <c r="CU8" s="241">
        <f>VLOOKUP($CS$3,Commited_Actual_1stProject!$E$9:$BU$36,$A8+2,0)</f>
        <v>0</v>
      </c>
      <c r="CV8" s="93"/>
      <c r="CW8" s="241"/>
      <c r="CX8" s="241"/>
      <c r="CY8" s="93"/>
      <c r="CZ8" s="241"/>
      <c r="DA8" s="241"/>
      <c r="DB8" s="93"/>
      <c r="DC8" s="93"/>
      <c r="DD8" s="93"/>
      <c r="DE8" s="93"/>
      <c r="DF8" s="93"/>
      <c r="DG8" s="93"/>
      <c r="DH8" s="93"/>
      <c r="DI8" s="93"/>
      <c r="DJ8" s="93"/>
      <c r="DK8" s="93"/>
      <c r="DL8" s="93"/>
      <c r="DM8" s="93"/>
      <c r="DN8" s="93"/>
      <c r="DO8" s="241"/>
      <c r="DP8" s="241"/>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5"/>
      <c r="FB8" s="96"/>
      <c r="FC8" s="96"/>
      <c r="FD8" s="95"/>
      <c r="FE8" s="96"/>
      <c r="FF8" s="96"/>
      <c r="FG8" s="95"/>
      <c r="FH8" s="96"/>
      <c r="FI8" s="96"/>
      <c r="FJ8" s="95"/>
      <c r="FK8" s="96"/>
      <c r="FL8" s="96"/>
      <c r="FM8" s="95"/>
      <c r="FN8" s="96"/>
      <c r="FO8" s="96"/>
      <c r="FP8" s="95"/>
      <c r="FQ8" s="96"/>
      <c r="FR8" s="96"/>
      <c r="FS8" s="95"/>
      <c r="FT8" s="96"/>
      <c r="FU8" s="96"/>
      <c r="FV8" s="93"/>
      <c r="FW8" s="181"/>
      <c r="FX8" s="181"/>
      <c r="FY8" s="93"/>
      <c r="FZ8" s="181"/>
      <c r="GA8" s="181"/>
      <c r="GB8" s="93"/>
      <c r="GC8" s="181"/>
      <c r="GD8" s="181"/>
      <c r="GE8" s="93"/>
      <c r="GF8" s="181"/>
      <c r="GG8" s="181"/>
      <c r="GH8" s="93"/>
      <c r="GI8" s="181"/>
      <c r="GJ8" s="181"/>
      <c r="GK8" s="93"/>
      <c r="GL8" s="181"/>
      <c r="GM8" s="181"/>
      <c r="GN8" s="93"/>
      <c r="GO8" s="181"/>
      <c r="GP8" s="181"/>
      <c r="GQ8" s="93"/>
      <c r="GR8" s="94"/>
      <c r="GS8" s="94"/>
      <c r="GT8" s="93"/>
      <c r="GU8" s="181"/>
      <c r="GV8" s="181"/>
      <c r="GW8" s="93"/>
      <c r="GX8" s="181"/>
      <c r="GY8" s="181"/>
      <c r="GZ8" s="95"/>
      <c r="HA8" s="96"/>
      <c r="HB8" s="96"/>
      <c r="HC8" s="93"/>
      <c r="HD8" s="181"/>
      <c r="HE8" s="181"/>
      <c r="HF8" s="95"/>
      <c r="HG8" s="118"/>
      <c r="HH8" s="118"/>
      <c r="HI8" s="93"/>
      <c r="HJ8" s="181"/>
      <c r="HK8" s="181"/>
      <c r="HL8" s="93"/>
      <c r="HM8" s="185"/>
      <c r="HN8" s="185"/>
      <c r="HO8" s="93"/>
      <c r="HP8" s="181"/>
      <c r="HQ8" s="181"/>
      <c r="HR8" s="93"/>
      <c r="HS8" s="181"/>
      <c r="HT8" s="181"/>
      <c r="HU8" s="95"/>
      <c r="HV8" s="96"/>
      <c r="HW8" s="96"/>
      <c r="HX8" s="93"/>
      <c r="HY8" s="181"/>
      <c r="HZ8" s="181"/>
      <c r="IA8" s="93"/>
      <c r="IB8" s="181"/>
      <c r="IC8" s="181"/>
      <c r="ID8" s="93"/>
      <c r="IE8" s="181"/>
      <c r="IF8" s="181"/>
      <c r="IG8" s="93"/>
      <c r="IH8" s="181"/>
      <c r="II8" s="181"/>
      <c r="IJ8" s="93"/>
      <c r="IK8" s="181"/>
      <c r="IL8" s="181"/>
      <c r="IM8" s="93"/>
      <c r="IN8" s="181"/>
      <c r="IO8" s="181"/>
      <c r="IP8" s="93"/>
      <c r="IQ8" s="181"/>
      <c r="IR8" s="181"/>
      <c r="IS8" s="93"/>
      <c r="IT8" s="94"/>
      <c r="IU8" s="94"/>
      <c r="IV8" s="93"/>
      <c r="IW8" s="181"/>
      <c r="IX8" s="181"/>
      <c r="IY8" s="93"/>
      <c r="IZ8" s="181"/>
      <c r="JA8" s="181"/>
      <c r="JB8" s="95"/>
      <c r="JC8" s="96"/>
      <c r="JD8" s="96"/>
      <c r="JE8" s="93"/>
      <c r="JF8" s="181"/>
      <c r="JG8" s="181"/>
      <c r="JH8" s="95"/>
      <c r="JI8" s="118"/>
      <c r="JJ8" s="118"/>
      <c r="JK8" s="93"/>
      <c r="JL8" s="181"/>
      <c r="JM8" s="181"/>
      <c r="JN8" s="93"/>
      <c r="JO8" s="185"/>
      <c r="JP8" s="185"/>
      <c r="JQ8" s="93"/>
      <c r="JR8" s="181"/>
      <c r="JS8" s="181"/>
      <c r="JT8" s="93"/>
      <c r="JU8" s="181"/>
      <c r="JV8" s="181"/>
      <c r="JW8" s="95"/>
      <c r="JX8" s="96"/>
      <c r="JY8" s="96"/>
    </row>
    <row r="9" spans="1:285">
      <c r="A9" s="176">
        <v>17</v>
      </c>
      <c r="B9" s="178"/>
      <c r="C9" s="6">
        <v>4</v>
      </c>
      <c r="D9" s="186" t="s">
        <v>312</v>
      </c>
      <c r="E9" s="23" t="s">
        <v>304</v>
      </c>
      <c r="F9" s="5" t="s">
        <v>33</v>
      </c>
      <c r="G9" s="93">
        <f>VLOOKUP($G$3,Commited_Actual_1stProject!$E$9:$BU$36,$A9,0)</f>
        <v>0.1</v>
      </c>
      <c r="H9" s="241">
        <f>VLOOKUP($G$3,Commited_Actual_1stProject!$E$9:$BU$36,$A9+1,0)</f>
        <v>37</v>
      </c>
      <c r="I9" s="241">
        <f>VLOOKUP($G$3,Commited_Actual_1stProject!$E$9:$BU$36,$A9+2,0)</f>
        <v>28.54</v>
      </c>
      <c r="J9" s="93">
        <f>VLOOKUP($J$3,Commited_Actual_1stProject!$E$9:$BU$36,$A9,0)</f>
        <v>0.1</v>
      </c>
      <c r="K9" s="241">
        <f>VLOOKUP($J$3,Commited_Actual_1stProject!$E$9:$BU$36,$A9+1,0)</f>
        <v>8</v>
      </c>
      <c r="L9" s="241">
        <f>VLOOKUP($J$3,Commited_Actual_1stProject!$E$9:$BU$36,$A9+2,0)</f>
        <v>16.23</v>
      </c>
      <c r="M9" s="93">
        <f>VLOOKUP($M$3,Commited_Actual_1stProject!$E$9:$BU$36,$A9,0)</f>
        <v>0.1</v>
      </c>
      <c r="N9" s="241">
        <f>VLOOKUP($M$3,Commited_Actual_1stProject!$E$9:$BU$36,$A9+1,0)</f>
        <v>15</v>
      </c>
      <c r="O9" s="241">
        <f>VLOOKUP($M$3,Commited_Actual_1stProject!$E$9:$BU$36,$A9+2,0)</f>
        <v>31.24</v>
      </c>
      <c r="P9" s="93">
        <f>VLOOKUP($P$3,Commited_Actual_1stProject!$E$9:$BU$36,$A9,0)</f>
        <v>0.15</v>
      </c>
      <c r="Q9" s="241">
        <f>VLOOKUP($P$3,Commited_Actual_1stProject!$E$9:$BU$36,$A9+1,0)</f>
        <v>35</v>
      </c>
      <c r="R9" s="241">
        <f>VLOOKUP($P$3,Commited_Actual_1stProject!$E$9:$BU$36,$A9+2,0)</f>
        <v>40.36</v>
      </c>
      <c r="S9" s="93">
        <f>VLOOKUP($S$3,Commited_Actual_1stProject!$E$9:$BU$36,$A9,0)</f>
        <v>0</v>
      </c>
      <c r="T9" s="241">
        <f>VLOOKUP($S$3,Commited_Actual_1stProject!$E$9:$BU$36,$A9+1,0)</f>
        <v>0</v>
      </c>
      <c r="U9" s="241">
        <f>VLOOKUP($S$3,Commited_Actual_1stProject!$E$9:$BU$36,$A9+2,0)</f>
        <v>0</v>
      </c>
      <c r="V9" s="93">
        <f>VLOOKUP($V$3,Commited_Actual_1stProject!$E$9:$BU$36,$A9,0)</f>
        <v>0</v>
      </c>
      <c r="W9" s="241">
        <f>VLOOKUP($V$3,Commited_Actual_1stProject!$E$9:$BU$36,$A9+1,0)</f>
        <v>0</v>
      </c>
      <c r="X9" s="241">
        <f>VLOOKUP($V$3,Commited_Actual_1stProject!$E$9:$BU$36,$A9+2,0)</f>
        <v>0</v>
      </c>
      <c r="Y9" s="93">
        <f>VLOOKUP($Y$3,Commited_Actual_1stProject!$E$9:$BU$36,$A9,0)</f>
        <v>0</v>
      </c>
      <c r="Z9" s="241">
        <f>VLOOKUP($Y$3,Commited_Actual_1stProject!$E$9:$BU$36,$A9+1,0)</f>
        <v>0</v>
      </c>
      <c r="AA9" s="241">
        <f>VLOOKUP($Y$3,Commited_Actual_1stProject!$E$9:$BU$36,$A9+2,0)</f>
        <v>0</v>
      </c>
      <c r="AB9" s="93">
        <f>VLOOKUP($AB$3,Commited_Actual_1stProject!$E$9:$BU$36,$A9,0)</f>
        <v>0</v>
      </c>
      <c r="AC9" s="241">
        <f>VLOOKUP($AB$3,Commited_Actual_1stProject!$E$9:$BU$36,$A9+1,0)</f>
        <v>0</v>
      </c>
      <c r="AD9" s="241">
        <f>VLOOKUP($AB$3,Commited_Actual_1stProject!$E$9:$BU$36,$A9+2,0)</f>
        <v>0</v>
      </c>
      <c r="AE9" s="93">
        <f>VLOOKUP($AE$3,Commited_Actual_1stProject!$E$9:$BU$36,$A9,0)</f>
        <v>0</v>
      </c>
      <c r="AF9" s="241">
        <f>VLOOKUP($AE$3,Commited_Actual_1stProject!$E$9:$BU$36,$A9+1,0)</f>
        <v>0</v>
      </c>
      <c r="AG9" s="241">
        <f>VLOOKUP($AE$3,Commited_Actual_1stProject!$E$9:$BU$36,$A9+2,0)</f>
        <v>0</v>
      </c>
      <c r="AH9" s="93">
        <f>VLOOKUP($AH$3,Commited_Actual_1stProject!$E$9:$BU$36,$A9,0)</f>
        <v>0.05</v>
      </c>
      <c r="AI9" s="118">
        <f>VLOOKUP($AH$3,Commited_Actual_1stProject!$E$9:$BU$36,$A9+1,0)</f>
        <v>0.05</v>
      </c>
      <c r="AJ9" s="93">
        <f>VLOOKUP($AH$3,Commited_Actual_1stProject!$E$9:$BU$36,$A9+2,0)</f>
        <v>0.05</v>
      </c>
      <c r="AK9" s="93">
        <f>VLOOKUP($AK$3,Commited_Actual_1stProject!$E$9:$BU$36,$A9,0)</f>
        <v>0</v>
      </c>
      <c r="AL9" s="118">
        <f>VLOOKUP($AK$3,Commited_Actual_1stProject!$E$9:$BU$36,$A9+1,0)</f>
        <v>0</v>
      </c>
      <c r="AM9" s="118">
        <f>VLOOKUP($AK$3,Commited_Actual_1stProject!$E$9:$BU$36,$A9+2,0)</f>
        <v>0</v>
      </c>
      <c r="AN9" s="93">
        <f>VLOOKUP($AN$3,Commited_Actual_1stProject!$E$9:$BU$36,$A9,0)</f>
        <v>0.1</v>
      </c>
      <c r="AO9" s="93">
        <f>VLOOKUP($AN$3,Commited_Actual_1stProject!$E$9:$BU$36,$A9+1,0)</f>
        <v>0.05</v>
      </c>
      <c r="AP9" s="93">
        <f>VLOOKUP($AN$3,Commited_Actual_1stProject!$E$9:$BU$36,$A9+2,0)</f>
        <v>0</v>
      </c>
      <c r="AQ9" s="93">
        <f>VLOOKUP($AQ$3,Commited_Actual_1stProject!$E$9:$BU$36,$A9,0)</f>
        <v>0</v>
      </c>
      <c r="AR9" s="241">
        <f>VLOOKUP($AQ$3,Commited_Actual_1stProject!$E$9:$BU$36,$A9+1,0)</f>
        <v>0</v>
      </c>
      <c r="AS9" s="241">
        <f>VLOOKUP($AQ$3,Commited_Actual_1stProject!$E$9:$BU$36,$A9+2,0)</f>
        <v>0</v>
      </c>
      <c r="AT9" s="93">
        <f>VLOOKUP($AT$3,Commited_Actual_1stProject!$E$9:$BU$36,$A9,0)</f>
        <v>0.1</v>
      </c>
      <c r="AU9" s="93">
        <f>VLOOKUP($AT$3,Commited_Actual_1stProject!$E$9:$BU$36,$A9+1,0)</f>
        <v>0.1</v>
      </c>
      <c r="AV9" s="93">
        <f>VLOOKUP($AT$3,Commited_Actual_1stProject!$E$9:$BU$36,$A9+2,0)</f>
        <v>0.02</v>
      </c>
      <c r="AW9" s="93">
        <f>VLOOKUP($AW$3,Commited_Actual_1stProject!$E$9:$BU$36,$A9,0)</f>
        <v>0</v>
      </c>
      <c r="AX9" s="241">
        <f>VLOOKUP($AW$3,Commited_Actual_1stProject!$E$9:$BU$36,$A9+1,0)</f>
        <v>0</v>
      </c>
      <c r="AY9" s="241">
        <f>VLOOKUP($AW$3,Commited_Actual_1stProject!$E$9:$BU$36,$A9+2,0)</f>
        <v>0</v>
      </c>
      <c r="AZ9" s="93">
        <f>VLOOKUP($AZ$3,Commited_Actual_1stProject!$E$9:$BU$36,$A9,0)</f>
        <v>0</v>
      </c>
      <c r="BA9" s="241">
        <f>VLOOKUP($AZ$3,Commited_Actual_1stProject!$E$9:$BU$36,$A9+1,0)</f>
        <v>0</v>
      </c>
      <c r="BB9" s="241">
        <f>VLOOKUP($AZ$3,Commited_Actual_1stProject!$E$9:$BU$36,$A9+2,0)</f>
        <v>0</v>
      </c>
      <c r="BC9" s="93">
        <f>VLOOKUP($BC$3,Commited_Actual_1stProject!$E$9:$BU$36,$A9,0)</f>
        <v>0.1</v>
      </c>
      <c r="BD9" s="118">
        <f>VLOOKUP($BC$3,Commited_Actual_1stProject!$E$9:$BU$36,$A9+1,0)</f>
        <v>0.25</v>
      </c>
      <c r="BE9" s="118">
        <f>VLOOKUP($BC$3,Commited_Actual_1stProject!$E$9:$BU$36,$A9+2,0)</f>
        <v>0.54</v>
      </c>
      <c r="BF9" s="93"/>
      <c r="BG9" s="241"/>
      <c r="BH9" s="241"/>
      <c r="BI9" s="93">
        <f>VLOOKUP($BI$3,Commited_Actual_1stProject!$E$9:$BU$36,$A9,0)</f>
        <v>0.05</v>
      </c>
      <c r="BJ9" s="241">
        <f>VLOOKUP($BI$3,Commited_Actual_1stProject!$E$9:$BU$36,$A9+1,0)</f>
        <v>650</v>
      </c>
      <c r="BK9" s="241">
        <f>VLOOKUP($BI$3,Commited_Actual_1stProject!$E$9:$BU$36,$A9+2,0)</f>
        <v>705</v>
      </c>
      <c r="BL9" s="93">
        <f>VLOOKUP($BL$3,Commited_Actual_1stProject!$E$9:$BU$36,$A9,0)</f>
        <v>0.04</v>
      </c>
      <c r="BM9" s="241">
        <f>VLOOKUP($BL$3,Commited_Actual_1stProject!$E$9:$BU$36,$A9+1,0)</f>
        <v>3</v>
      </c>
      <c r="BN9" s="241">
        <f>VLOOKUP($BL$3,Commited_Actual_1stProject!$E$9:$BU$36,$A9+2,0)</f>
        <v>4</v>
      </c>
      <c r="BO9" s="93">
        <f>VLOOKUP($BO$3,Commited_Actual_1stProject!$E$9:$BU$36,$A9,0)</f>
        <v>0.03</v>
      </c>
      <c r="BP9" s="241">
        <f>VLOOKUP($BO$3,Commited_Actual_1stProject!$E$9:$BU$36,$A9+1,0)</f>
        <v>3</v>
      </c>
      <c r="BQ9" s="241">
        <f>VLOOKUP($BO$3,Commited_Actual_1stProject!$E$9:$BU$36,$A9+2,0)</f>
        <v>4</v>
      </c>
      <c r="BR9" s="93">
        <f>VLOOKUP($BR$3,Commited_Actual_1stProject!$E$9:$BU$36,$A9,0)</f>
        <v>0.03</v>
      </c>
      <c r="BS9" s="241">
        <f>VLOOKUP($BR$3,Commited_Actual_1stProject!$E$9:$BU$36,$A9+1,0)</f>
        <v>3</v>
      </c>
      <c r="BT9" s="241">
        <f>VLOOKUP($BR$3,Commited_Actual_1stProject!$E$9:$BU$36,$A9+2,0)</f>
        <v>5</v>
      </c>
      <c r="BU9" s="93">
        <f>VLOOKUP($BU$3,Commited_Actual_1stProject!$E$9:$BU$36,$A9,0)</f>
        <v>0</v>
      </c>
      <c r="BV9" s="241">
        <f>VLOOKUP($BU$3,Commited_Actual_1stProject!$E$9:$BU$36,$A9+1,0)</f>
        <v>0</v>
      </c>
      <c r="BW9" s="241">
        <f>VLOOKUP($BU$3,Commited_Actual_1stProject!$E$9:$BU$36,$A9+2,0)</f>
        <v>0</v>
      </c>
      <c r="BX9" s="93">
        <f>VLOOKUP($BX$3,Commited_Actual_1stProject!$E$9:$BU$36,$A9,0)</f>
        <v>0</v>
      </c>
      <c r="BY9" s="241">
        <f>VLOOKUP($BX$3,Commited_Actual_1stProject!$E$9:$BU$36,$A9+1,0)</f>
        <v>0</v>
      </c>
      <c r="BZ9" s="241">
        <f>VLOOKUP($BX$3,Commited_Actual_1stProject!$E$9:$BU$36,$A9+2,0)</f>
        <v>0</v>
      </c>
      <c r="CA9" s="93">
        <f>VLOOKUP($CA$3,Commited_Actual_1stProject!$E$9:$BU$36,$A9,0)</f>
        <v>0.05</v>
      </c>
      <c r="CB9" s="241">
        <f>VLOOKUP($CA$3,Commited_Actual_1stProject!$E$9:$BU$36,$A9+1,0)</f>
        <v>1</v>
      </c>
      <c r="CC9" s="241">
        <f>VLOOKUP($CA$3,Commited_Actual_1stProject!$E$9:$BU$36,$A9+2,0)</f>
        <v>1</v>
      </c>
      <c r="CD9" s="93"/>
      <c r="CE9" s="241"/>
      <c r="CF9" s="241"/>
      <c r="CG9" s="93"/>
      <c r="CH9" s="241"/>
      <c r="CI9" s="241"/>
      <c r="CJ9" s="93">
        <f>VLOOKUP($CJ$3,Commited_Actual_1stProject!$E$9:$BU$36,$A9,0)</f>
        <v>0</v>
      </c>
      <c r="CK9" s="241">
        <f>VLOOKUP($CJ$3,Commited_Actual_1stProject!$E$9:$BU$36,$A9+1,0)</f>
        <v>0</v>
      </c>
      <c r="CL9" s="241">
        <f>VLOOKUP($CJ$3,Commited_Actual_1stProject!$E$9:$BU$36,$A9+2,0)</f>
        <v>0</v>
      </c>
      <c r="CM9" s="93"/>
      <c r="CN9" s="241"/>
      <c r="CO9" s="241"/>
      <c r="CP9" s="93"/>
      <c r="CQ9" s="241"/>
      <c r="CR9" s="241"/>
      <c r="CS9" s="93">
        <f>VLOOKUP($CS$3,Commited_Actual_1stProject!$E$9:$BU$36,$A9,0)</f>
        <v>0</v>
      </c>
      <c r="CT9" s="241">
        <f>VLOOKUP($CS$3,Commited_Actual_1stProject!$E$9:$BU$36,$A9+1,0)</f>
        <v>0</v>
      </c>
      <c r="CU9" s="241">
        <f>VLOOKUP($CS$3,Commited_Actual_1stProject!$E$9:$BU$36,$A9+2,0)</f>
        <v>0</v>
      </c>
      <c r="CV9" s="93"/>
      <c r="CW9" s="241"/>
      <c r="CX9" s="241"/>
      <c r="CY9" s="93"/>
      <c r="CZ9" s="241"/>
      <c r="DA9" s="241"/>
      <c r="DB9" s="93"/>
      <c r="DC9" s="93"/>
      <c r="DD9" s="93"/>
      <c r="DE9" s="93"/>
      <c r="DF9" s="93"/>
      <c r="DG9" s="93"/>
      <c r="DH9" s="93"/>
      <c r="DI9" s="93"/>
      <c r="DJ9" s="93"/>
      <c r="DK9" s="93"/>
      <c r="DL9" s="93"/>
      <c r="DM9" s="93"/>
      <c r="DN9" s="93"/>
      <c r="DO9" s="241"/>
      <c r="DP9" s="241"/>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5"/>
      <c r="FB9" s="96"/>
      <c r="FC9" s="96"/>
      <c r="FD9" s="95"/>
      <c r="FE9" s="96"/>
      <c r="FF9" s="96"/>
      <c r="FG9" s="95"/>
      <c r="FH9" s="96"/>
      <c r="FI9" s="96"/>
      <c r="FJ9" s="95"/>
      <c r="FK9" s="96"/>
      <c r="FL9" s="96"/>
      <c r="FM9" s="95"/>
      <c r="FN9" s="96"/>
      <c r="FO9" s="96"/>
      <c r="FP9" s="95"/>
      <c r="FQ9" s="96"/>
      <c r="FR9" s="96"/>
      <c r="FS9" s="95"/>
      <c r="FT9" s="96"/>
      <c r="FU9" s="96"/>
      <c r="FV9" s="93"/>
      <c r="FW9" s="94"/>
      <c r="FX9" s="94"/>
      <c r="FY9" s="93"/>
      <c r="FZ9" s="94"/>
      <c r="GA9" s="94"/>
      <c r="GB9" s="95"/>
      <c r="GC9" s="94"/>
      <c r="GD9" s="94"/>
      <c r="GE9" s="95"/>
      <c r="GF9" s="94"/>
      <c r="GG9" s="94"/>
      <c r="GH9" s="95"/>
      <c r="GI9" s="94"/>
      <c r="GJ9" s="94"/>
      <c r="GK9" s="95"/>
      <c r="GL9" s="94"/>
      <c r="GM9" s="94"/>
      <c r="GN9" s="95"/>
      <c r="GO9" s="94"/>
      <c r="GP9" s="94"/>
      <c r="GQ9" s="93"/>
      <c r="GR9" s="94"/>
      <c r="GS9" s="94"/>
      <c r="GT9" s="95"/>
      <c r="GU9" s="96"/>
      <c r="GV9" s="96"/>
      <c r="GW9" s="95"/>
      <c r="GX9" s="96"/>
      <c r="GY9" s="96"/>
      <c r="GZ9" s="95"/>
      <c r="HA9" s="96"/>
      <c r="HB9" s="96"/>
      <c r="HC9" s="95"/>
      <c r="HD9" s="96"/>
      <c r="HE9" s="96"/>
      <c r="HF9" s="95"/>
      <c r="HG9" s="96"/>
      <c r="HH9" s="96"/>
      <c r="HI9" s="95"/>
      <c r="HJ9" s="96"/>
      <c r="HK9" s="96"/>
      <c r="HL9" s="95"/>
      <c r="HM9" s="96"/>
      <c r="HN9" s="96"/>
      <c r="HO9" s="95"/>
      <c r="HP9" s="96"/>
      <c r="HQ9" s="96"/>
      <c r="HR9" s="95"/>
      <c r="HS9" s="96"/>
      <c r="HT9" s="96"/>
      <c r="HU9" s="95"/>
      <c r="HV9" s="96"/>
      <c r="HW9" s="96"/>
      <c r="HX9" s="93"/>
      <c r="HY9" s="94"/>
      <c r="HZ9" s="94"/>
      <c r="IA9" s="93"/>
      <c r="IB9" s="94"/>
      <c r="IC9" s="94"/>
      <c r="ID9" s="95"/>
      <c r="IE9" s="94"/>
      <c r="IF9" s="94"/>
      <c r="IG9" s="95"/>
      <c r="IH9" s="94"/>
      <c r="II9" s="94"/>
      <c r="IJ9" s="95"/>
      <c r="IK9" s="94"/>
      <c r="IL9" s="94"/>
      <c r="IM9" s="95"/>
      <c r="IN9" s="94"/>
      <c r="IO9" s="94"/>
      <c r="IP9" s="95"/>
      <c r="IQ9" s="94"/>
      <c r="IR9" s="94"/>
      <c r="IS9" s="93"/>
      <c r="IT9" s="94"/>
      <c r="IU9" s="94"/>
      <c r="IV9" s="95"/>
      <c r="IW9" s="96"/>
      <c r="IX9" s="96"/>
      <c r="IY9" s="95"/>
      <c r="IZ9" s="96"/>
      <c r="JA9" s="96"/>
      <c r="JB9" s="95"/>
      <c r="JC9" s="96"/>
      <c r="JD9" s="96"/>
      <c r="JE9" s="95"/>
      <c r="JF9" s="96"/>
      <c r="JG9" s="96"/>
      <c r="JH9" s="95"/>
      <c r="JI9" s="96"/>
      <c r="JJ9" s="96"/>
      <c r="JK9" s="95"/>
      <c r="JL9" s="96"/>
      <c r="JM9" s="96"/>
      <c r="JN9" s="95"/>
      <c r="JO9" s="96"/>
      <c r="JP9" s="96"/>
      <c r="JQ9" s="95"/>
      <c r="JR9" s="96"/>
      <c r="JS9" s="96"/>
      <c r="JT9" s="95"/>
      <c r="JU9" s="96"/>
      <c r="JV9" s="96"/>
      <c r="JW9" s="95"/>
      <c r="JX9" s="96"/>
      <c r="JY9" s="96"/>
    </row>
    <row r="10" spans="1:285">
      <c r="A10" s="176"/>
      <c r="B10" s="178"/>
      <c r="C10" s="6">
        <v>5</v>
      </c>
      <c r="D10" s="242" t="s">
        <v>313</v>
      </c>
      <c r="E10" s="23" t="s">
        <v>305</v>
      </c>
      <c r="F10" s="5" t="s">
        <v>33</v>
      </c>
      <c r="G10" s="93">
        <f>VLOOKUP($G$3,Commited_Actual_1stProject!$E$9:$BU$36,$D29,0)</f>
        <v>7.0000000000000007E-2</v>
      </c>
      <c r="H10" s="241">
        <f>VLOOKUP($G$3,Commited_Actual_1stProject!$E$9:$BU$36,$D29+1,0)</f>
        <v>40</v>
      </c>
      <c r="I10" s="241">
        <f>VLOOKUP($G$3,Commited_Actual_1stProject!$E$9:$BU$36,$D29+2,0)</f>
        <v>65.430000000000007</v>
      </c>
      <c r="J10" s="93">
        <f>VLOOKUP($J$3,Commited_Actual_1stProject!$E$9:$BU$36,$D29,0)</f>
        <v>0.05</v>
      </c>
      <c r="K10" s="241">
        <f>VLOOKUP($J$3,Commited_Actual_1stProject!$E$9:$BU$36,$D29+1,0)</f>
        <v>8</v>
      </c>
      <c r="L10" s="241">
        <f>VLOOKUP($J$3,Commited_Actual_1stProject!$E$9:$BU$36,$D29+2,0)</f>
        <v>21.51</v>
      </c>
      <c r="M10" s="93">
        <f>VLOOKUP($M$3,Commited_Actual_1stProject!$E$9:$BU$36,$D29,0)</f>
        <v>0.05</v>
      </c>
      <c r="N10" s="241">
        <f>VLOOKUP($M$3,Commited_Actual_1stProject!$E$9:$BU$36,$D29+1,0)</f>
        <v>45</v>
      </c>
      <c r="O10" s="241">
        <f>VLOOKUP($M$3,Commited_Actual_1stProject!$E$9:$BU$36,$D29+2,0)</f>
        <v>49.91</v>
      </c>
      <c r="P10" s="93">
        <f>VLOOKUP($P$3,Commited_Actual_1stProject!$E$9:$BU$36,$D29,0)</f>
        <v>7.0000000000000007E-2</v>
      </c>
      <c r="Q10" s="241">
        <f>VLOOKUP($P$3,Commited_Actual_1stProject!$E$9:$BU$36,$D29+1,0)</f>
        <v>60</v>
      </c>
      <c r="R10" s="241">
        <f>VLOOKUP($P$3,Commited_Actual_1stProject!$E$9:$BU$36,$D29+2,0)</f>
        <v>66.069999999999993</v>
      </c>
      <c r="S10" s="93">
        <f>VLOOKUP($S$3,Commited_Actual_1stProject!$E$9:$BU$36,$D29,0)</f>
        <v>0</v>
      </c>
      <c r="T10" s="241">
        <f>VLOOKUP($S$3,Commited_Actual_1stProject!$E$9:$BU$36,$D29+1,0)</f>
        <v>0</v>
      </c>
      <c r="U10" s="241">
        <f>VLOOKUP($S$3,Commited_Actual_1stProject!$E$9:$BU$36,$D29+2,0)</f>
        <v>0</v>
      </c>
      <c r="V10" s="93">
        <f>VLOOKUP($V$3,Commited_Actual_1stProject!$E$9:$BU$36,$D29,0)</f>
        <v>0</v>
      </c>
      <c r="W10" s="241">
        <f>VLOOKUP($V$3,Commited_Actual_1stProject!$E$9:$BU$36,$D29+1,0)</f>
        <v>0</v>
      </c>
      <c r="X10" s="241">
        <f>VLOOKUP($V$3,Commited_Actual_1stProject!$E$9:$BU$36,$D29+2,0)</f>
        <v>0</v>
      </c>
      <c r="Y10" s="93">
        <f>VLOOKUP($Y$3,Commited_Actual_1stProject!$E$9:$BU$36,$D29,0)</f>
        <v>0</v>
      </c>
      <c r="Z10" s="241">
        <f>VLOOKUP($Y$3,Commited_Actual_1stProject!$E$9:$BU$36,$D29+1,0)</f>
        <v>0</v>
      </c>
      <c r="AA10" s="241">
        <f>VLOOKUP($Y$3,Commited_Actual_1stProject!$E$9:$BU$36,$D29+2,0)</f>
        <v>0</v>
      </c>
      <c r="AB10" s="93">
        <f>VLOOKUP($AB$3,Commited_Actual_1stProject!$E$9:$BU$36,$D29,0)</f>
        <v>0</v>
      </c>
      <c r="AC10" s="241">
        <f>VLOOKUP($AB$3,Commited_Actual_1stProject!$E$9:$BU$36,$D29+1,0)</f>
        <v>0</v>
      </c>
      <c r="AD10" s="241">
        <f>VLOOKUP($AB$3,Commited_Actual_1stProject!$E$9:$BU$36,$D29+2,0)</f>
        <v>0</v>
      </c>
      <c r="AE10" s="93">
        <f>VLOOKUP($AE$3,Commited_Actual_1stProject!$E$9:$BU$36,$D29,0)</f>
        <v>0</v>
      </c>
      <c r="AF10" s="241">
        <f>VLOOKUP($AE$3,Commited_Actual_1stProject!$E$9:$BU$36,$D29+1,0)</f>
        <v>0</v>
      </c>
      <c r="AG10" s="241">
        <f>VLOOKUP($AE$3,Commited_Actual_1stProject!$E$9:$BU$36,$D29+2,0)</f>
        <v>0</v>
      </c>
      <c r="AH10" s="93">
        <f>VLOOKUP($AH$3,Commited_Actual_1stProject!$E$9:$BU$36,$D29,0)</f>
        <v>0.06</v>
      </c>
      <c r="AI10" s="118">
        <f>VLOOKUP($AH$3,Commited_Actual_1stProject!$E$9:$BU$36,$D29+1,0)</f>
        <v>0.05</v>
      </c>
      <c r="AJ10" s="93">
        <f>VLOOKUP($AH$3,Commited_Actual_1stProject!$E$9:$BU$36,$D29+2,0)</f>
        <v>0.04</v>
      </c>
      <c r="AK10" s="93">
        <f>VLOOKUP($AK$3,Commited_Actual_1stProject!$E$9:$BU$36,$D29,0)</f>
        <v>0</v>
      </c>
      <c r="AL10" s="118">
        <f>VLOOKUP($AK$3,Commited_Actual_1stProject!$E$9:$BU$36,$D29+1,0)</f>
        <v>0</v>
      </c>
      <c r="AM10" s="118">
        <f>VLOOKUP($AK$3,Commited_Actual_1stProject!$E$9:$BU$36,$D29+2,0)</f>
        <v>0</v>
      </c>
      <c r="AN10" s="93">
        <f>VLOOKUP($AN$3,Commited_Actual_1stProject!$E$9:$BU$36,$D29,0)</f>
        <v>0.05</v>
      </c>
      <c r="AO10" s="93">
        <f>VLOOKUP($AN$3,Commited_Actual_1stProject!$E$9:$BU$36,$D29+1,0)</f>
        <v>0.05</v>
      </c>
      <c r="AP10" s="93">
        <f>VLOOKUP($AN$3,Commited_Actual_1stProject!$E$9:$BU$36,$D29+2,0)</f>
        <v>0</v>
      </c>
      <c r="AQ10" s="93">
        <f>VLOOKUP($AQ$3,Commited_Actual_1stProject!$E$9:$BU$36,$D29,0)</f>
        <v>0</v>
      </c>
      <c r="AR10" s="241">
        <f>VLOOKUP($AQ$3,Commited_Actual_1stProject!$E$9:$BU$36,$D29+1,0)</f>
        <v>0</v>
      </c>
      <c r="AS10" s="241">
        <f>VLOOKUP($AQ$3,Commited_Actual_1stProject!$E$9:$BU$36,$D29+2,0)</f>
        <v>0</v>
      </c>
      <c r="AT10" s="93">
        <f>VLOOKUP($AT$3,Commited_Actual_1stProject!$E$9:$BU$36,$D29,0)</f>
        <v>0.05</v>
      </c>
      <c r="AU10" s="93">
        <f>VLOOKUP($AT$3,Commited_Actual_1stProject!$E$9:$BU$36,$D29+1,0)</f>
        <v>0.1</v>
      </c>
      <c r="AV10" s="93">
        <f>VLOOKUP($AT$3,Commited_Actual_1stProject!$E$9:$BU$36,$D29+2,0)</f>
        <v>0.01</v>
      </c>
      <c r="AW10" s="93">
        <f>VLOOKUP($AW$3,Commited_Actual_1stProject!$E$9:$BU$36,$D29,0)</f>
        <v>0</v>
      </c>
      <c r="AX10" s="241">
        <f>VLOOKUP($AW$3,Commited_Actual_1stProject!$E$9:$BU$36,$D29+1,0)</f>
        <v>0</v>
      </c>
      <c r="AY10" s="241">
        <f>VLOOKUP($AW$3,Commited_Actual_1stProject!$E$9:$BU$36,$D29+2,0)</f>
        <v>0</v>
      </c>
      <c r="AZ10" s="93">
        <f>VLOOKUP($AZ$3,Commited_Actual_1stProject!$E$9:$BU$36,$D29,0)</f>
        <v>0</v>
      </c>
      <c r="BA10" s="241">
        <f>VLOOKUP($AZ$3,Commited_Actual_1stProject!$E$9:$BU$36,$D29+1,0)</f>
        <v>0</v>
      </c>
      <c r="BB10" s="241">
        <f>VLOOKUP($AZ$3,Commited_Actual_1stProject!$E$9:$BU$36,$D29+2,0)</f>
        <v>0</v>
      </c>
      <c r="BC10" s="93">
        <f>VLOOKUP($BC$3,Commited_Actual_1stProject!$E$9:$BU$36,$D29,0)</f>
        <v>0</v>
      </c>
      <c r="BD10" s="118">
        <f>VLOOKUP($BC$3,Commited_Actual_1stProject!$E$9:$BU$36,$D29+1,0)</f>
        <v>0</v>
      </c>
      <c r="BE10" s="118">
        <f>VLOOKUP($BC$3,Commited_Actual_1stProject!$E$9:$BU$36,$D29+2,0)</f>
        <v>0</v>
      </c>
      <c r="BF10" s="93"/>
      <c r="BG10" s="241"/>
      <c r="BH10" s="241"/>
      <c r="BI10" s="93">
        <f>VLOOKUP($BI$3,Commited_Actual_1stProject!$E$9:$BU$36,$D29,0)</f>
        <v>0</v>
      </c>
      <c r="BJ10" s="241">
        <f>VLOOKUP($BI$3,Commited_Actual_1stProject!$E$9:$BU$36,$D29+1,0)</f>
        <v>0</v>
      </c>
      <c r="BK10" s="241">
        <f>VLOOKUP($BI$3,Commited_Actual_1stProject!$E$9:$BU$36,$D29+2,0)</f>
        <v>0</v>
      </c>
      <c r="BL10" s="93">
        <f>VLOOKUP($BL$3,Commited_Actual_1stProject!$E$9:$BU$36,$D29,0)</f>
        <v>0.05</v>
      </c>
      <c r="BM10" s="241">
        <f>VLOOKUP($BL$3,Commited_Actual_1stProject!$E$9:$BU$36,$D29+1,0)</f>
        <v>3</v>
      </c>
      <c r="BN10" s="241">
        <f>VLOOKUP($BL$3,Commited_Actual_1stProject!$E$9:$BU$36,$D29+2,0)</f>
        <v>4</v>
      </c>
      <c r="BO10" s="93">
        <f>VLOOKUP($BO$3,Commited_Actual_1stProject!$E$9:$BU$36,$D29,0)</f>
        <v>0.05</v>
      </c>
      <c r="BP10" s="241">
        <f>VLOOKUP($BO$3,Commited_Actual_1stProject!$E$9:$BU$36,$D29+1,0)</f>
        <v>3</v>
      </c>
      <c r="BQ10" s="241">
        <f>VLOOKUP($BO$3,Commited_Actual_1stProject!$E$9:$BU$36,$D29+2,0)</f>
        <v>4</v>
      </c>
      <c r="BR10" s="93">
        <f>VLOOKUP($BR$3,Commited_Actual_1stProject!$E$9:$BU$36,$D29,0)</f>
        <v>0.05</v>
      </c>
      <c r="BS10" s="241">
        <f>VLOOKUP($BR$3,Commited_Actual_1stProject!$E$9:$BU$36,$D29+1,0)</f>
        <v>3</v>
      </c>
      <c r="BT10" s="241">
        <f>VLOOKUP($BR$3,Commited_Actual_1stProject!$E$9:$BU$36,$D29+2,0)</f>
        <v>5</v>
      </c>
      <c r="BU10" s="93">
        <f>VLOOKUP($BU$3,Commited_Actual_1stProject!$E$9:$BU$36,$D29,0)</f>
        <v>0</v>
      </c>
      <c r="BV10" s="241">
        <f>VLOOKUP($BU$3,Commited_Actual_1stProject!$E$9:$BU$36,$D29+1,0)</f>
        <v>0</v>
      </c>
      <c r="BW10" s="241">
        <f>VLOOKUP($BU$3,Commited_Actual_1stProject!$E$9:$BU$36,$D29+2,0)</f>
        <v>0</v>
      </c>
      <c r="BX10" s="93">
        <f>VLOOKUP($BX$3,Commited_Actual_1stProject!$E$9:$BU$36,$D29,0)</f>
        <v>0.05</v>
      </c>
      <c r="BY10" s="241">
        <f>VLOOKUP($BX$3,Commited_Actual_1stProject!$E$9:$BU$36,$D29+1,0)</f>
        <v>10</v>
      </c>
      <c r="BZ10" s="241">
        <f>VLOOKUP($BX$3,Commited_Actual_1stProject!$E$9:$BU$36,$D29+2,0)</f>
        <v>1.3</v>
      </c>
      <c r="CA10" s="93">
        <f>VLOOKUP($CA$3,Commited_Actual_1stProject!$E$9:$BU$36,$D29,0)</f>
        <v>0</v>
      </c>
      <c r="CB10" s="241">
        <f>VLOOKUP($CA$3,Commited_Actual_1stProject!$E$9:$BU$36,$D29+1,0)</f>
        <v>0</v>
      </c>
      <c r="CC10" s="241">
        <f>VLOOKUP($CA$3,Commited_Actual_1stProject!$E$9:$BU$36,$D29+2,0)</f>
        <v>0</v>
      </c>
      <c r="CD10" s="93"/>
      <c r="CE10" s="241"/>
      <c r="CF10" s="241"/>
      <c r="CG10" s="93"/>
      <c r="CH10" s="241"/>
      <c r="CI10" s="241"/>
      <c r="CJ10" s="93">
        <f>VLOOKUP($CJ$3,Commited_Actual_1stProject!$E$9:$BU$36,$D29,0)</f>
        <v>0.1</v>
      </c>
      <c r="CK10" s="241">
        <f>VLOOKUP($CJ$3,Commited_Actual_1stProject!$E$9:$BU$36,$D29+1,0)</f>
        <v>3</v>
      </c>
      <c r="CL10" s="241">
        <f>VLOOKUP($CJ$3,Commited_Actual_1stProject!$E$9:$BU$36,$D29+2,0)</f>
        <v>3</v>
      </c>
      <c r="CM10" s="93"/>
      <c r="CN10" s="241"/>
      <c r="CO10" s="241"/>
      <c r="CP10" s="93"/>
      <c r="CQ10" s="241"/>
      <c r="CR10" s="241"/>
      <c r="CS10" s="93">
        <f>VLOOKUP($CS$3,Commited_Actual_1stProject!$E$9:$BU$36,$D29,0)</f>
        <v>0</v>
      </c>
      <c r="CT10" s="241">
        <f>VLOOKUP($CS$3,Commited_Actual_1stProject!$E$9:$BU$36,$D29+1,0)</f>
        <v>0</v>
      </c>
      <c r="CU10" s="241">
        <f>VLOOKUP($CS$3,Commited_Actual_1stProject!$E$9:$BU$36,$D29+2,0)</f>
        <v>0</v>
      </c>
      <c r="CV10" s="93"/>
      <c r="CW10" s="241"/>
      <c r="CX10" s="241"/>
      <c r="CY10" s="93"/>
      <c r="CZ10" s="241"/>
      <c r="DA10" s="241"/>
      <c r="DB10" s="93">
        <f>VLOOKUP($DB$3,Commited_Actual_2ndProject!$E$5:$AG$34,$E29,0)</f>
        <v>0</v>
      </c>
      <c r="DC10" s="93">
        <f>VLOOKUP($DB$3,Commited_Actual_2ndProject!$E$5:$AG$34,$E29+1,0)</f>
        <v>0</v>
      </c>
      <c r="DD10" s="93">
        <f>VLOOKUP($DB$3,Commited_Actual_2ndProject!$E$5:$AG$34,$E29+2,0)</f>
        <v>0</v>
      </c>
      <c r="DE10" s="93">
        <f>VLOOKUP($DE$3,Commited_Actual_2ndProject!$E$5:$AG$34,$E29,0)</f>
        <v>0</v>
      </c>
      <c r="DF10" s="93">
        <f>VLOOKUP($DE$3,Commited_Actual_2ndProject!$E$5:$AG$34,$E29+1,0)</f>
        <v>0</v>
      </c>
      <c r="DG10" s="93">
        <f>VLOOKUP($DE$3,Commited_Actual_2ndProject!$E$5:$AG$34,$E29+2,0)</f>
        <v>0</v>
      </c>
      <c r="DH10" s="93">
        <f>VLOOKUP($DH$3,Commited_Actual_2ndProject!$E$5:$AG$34,$E29,0)</f>
        <v>0.05</v>
      </c>
      <c r="DI10" s="93">
        <f>VLOOKUP($DH$3,Commited_Actual_2ndProject!$E$5:$AG$34,$E29+1,0)</f>
        <v>16</v>
      </c>
      <c r="DJ10" s="93">
        <f>VLOOKUP($DH$3,Commited_Actual_2ndProject!$E$5:$AG$34,$E29+2,0)</f>
        <v>17</v>
      </c>
      <c r="DK10" s="93">
        <f>VLOOKUP($DK$3,Commited_Actual_2ndProject!$E$5:$AG$34,$E29,0)</f>
        <v>0.1</v>
      </c>
      <c r="DL10" s="93">
        <f>VLOOKUP($DK$3,Commited_Actual_2ndProject!$E$5:$AG$34,$E29+1,0)</f>
        <v>49</v>
      </c>
      <c r="DM10" s="93">
        <f>VLOOKUP($DK$3,Commited_Actual_2ndProject!$E$5:$AG$34,$E29+2,0)</f>
        <v>50</v>
      </c>
      <c r="DN10" s="93">
        <f>VLOOKUP($DN$3,Commited_Actual_2ndProject!$E$5:$AG$34,$E29,0)</f>
        <v>0</v>
      </c>
      <c r="DO10" s="241">
        <f>VLOOKUP($DN$3,Commited_Actual_2ndProject!$E$5:$AG$34,$E29+1,0)</f>
        <v>0</v>
      </c>
      <c r="DP10" s="241">
        <f>VLOOKUP($DN$3,Commited_Actual_2ndProject!$E$5:$AG$34,$E29+2,0)</f>
        <v>0</v>
      </c>
      <c r="DQ10" s="93">
        <f>VLOOKUP($DQ$3,Commited_Actual_2ndProject!$E$5:$AG$34,$E29,0)</f>
        <v>0</v>
      </c>
      <c r="DR10" s="93">
        <f>VLOOKUP($DQ$3,Commited_Actual_2ndProject!$E$5:$AG$34,$E29+1,0)</f>
        <v>0</v>
      </c>
      <c r="DS10" s="93">
        <f>VLOOKUP($DQ$3,Commited_Actual_2ndProject!$E$5:$AG$34,$E29+2,0)</f>
        <v>0</v>
      </c>
      <c r="DT10" s="93">
        <f>VLOOKUP($DT$3,Commited_Actual_2ndProject!$E$5:$AG$34,$E29,0)</f>
        <v>0</v>
      </c>
      <c r="DU10" s="93">
        <f>VLOOKUP($DT$3,Commited_Actual_2ndProject!$E$5:$AG$34,$E29+1,0)</f>
        <v>0</v>
      </c>
      <c r="DV10" s="93">
        <f>VLOOKUP($DT$3,Commited_Actual_2ndProject!$E$5:$AG$34,$E29+2,0)</f>
        <v>0</v>
      </c>
      <c r="DW10" s="93">
        <f>VLOOKUP($DW$3,Commited_Actual_2ndProject!$E$5:$AG$34,$E29,0)</f>
        <v>0</v>
      </c>
      <c r="DX10" s="93">
        <f>VLOOKUP($DW$3,Commited_Actual_2ndProject!$E$5:$AG$34,$E29+1,0)</f>
        <v>0</v>
      </c>
      <c r="DY10" s="93">
        <f>VLOOKUP($DW$3,Commited_Actual_2ndProject!$E$5:$AG$34,$E29+2,0)</f>
        <v>0</v>
      </c>
      <c r="DZ10" s="93">
        <f>VLOOKUP($DZ$3,Commited_Actual_2ndProject!$E$5:$AG$34,$E29,0)</f>
        <v>0.15</v>
      </c>
      <c r="EA10" s="93">
        <f>VLOOKUP($DZ$3,Commited_Actual_2ndProject!$E$5:$AG$34,$E29+1,0)</f>
        <v>0.95</v>
      </c>
      <c r="EB10" s="93">
        <f>VLOOKUP($DZ$3,Commited_Actual_2ndProject!$E$5:$AG$34,$E29+2,0)</f>
        <v>0.98</v>
      </c>
      <c r="EC10" s="93">
        <f>VLOOKUP($EC$3,Commited_Actual_2ndProject!$E$5:$AG$34,$E30,0)</f>
        <v>0</v>
      </c>
      <c r="ED10" s="93">
        <f>VLOOKUP($EC$3,Commited_Actual_2ndProject!$E$5:$AG$34,$E30+1,0)</f>
        <v>0</v>
      </c>
      <c r="EE10" s="93">
        <f>VLOOKUP($EC$3,Commited_Actual_2ndProject!$E$5:$AG$34,$E30+2,0)</f>
        <v>0</v>
      </c>
      <c r="EF10" s="93">
        <f>VLOOKUP($EF$3,Commited_Actual_2ndProject!$E$5:$AG$34,$E29,0)</f>
        <v>0</v>
      </c>
      <c r="EG10" s="93">
        <f>VLOOKUP($EF$3,Commited_Actual_2ndProject!$E$5:$AG$34,$E29+1,0)</f>
        <v>0</v>
      </c>
      <c r="EH10" s="93">
        <f>VLOOKUP($EF$3,Commited_Actual_2ndProject!$E$5:$AG$34,$E29+2,0)</f>
        <v>0</v>
      </c>
      <c r="EI10" s="93">
        <f>VLOOKUP($EI$3,Commited_Actual_2ndProject!$E$5:$AG$34,$E29,0)</f>
        <v>0</v>
      </c>
      <c r="EJ10" s="93">
        <f>VLOOKUP($EI$3,Commited_Actual_2ndProject!$E$5:$AG$34,$E29+1,0)</f>
        <v>0</v>
      </c>
      <c r="EK10" s="93">
        <f>VLOOKUP($EI$3,Commited_Actual_2ndProject!$E$5:$AG$34,$E29+2,0)</f>
        <v>0</v>
      </c>
      <c r="EL10" s="93">
        <f>VLOOKUP($EL$3,Commited_Actual_2ndProject!$E$5:$AG$34,$E29,0)</f>
        <v>0</v>
      </c>
      <c r="EM10" s="93">
        <f>VLOOKUP($EL$3,Commited_Actual_2ndProject!$E$5:$AG$34,$E29+1,0)</f>
        <v>0</v>
      </c>
      <c r="EN10" s="93">
        <f>VLOOKUP($EL$3,Commited_Actual_2ndProject!$E$5:$AG$34,$E29+2,0)</f>
        <v>0</v>
      </c>
      <c r="EO10" s="93">
        <f>VLOOKUP($EO$3,Commited_Actual_2ndProject!$E$5:$AG$34,$E29,0)</f>
        <v>0</v>
      </c>
      <c r="EP10" s="93">
        <f>VLOOKUP($EO$3,Commited_Actual_2ndProject!$E$5:$AG$34,$E29+1,0)</f>
        <v>0</v>
      </c>
      <c r="EQ10" s="93">
        <f>VLOOKUP($EO$3,Commited_Actual_2ndProject!$E$5:$AG$34,$E29+2,0)</f>
        <v>0</v>
      </c>
      <c r="ER10" s="93">
        <f>VLOOKUP($ER$3,Commited_Actual_2ndProject!$E$5:$AG$34,$E29,0)</f>
        <v>0</v>
      </c>
      <c r="ES10" s="93">
        <f>VLOOKUP($ER$3,Commited_Actual_2ndProject!$E$5:$AG$34,$E29+1,0)</f>
        <v>0</v>
      </c>
      <c r="ET10" s="93">
        <f>VLOOKUP($ER$3,Commited_Actual_2ndProject!$E$5:$AG$34,$E29+2,0)</f>
        <v>0</v>
      </c>
      <c r="EU10" s="93">
        <f>VLOOKUP($EU$3,Commited_Actual_2ndProject!$E$5:$AG$34,$E29,0)</f>
        <v>0</v>
      </c>
      <c r="EV10" s="93">
        <f>VLOOKUP($EU$3,Commited_Actual_2ndProject!$E$5:$AG$34,$E29+1,0)</f>
        <v>0</v>
      </c>
      <c r="EW10" s="93">
        <f>VLOOKUP($EU$3,Commited_Actual_2ndProject!$E$5:$AG$34,$E29+2,0)</f>
        <v>0</v>
      </c>
      <c r="EX10" s="93">
        <f>VLOOKUP($EX$3,Commited_Actual_2ndProject!$E$5:$AG$34,$E29,0)</f>
        <v>0</v>
      </c>
      <c r="EY10" s="93">
        <f>VLOOKUP($EX$3,Commited_Actual_2ndProject!$E$5:$AG$34,$E29+1,0)</f>
        <v>0</v>
      </c>
      <c r="EZ10" s="93">
        <f>VLOOKUP($EX$3,Commited_Actual_2ndProject!$E$5:$AG$34,$E29+2,0)</f>
        <v>0</v>
      </c>
      <c r="FA10" s="95"/>
      <c r="FB10" s="96"/>
      <c r="FC10" s="96"/>
      <c r="FD10" s="95"/>
      <c r="FE10" s="96"/>
      <c r="FF10" s="96"/>
      <c r="FG10" s="95"/>
      <c r="FH10" s="96"/>
      <c r="FI10" s="96"/>
      <c r="FJ10" s="95"/>
      <c r="FK10" s="96"/>
      <c r="FL10" s="96"/>
      <c r="FM10" s="95"/>
      <c r="FN10" s="96"/>
      <c r="FO10" s="96"/>
      <c r="FP10" s="95"/>
      <c r="FQ10" s="96"/>
      <c r="FR10" s="96"/>
      <c r="FS10" s="95"/>
      <c r="FT10" s="96"/>
      <c r="FU10" s="96"/>
      <c r="FV10" s="93"/>
      <c r="FW10" s="94"/>
      <c r="FX10" s="94"/>
      <c r="FY10" s="93"/>
      <c r="FZ10" s="94"/>
      <c r="GA10" s="94"/>
      <c r="GB10" s="95"/>
      <c r="GC10" s="94"/>
      <c r="GD10" s="94"/>
      <c r="GE10" s="95"/>
      <c r="GF10" s="94"/>
      <c r="GG10" s="94"/>
      <c r="GH10" s="95"/>
      <c r="GI10" s="94"/>
      <c r="GJ10" s="94"/>
      <c r="GK10" s="95"/>
      <c r="GL10" s="94"/>
      <c r="GM10" s="94"/>
      <c r="GN10" s="95"/>
      <c r="GO10" s="94"/>
      <c r="GP10" s="94"/>
      <c r="GQ10" s="93"/>
      <c r="GR10" s="94"/>
      <c r="GS10" s="94"/>
      <c r="GT10" s="95"/>
      <c r="GU10" s="96"/>
      <c r="GV10" s="96"/>
      <c r="GW10" s="95"/>
      <c r="GX10" s="96"/>
      <c r="GY10" s="96"/>
      <c r="GZ10" s="95"/>
      <c r="HA10" s="96"/>
      <c r="HB10" s="96"/>
      <c r="HC10" s="95"/>
      <c r="HD10" s="96"/>
      <c r="HE10" s="96"/>
      <c r="HF10" s="95"/>
      <c r="HG10" s="96"/>
      <c r="HH10" s="96"/>
      <c r="HI10" s="95"/>
      <c r="HJ10" s="96"/>
      <c r="HK10" s="96"/>
      <c r="HL10" s="95"/>
      <c r="HM10" s="96"/>
      <c r="HN10" s="96"/>
      <c r="HO10" s="95"/>
      <c r="HP10" s="96"/>
      <c r="HQ10" s="96"/>
      <c r="HR10" s="95"/>
      <c r="HS10" s="96"/>
      <c r="HT10" s="96"/>
      <c r="HU10" s="95"/>
      <c r="HV10" s="96"/>
      <c r="HW10" s="96"/>
      <c r="HX10" s="93"/>
      <c r="HY10" s="94"/>
      <c r="HZ10" s="94"/>
      <c r="IA10" s="93"/>
      <c r="IB10" s="94"/>
      <c r="IC10" s="94"/>
      <c r="ID10" s="95"/>
      <c r="IE10" s="94"/>
      <c r="IF10" s="94"/>
      <c r="IG10" s="95"/>
      <c r="IH10" s="94"/>
      <c r="II10" s="94"/>
      <c r="IJ10" s="95"/>
      <c r="IK10" s="94"/>
      <c r="IL10" s="94"/>
      <c r="IM10" s="95"/>
      <c r="IN10" s="94"/>
      <c r="IO10" s="94"/>
      <c r="IP10" s="95"/>
      <c r="IQ10" s="94"/>
      <c r="IR10" s="94"/>
      <c r="IS10" s="93"/>
      <c r="IT10" s="94"/>
      <c r="IU10" s="94"/>
      <c r="IV10" s="95"/>
      <c r="IW10" s="96"/>
      <c r="IX10" s="96"/>
      <c r="IY10" s="95"/>
      <c r="IZ10" s="96"/>
      <c r="JA10" s="96"/>
      <c r="JB10" s="95"/>
      <c r="JC10" s="96"/>
      <c r="JD10" s="96"/>
      <c r="JE10" s="95"/>
      <c r="JF10" s="96"/>
      <c r="JG10" s="96"/>
      <c r="JH10" s="95"/>
      <c r="JI10" s="96"/>
      <c r="JJ10" s="96"/>
      <c r="JK10" s="95"/>
      <c r="JL10" s="96"/>
      <c r="JM10" s="96"/>
      <c r="JN10" s="95"/>
      <c r="JO10" s="96"/>
      <c r="JP10" s="96"/>
      <c r="JQ10" s="95"/>
      <c r="JR10" s="96"/>
      <c r="JS10" s="96"/>
      <c r="JT10" s="95"/>
      <c r="JU10" s="96"/>
      <c r="JV10" s="96"/>
      <c r="JW10" s="95"/>
      <c r="JX10" s="96"/>
      <c r="JY10" s="96"/>
    </row>
    <row r="11" spans="1:285" ht="15.6" customHeight="1">
      <c r="A11" s="176"/>
      <c r="B11" s="178"/>
      <c r="C11" s="6">
        <v>6</v>
      </c>
      <c r="D11" s="242" t="s">
        <v>314</v>
      </c>
      <c r="E11" s="23" t="s">
        <v>305</v>
      </c>
      <c r="F11" s="5" t="s">
        <v>33</v>
      </c>
      <c r="G11" s="93">
        <f>VLOOKUP($G$3,Commited_Actual_1stProject!$E$9:$BU$36,$D28,0)</f>
        <v>7.0000000000000007E-2</v>
      </c>
      <c r="H11" s="241">
        <f>VLOOKUP($G$3,Commited_Actual_1stProject!$E$9:$BU$36,$D28+1,0)</f>
        <v>40</v>
      </c>
      <c r="I11" s="241">
        <f>VLOOKUP($G$3,Commited_Actual_1stProject!$E$9:$BU$36,$D28+2,0)</f>
        <v>54.19</v>
      </c>
      <c r="J11" s="93">
        <f>VLOOKUP($J$3,Commited_Actual_1stProject!$E$9:$BU$36,$D28,0)</f>
        <v>0.05</v>
      </c>
      <c r="K11" s="241">
        <f>VLOOKUP($J$3,Commited_Actual_1stProject!$E$9:$BU$36,$D28+1,0)</f>
        <v>8</v>
      </c>
      <c r="L11" s="241">
        <f>VLOOKUP($J$3,Commited_Actual_1stProject!$E$9:$BU$36,$D28+2,0)</f>
        <v>14.04</v>
      </c>
      <c r="M11" s="93">
        <f>VLOOKUP($M$3,Commited_Actual_1stProject!$E$9:$BU$36,$D28,0)</f>
        <v>0.05</v>
      </c>
      <c r="N11" s="241">
        <f>VLOOKUP($M$3,Commited_Actual_1stProject!$E$9:$BU$36,$D28+1,0)</f>
        <v>45</v>
      </c>
      <c r="O11" s="241">
        <f>VLOOKUP($M$3,Commited_Actual_1stProject!$E$9:$BU$36,$D28+2,0)</f>
        <v>40.770000000000003</v>
      </c>
      <c r="P11" s="93">
        <f>VLOOKUP($P$3,Commited_Actual_1stProject!$E$9:$BU$36,$D28,0)</f>
        <v>7.0000000000000007E-2</v>
      </c>
      <c r="Q11" s="241">
        <f>VLOOKUP($P$3,Commited_Actual_1stProject!$E$9:$BU$36,$D28+1,0)</f>
        <v>60</v>
      </c>
      <c r="R11" s="241">
        <f>VLOOKUP($P$3,Commited_Actual_1stProject!$E$9:$BU$36,$D28+2,0)</f>
        <v>58.34</v>
      </c>
      <c r="S11" s="93">
        <f>VLOOKUP($S$3,Commited_Actual_1stProject!$E$9:$BU$36,$D28,0)</f>
        <v>0</v>
      </c>
      <c r="T11" s="241">
        <f>VLOOKUP($S$3,Commited_Actual_1stProject!$E$9:$BU$36,$D28+1,0)</f>
        <v>0</v>
      </c>
      <c r="U11" s="241">
        <f>VLOOKUP($S$3,Commited_Actual_1stProject!$E$9:$BU$36,$D28+2,0)</f>
        <v>0</v>
      </c>
      <c r="V11" s="93">
        <f>VLOOKUP($V$3,Commited_Actual_1stProject!$E$9:$BU$36,$D28,0)</f>
        <v>0</v>
      </c>
      <c r="W11" s="241">
        <f>VLOOKUP($V$3,Commited_Actual_1stProject!$E$9:$BU$36,$D28+1,0)</f>
        <v>0</v>
      </c>
      <c r="X11" s="241">
        <f>VLOOKUP($V$3,Commited_Actual_1stProject!$E$9:$BU$36,$D28+2,0)</f>
        <v>0</v>
      </c>
      <c r="Y11" s="93">
        <f>VLOOKUP($Y$3,Commited_Actual_1stProject!$E$9:$BU$36,$D28,0)</f>
        <v>0</v>
      </c>
      <c r="Z11" s="241">
        <f>VLOOKUP($Y$3,Commited_Actual_1stProject!$E$9:$BU$36,$D28+1,0)</f>
        <v>0</v>
      </c>
      <c r="AA11" s="241">
        <f>VLOOKUP($Y$3,Commited_Actual_1stProject!$E$9:$BU$36,$D28+2,0)</f>
        <v>0</v>
      </c>
      <c r="AB11" s="93">
        <f>VLOOKUP($AB$3,Commited_Actual_1stProject!$E$9:$BU$36,$D28,0)</f>
        <v>0</v>
      </c>
      <c r="AC11" s="241">
        <f>VLOOKUP($AB$3,Commited_Actual_1stProject!$E$9:$BU$36,$D28+1,0)</f>
        <v>0</v>
      </c>
      <c r="AD11" s="241">
        <f>VLOOKUP($AB$3,Commited_Actual_1stProject!$E$9:$BU$36,$D28+2,0)</f>
        <v>0</v>
      </c>
      <c r="AE11" s="93">
        <f>VLOOKUP($AE$3,Commited_Actual_1stProject!$E$9:$BU$36,$D28,0)</f>
        <v>0</v>
      </c>
      <c r="AF11" s="241">
        <f>VLOOKUP($AE$3,Commited_Actual_1stProject!$E$9:$BU$36,$D28+1,0)</f>
        <v>0</v>
      </c>
      <c r="AG11" s="241">
        <f>VLOOKUP($AE$3,Commited_Actual_1stProject!$E$9:$BU$36,$D28+2,0)</f>
        <v>0</v>
      </c>
      <c r="AH11" s="93">
        <f>VLOOKUP($AH$3,Commited_Actual_1stProject!$E$9:$BU$36,$D28,0)</f>
        <v>0.06</v>
      </c>
      <c r="AI11" s="118">
        <f>VLOOKUP($AH$3,Commited_Actual_1stProject!$E$9:$BU$36,$D28+1,0)</f>
        <v>0.05</v>
      </c>
      <c r="AJ11" s="93">
        <f>VLOOKUP($AH$3,Commited_Actual_1stProject!$E$9:$BU$36,$D28+2,0)</f>
        <v>0.03</v>
      </c>
      <c r="AK11" s="93">
        <f>VLOOKUP($AK$3,Commited_Actual_1stProject!$E$9:$BU$36,$D28,0)</f>
        <v>0</v>
      </c>
      <c r="AL11" s="118">
        <f>VLOOKUP($AK$3,Commited_Actual_1stProject!$E$9:$BU$36,$D28+1,0)</f>
        <v>0</v>
      </c>
      <c r="AM11" s="118">
        <f>VLOOKUP($AK$3,Commited_Actual_1stProject!$E$9:$BU$36,$D28+2,0)</f>
        <v>0</v>
      </c>
      <c r="AN11" s="93">
        <f>VLOOKUP($AN$3,Commited_Actual_1stProject!$E$9:$BU$36,$D28,0)</f>
        <v>0.05</v>
      </c>
      <c r="AO11" s="93">
        <f>VLOOKUP($AN$3,Commited_Actual_1stProject!$E$9:$BU$36,$D28+1,0)</f>
        <v>0.05</v>
      </c>
      <c r="AP11" s="93">
        <f>VLOOKUP($AN$3,Commited_Actual_1stProject!$E$9:$BU$36,$D28+2,0)</f>
        <v>0</v>
      </c>
      <c r="AQ11" s="93">
        <f>VLOOKUP($AQ$3,Commited_Actual_1stProject!$E$9:$BU$36,$D28,0)</f>
        <v>0</v>
      </c>
      <c r="AR11" s="241">
        <f>VLOOKUP($AQ$3,Commited_Actual_1stProject!$E$9:$BU$36,$D28+1,0)</f>
        <v>0</v>
      </c>
      <c r="AS11" s="241">
        <f>VLOOKUP($AQ$3,Commited_Actual_1stProject!$E$9:$BU$36,$D28+2,0)</f>
        <v>0</v>
      </c>
      <c r="AT11" s="93">
        <f>VLOOKUP($AT$3,Commited_Actual_1stProject!$E$9:$BU$36,$D28,0)</f>
        <v>0.05</v>
      </c>
      <c r="AU11" s="93">
        <f>VLOOKUP($AT$3,Commited_Actual_1stProject!$E$9:$BU$36,$D28+1,0)</f>
        <v>0.1</v>
      </c>
      <c r="AV11" s="93">
        <f>VLOOKUP($AT$3,Commited_Actual_1stProject!$E$9:$BU$36,$D28+2,0)</f>
        <v>0</v>
      </c>
      <c r="AW11" s="93">
        <f>VLOOKUP($AW$3,Commited_Actual_1stProject!$E$9:$BU$36,$D28,0)</f>
        <v>0</v>
      </c>
      <c r="AX11" s="241">
        <f>VLOOKUP($AW$3,Commited_Actual_1stProject!$E$9:$BU$36,$D28+1,0)</f>
        <v>0</v>
      </c>
      <c r="AY11" s="241">
        <f>VLOOKUP($AW$3,Commited_Actual_1stProject!$E$9:$BU$36,$D28+2,0)</f>
        <v>0</v>
      </c>
      <c r="AZ11" s="93">
        <f>VLOOKUP($AZ$3,Commited_Actual_1stProject!$E$9:$BU$36,$D28,0)</f>
        <v>0</v>
      </c>
      <c r="BA11" s="241">
        <f>VLOOKUP($AZ$3,Commited_Actual_1stProject!$E$9:$BU$36,$D28+1,0)</f>
        <v>0</v>
      </c>
      <c r="BB11" s="241">
        <f>VLOOKUP($AZ$3,Commited_Actual_1stProject!$E$9:$BU$36,$D28+2,0)</f>
        <v>0</v>
      </c>
      <c r="BC11" s="93">
        <f>VLOOKUP($BC$3,Commited_Actual_1stProject!$E$9:$BU$36,$D28,0)</f>
        <v>0</v>
      </c>
      <c r="BD11" s="118">
        <f>VLOOKUP($BC$3,Commited_Actual_1stProject!$E$9:$BU$36,$D28+1,0)</f>
        <v>0</v>
      </c>
      <c r="BE11" s="118">
        <f>VLOOKUP($BC$3,Commited_Actual_1stProject!$E$9:$BU$36,$D28+2,0)</f>
        <v>0</v>
      </c>
      <c r="BF11" s="93"/>
      <c r="BG11" s="241"/>
      <c r="BH11" s="241"/>
      <c r="BI11" s="93">
        <f>VLOOKUP($BI$3,Commited_Actual_1stProject!$E$9:$BU$36,$D28,0)</f>
        <v>0</v>
      </c>
      <c r="BJ11" s="241">
        <f>VLOOKUP($BI$3,Commited_Actual_1stProject!$E$9:$BU$36,$D28+1,0)</f>
        <v>0</v>
      </c>
      <c r="BK11" s="241">
        <f>VLOOKUP($BI$3,Commited_Actual_1stProject!$E$9:$BU$36,$D28+2,0)</f>
        <v>0</v>
      </c>
      <c r="BL11" s="93">
        <f>VLOOKUP($BL$3,Commited_Actual_1stProject!$E$9:$BU$36,$D28,0)</f>
        <v>0.05</v>
      </c>
      <c r="BM11" s="241">
        <f>VLOOKUP($BL$3,Commited_Actual_1stProject!$E$9:$BU$36,$D28+1,0)</f>
        <v>3</v>
      </c>
      <c r="BN11" s="241">
        <f>VLOOKUP($BL$3,Commited_Actual_1stProject!$E$9:$BU$36,$D28+2,0)</f>
        <v>5</v>
      </c>
      <c r="BO11" s="93">
        <f>VLOOKUP($BO$3,Commited_Actual_1stProject!$E$9:$BU$36,$D28,0)</f>
        <v>0.05</v>
      </c>
      <c r="BP11" s="241">
        <f>VLOOKUP($BO$3,Commited_Actual_1stProject!$E$9:$BU$36,$D28+1,0)</f>
        <v>3</v>
      </c>
      <c r="BQ11" s="241">
        <f>VLOOKUP($BO$3,Commited_Actual_1stProject!$E$9:$BU$36,$D28+2,0)</f>
        <v>4</v>
      </c>
      <c r="BR11" s="93">
        <f>VLOOKUP($BR$3,Commited_Actual_1stProject!$E$9:$BU$36,$D28,0)</f>
        <v>0.05</v>
      </c>
      <c r="BS11" s="241">
        <f>VLOOKUP($BR$3,Commited_Actual_1stProject!$E$9:$BU$36,$D28+1,0)</f>
        <v>3</v>
      </c>
      <c r="BT11" s="241">
        <f>VLOOKUP($BR$3,Commited_Actual_1stProject!$E$9:$BU$36,$D28+2,0)</f>
        <v>5</v>
      </c>
      <c r="BU11" s="93">
        <f>VLOOKUP($BU$3,Commited_Actual_1stProject!$E$9:$BU$36,$D28,0)</f>
        <v>0</v>
      </c>
      <c r="BV11" s="241">
        <f>VLOOKUP($BU$3,Commited_Actual_1stProject!$E$9:$BU$36,$D28+1,0)</f>
        <v>0</v>
      </c>
      <c r="BW11" s="241">
        <f>VLOOKUP($BU$3,Commited_Actual_1stProject!$E$9:$BU$36,$D28+2,0)</f>
        <v>0</v>
      </c>
      <c r="BX11" s="93">
        <f>VLOOKUP($BX$3,Commited_Actual_1stProject!$E$9:$BU$36,$D28,0)</f>
        <v>0.05</v>
      </c>
      <c r="BY11" s="241">
        <f>VLOOKUP($BX$3,Commited_Actual_1stProject!$E$9:$BU$36,$D28+1,0)</f>
        <v>10</v>
      </c>
      <c r="BZ11" s="241">
        <f>VLOOKUP($BX$3,Commited_Actual_1stProject!$E$9:$BU$36,$D28+2,0)</f>
        <v>29</v>
      </c>
      <c r="CA11" s="93">
        <f>VLOOKUP($CA$3,Commited_Actual_1stProject!$E$9:$BU$36,$D28,0)</f>
        <v>0</v>
      </c>
      <c r="CB11" s="241">
        <f>VLOOKUP($CA$3,Commited_Actual_1stProject!$E$9:$BU$36,$D28+1,0)</f>
        <v>0</v>
      </c>
      <c r="CC11" s="241">
        <f>VLOOKUP($CA$3,Commited_Actual_1stProject!$E$9:$BU$36,$D28+2,0)</f>
        <v>0</v>
      </c>
      <c r="CD11" s="93"/>
      <c r="CE11" s="241"/>
      <c r="CF11" s="241"/>
      <c r="CG11" s="93"/>
      <c r="CH11" s="241"/>
      <c r="CI11" s="241"/>
      <c r="CJ11" s="93">
        <f>VLOOKUP($CJ$3,Commited_Actual_1stProject!$E$9:$BU$36,$D28,0)</f>
        <v>0.1</v>
      </c>
      <c r="CK11" s="241">
        <f>VLOOKUP($CJ$3,Commited_Actual_1stProject!$E$9:$BU$36,$D28+1,0)</f>
        <v>3</v>
      </c>
      <c r="CL11" s="241">
        <f>VLOOKUP($CJ$3,Commited_Actual_1stProject!$E$9:$BU$36,$D28+2,0)</f>
        <v>4</v>
      </c>
      <c r="CM11" s="93"/>
      <c r="CN11" s="241"/>
      <c r="CO11" s="241"/>
      <c r="CP11" s="93"/>
      <c r="CQ11" s="241"/>
      <c r="CR11" s="241"/>
      <c r="CS11" s="93">
        <f>VLOOKUP($CS$3,Commited_Actual_1stProject!$E$9:$BU$36,$D28,0)</f>
        <v>0</v>
      </c>
      <c r="CT11" s="241">
        <f>VLOOKUP($CS$3,Commited_Actual_1stProject!$E$9:$BU$36,$D28+1,0)</f>
        <v>0</v>
      </c>
      <c r="CU11" s="241">
        <f>VLOOKUP($CS$3,Commited_Actual_1stProject!$E$9:$BU$36,$D28+2,0)</f>
        <v>0</v>
      </c>
      <c r="CV11" s="93"/>
      <c r="CW11" s="241"/>
      <c r="CX11" s="241"/>
      <c r="CY11" s="93"/>
      <c r="CZ11" s="241"/>
      <c r="DA11" s="241"/>
      <c r="DB11" s="93">
        <f>VLOOKUP($DB$3,Commited_Actual_2ndProject!$E$5:$AG$34,$E28,0)</f>
        <v>0</v>
      </c>
      <c r="DC11" s="93">
        <f>VLOOKUP($DB$3,Commited_Actual_2ndProject!$E$5:$AG$34,$E28+1,0)</f>
        <v>0</v>
      </c>
      <c r="DD11" s="93">
        <f>VLOOKUP($DB$3,Commited_Actual_2ndProject!$E$5:$AG$34,$E28+2,0)</f>
        <v>0</v>
      </c>
      <c r="DE11" s="93">
        <f>VLOOKUP($DE$3,Commited_Actual_2ndProject!$E$5:$AG$34,$E28,0)</f>
        <v>0</v>
      </c>
      <c r="DF11" s="93">
        <f>VLOOKUP($DE$3,Commited_Actual_2ndProject!$E$5:$AG$34,$E28+1,0)</f>
        <v>0</v>
      </c>
      <c r="DG11" s="93">
        <f>VLOOKUP($DE$3,Commited_Actual_2ndProject!$E$5:$AG$34,$E28+2,0)</f>
        <v>0</v>
      </c>
      <c r="DH11" s="93">
        <f>VLOOKUP($DH$3,Commited_Actual_2ndProject!$E$5:$AG$34,$E28,0)</f>
        <v>0.1</v>
      </c>
      <c r="DI11" s="93">
        <f>VLOOKUP($DH$3,Commited_Actual_2ndProject!$E$5:$AG$34,$E28+1,0)</f>
        <v>29</v>
      </c>
      <c r="DJ11" s="93">
        <f>VLOOKUP($DH$3,Commited_Actual_2ndProject!$E$5:$AG$34,$E28+2,0)</f>
        <v>29</v>
      </c>
      <c r="DK11" s="93">
        <f>VLOOKUP($DK$3,Commited_Actual_2ndProject!$E$5:$AG$34,$E28,0)</f>
        <v>0.1</v>
      </c>
      <c r="DL11" s="93">
        <f>VLOOKUP($DK$3,Commited_Actual_2ndProject!$E$5:$AG$34,$E28+1,0)</f>
        <v>49</v>
      </c>
      <c r="DM11" s="93">
        <f>VLOOKUP($DK$3,Commited_Actual_2ndProject!$E$5:$AG$34,$E28+2,0)</f>
        <v>49</v>
      </c>
      <c r="DN11" s="93">
        <f>VLOOKUP($DN$3,Commited_Actual_2ndProject!$E$5:$AG$34,$E28,0)</f>
        <v>0</v>
      </c>
      <c r="DO11" s="241">
        <f>VLOOKUP($DN$3,Commited_Actual_2ndProject!$E$5:$AG$34,$E28+1,0)</f>
        <v>0</v>
      </c>
      <c r="DP11" s="241">
        <f>VLOOKUP($DN$3,Commited_Actual_2ndProject!$E$5:$AG$34,$E28+2,0)</f>
        <v>0</v>
      </c>
      <c r="DQ11" s="93">
        <f>VLOOKUP($DQ$3,Commited_Actual_2ndProject!$E$5:$AG$34,$E28,0)</f>
        <v>0</v>
      </c>
      <c r="DR11" s="93">
        <f>VLOOKUP($DQ$3,Commited_Actual_2ndProject!$E$5:$AG$34,$E28+1,0)</f>
        <v>0</v>
      </c>
      <c r="DS11" s="93">
        <f>VLOOKUP($DQ$3,Commited_Actual_2ndProject!$E$5:$AG$34,$E28+2,0)</f>
        <v>0</v>
      </c>
      <c r="DT11" s="93">
        <f>VLOOKUP($DT$3,Commited_Actual_2ndProject!$E$5:$AG$34,$E28,0)</f>
        <v>0</v>
      </c>
      <c r="DU11" s="93">
        <f>VLOOKUP($DT$3,Commited_Actual_2ndProject!$E$5:$AG$34,$E28+1,0)</f>
        <v>0</v>
      </c>
      <c r="DV11" s="93">
        <f>VLOOKUP($DT$3,Commited_Actual_2ndProject!$E$5:$AG$34,$E28+2,0)</f>
        <v>0</v>
      </c>
      <c r="DW11" s="93">
        <f>VLOOKUP($DW$3,Commited_Actual_2ndProject!$E$5:$AG$34,$E28,0)</f>
        <v>0</v>
      </c>
      <c r="DX11" s="93">
        <f>VLOOKUP($DW$3,Commited_Actual_2ndProject!$E$5:$AG$34,$E28+1,0)</f>
        <v>0</v>
      </c>
      <c r="DY11" s="93">
        <f>VLOOKUP($DW$3,Commited_Actual_2ndProject!$E$5:$AG$34,$E28+2,0)</f>
        <v>0</v>
      </c>
      <c r="DZ11" s="93">
        <f>VLOOKUP($DZ$3,Commited_Actual_2ndProject!$E$5:$AG$34,$E28,0)</f>
        <v>0.1</v>
      </c>
      <c r="EA11" s="93">
        <f>VLOOKUP($DZ$3,Commited_Actual_2ndProject!$E$5:$AG$34,$E28+1,0)</f>
        <v>0.95</v>
      </c>
      <c r="EB11" s="93">
        <f>VLOOKUP($DZ$3,Commited_Actual_2ndProject!$E$5:$AG$34,$E28+2,0)</f>
        <v>0.96</v>
      </c>
      <c r="EC11" s="93">
        <f>VLOOKUP($EC$3,Commited_Actual_2ndProject!$E$5:$AG$34,$E28,0)</f>
        <v>0</v>
      </c>
      <c r="ED11" s="93">
        <f>VLOOKUP($EC$3,Commited_Actual_2ndProject!$E$5:$AG$34,$E28+1,0)</f>
        <v>0</v>
      </c>
      <c r="EE11" s="93">
        <f>VLOOKUP($EC$3,Commited_Actual_2ndProject!$E$5:$AG$34,$E28+2,0)</f>
        <v>0</v>
      </c>
      <c r="EF11" s="93">
        <f>VLOOKUP($EF$3,Commited_Actual_2ndProject!$E$5:$AG$34,$E28,0)</f>
        <v>0</v>
      </c>
      <c r="EG11" s="93">
        <f>VLOOKUP($EF$3,Commited_Actual_2ndProject!$E$5:$AG$34,$E28+1,0)</f>
        <v>0</v>
      </c>
      <c r="EH11" s="93">
        <f>VLOOKUP($EF$3,Commited_Actual_2ndProject!$E$5:$AG$34,$E28+2,0)</f>
        <v>0</v>
      </c>
      <c r="EI11" s="93">
        <f>VLOOKUP($EI$3,Commited_Actual_2ndProject!$E$5:$AG$34,$E28,0)</f>
        <v>0</v>
      </c>
      <c r="EJ11" s="93">
        <f>VLOOKUP($EI$3,Commited_Actual_2ndProject!$E$5:$AG$34,$E28+1,0)</f>
        <v>0</v>
      </c>
      <c r="EK11" s="93">
        <f>VLOOKUP($EI$3,Commited_Actual_2ndProject!$E$5:$AG$34,$E28+2,0)</f>
        <v>0</v>
      </c>
      <c r="EL11" s="93">
        <f>VLOOKUP($EL$3,Commited_Actual_2ndProject!$E$5:$AG$34,$E28,0)</f>
        <v>0</v>
      </c>
      <c r="EM11" s="93">
        <f>VLOOKUP($EL$3,Commited_Actual_2ndProject!$E$5:$AG$34,$E28+1,0)</f>
        <v>0</v>
      </c>
      <c r="EN11" s="93">
        <f>VLOOKUP($EL$3,Commited_Actual_2ndProject!$E$5:$AG$34,$E28+2,0)</f>
        <v>0</v>
      </c>
      <c r="EO11" s="93">
        <f>VLOOKUP($EO$3,Commited_Actual_2ndProject!$E$5:$AG$34,$E28,0)</f>
        <v>0</v>
      </c>
      <c r="EP11" s="93">
        <f>VLOOKUP($EO$3,Commited_Actual_2ndProject!$E$5:$AG$34,$E28+1,0)</f>
        <v>0</v>
      </c>
      <c r="EQ11" s="93">
        <f>VLOOKUP($EO$3,Commited_Actual_2ndProject!$E$5:$AG$34,$E28+2,0)</f>
        <v>0</v>
      </c>
      <c r="ER11" s="93">
        <f>VLOOKUP($ER$3,Commited_Actual_2ndProject!$E$5:$AG$34,$E28,0)</f>
        <v>0</v>
      </c>
      <c r="ES11" s="93">
        <f>VLOOKUP($ER$3,Commited_Actual_2ndProject!$E$5:$AG$34,$E28+1,0)</f>
        <v>0</v>
      </c>
      <c r="ET11" s="93">
        <f>VLOOKUP($ER$3,Commited_Actual_2ndProject!$E$5:$AG$34,$E28+2,0)</f>
        <v>0</v>
      </c>
      <c r="EU11" s="93">
        <f>VLOOKUP($EU$3,Commited_Actual_2ndProject!$E$5:$AG$34,$E28,0)</f>
        <v>0</v>
      </c>
      <c r="EV11" s="93">
        <f>VLOOKUP($EU$3,Commited_Actual_2ndProject!$E$5:$AG$34,$E28+1,0)</f>
        <v>0</v>
      </c>
      <c r="EW11" s="93">
        <f>VLOOKUP($EU$3,Commited_Actual_2ndProject!$E$5:$AG$34,$E28+2,0)</f>
        <v>0</v>
      </c>
      <c r="EX11" s="93">
        <f>VLOOKUP($EX$3,Commited_Actual_2ndProject!$E$5:$AG$34,$E28,0)</f>
        <v>0</v>
      </c>
      <c r="EY11" s="93">
        <f>VLOOKUP($EX$3,Commited_Actual_2ndProject!$E$5:$AG$34,$E28+1,0)</f>
        <v>0</v>
      </c>
      <c r="EZ11" s="93">
        <f>VLOOKUP($EX$3,Commited_Actual_2ndProject!$E$5:$AG$34,$E28+2,0)</f>
        <v>0</v>
      </c>
      <c r="FA11" s="95"/>
      <c r="FB11" s="96"/>
      <c r="FC11" s="96"/>
      <c r="FD11" s="95"/>
      <c r="FE11" s="96"/>
      <c r="FF11" s="96"/>
      <c r="FG11" s="95"/>
      <c r="FH11" s="96"/>
      <c r="FI11" s="96"/>
      <c r="FJ11" s="95"/>
      <c r="FK11" s="96"/>
      <c r="FL11" s="96"/>
      <c r="FM11" s="95"/>
      <c r="FN11" s="96"/>
      <c r="FO11" s="96"/>
      <c r="FP11" s="95"/>
      <c r="FQ11" s="96"/>
      <c r="FR11" s="96"/>
      <c r="FS11" s="95"/>
      <c r="FT11" s="96"/>
      <c r="FU11" s="96"/>
      <c r="FV11" s="93"/>
      <c r="FW11" s="94"/>
      <c r="FX11" s="94"/>
      <c r="FY11" s="93"/>
      <c r="FZ11" s="94"/>
      <c r="GA11" s="94"/>
      <c r="GB11" s="95"/>
      <c r="GC11" s="94"/>
      <c r="GD11" s="94"/>
      <c r="GE11" s="95"/>
      <c r="GF11" s="94"/>
      <c r="GG11" s="94"/>
      <c r="GH11" s="95"/>
      <c r="GI11" s="94"/>
      <c r="GJ11" s="94"/>
      <c r="GK11" s="95"/>
      <c r="GL11" s="94"/>
      <c r="GM11" s="94"/>
      <c r="GN11" s="95"/>
      <c r="GO11" s="94"/>
      <c r="GP11" s="94"/>
      <c r="GQ11" s="93"/>
      <c r="GR11" s="94"/>
      <c r="GS11" s="94"/>
      <c r="GT11" s="95"/>
      <c r="GU11" s="96"/>
      <c r="GV11" s="96"/>
      <c r="GW11" s="95"/>
      <c r="GX11" s="96"/>
      <c r="GY11" s="96"/>
      <c r="GZ11" s="95"/>
      <c r="HA11" s="96"/>
      <c r="HB11" s="96"/>
      <c r="HC11" s="95"/>
      <c r="HD11" s="96"/>
      <c r="HE11" s="96"/>
      <c r="HF11" s="95"/>
      <c r="HG11" s="96"/>
      <c r="HH11" s="96"/>
      <c r="HI11" s="95"/>
      <c r="HJ11" s="96"/>
      <c r="HK11" s="96"/>
      <c r="HL11" s="95"/>
      <c r="HM11" s="96"/>
      <c r="HN11" s="96"/>
      <c r="HO11" s="95"/>
      <c r="HP11" s="96"/>
      <c r="HQ11" s="96"/>
      <c r="HR11" s="95"/>
      <c r="HS11" s="96"/>
      <c r="HT11" s="96"/>
      <c r="HU11" s="95"/>
      <c r="HV11" s="96"/>
      <c r="HW11" s="96"/>
      <c r="HX11" s="93"/>
      <c r="HY11" s="94"/>
      <c r="HZ11" s="94"/>
      <c r="IA11" s="93"/>
      <c r="IB11" s="94"/>
      <c r="IC11" s="94"/>
      <c r="ID11" s="95"/>
      <c r="IE11" s="94"/>
      <c r="IF11" s="94"/>
      <c r="IG11" s="95"/>
      <c r="IH11" s="94"/>
      <c r="II11" s="94"/>
      <c r="IJ11" s="95"/>
      <c r="IK11" s="94"/>
      <c r="IL11" s="94"/>
      <c r="IM11" s="95"/>
      <c r="IN11" s="94"/>
      <c r="IO11" s="94"/>
      <c r="IP11" s="95"/>
      <c r="IQ11" s="94"/>
      <c r="IR11" s="94"/>
      <c r="IS11" s="93"/>
      <c r="IT11" s="94"/>
      <c r="IU11" s="94"/>
      <c r="IV11" s="95"/>
      <c r="IW11" s="96"/>
      <c r="IX11" s="96"/>
      <c r="IY11" s="95"/>
      <c r="IZ11" s="96"/>
      <c r="JA11" s="96"/>
      <c r="JB11" s="95"/>
      <c r="JC11" s="96"/>
      <c r="JD11" s="96"/>
      <c r="JE11" s="95"/>
      <c r="JF11" s="96"/>
      <c r="JG11" s="96"/>
      <c r="JH11" s="95"/>
      <c r="JI11" s="96"/>
      <c r="JJ11" s="96"/>
      <c r="JK11" s="95"/>
      <c r="JL11" s="96"/>
      <c r="JM11" s="96"/>
      <c r="JN11" s="95"/>
      <c r="JO11" s="96"/>
      <c r="JP11" s="96"/>
      <c r="JQ11" s="95"/>
      <c r="JR11" s="96"/>
      <c r="JS11" s="96"/>
      <c r="JT11" s="95"/>
      <c r="JU11" s="96"/>
      <c r="JV11" s="96"/>
      <c r="JW11" s="95"/>
      <c r="JX11" s="96"/>
      <c r="JY11" s="96"/>
    </row>
    <row r="12" spans="1:285" ht="16.2" customHeight="1">
      <c r="A12" s="176"/>
      <c r="B12" s="178"/>
      <c r="C12" s="6">
        <v>7</v>
      </c>
      <c r="D12" s="242" t="s">
        <v>315</v>
      </c>
      <c r="E12" s="24" t="s">
        <v>307</v>
      </c>
      <c r="F12" s="5" t="s">
        <v>33</v>
      </c>
      <c r="G12" s="93">
        <f>VLOOKUP($G$3,Commited_Actual_1stProject!$E$9:$BU$36,$D27,0)</f>
        <v>0</v>
      </c>
      <c r="H12" s="241">
        <f>VLOOKUP($G$3,Commited_Actual_1stProject!$E$9:$BU$36,$D27+1,0)</f>
        <v>0</v>
      </c>
      <c r="I12" s="241">
        <f>VLOOKUP($G$3,Commited_Actual_1stProject!$E$9:$BU$36,$D27+2,0)</f>
        <v>0</v>
      </c>
      <c r="J12" s="93">
        <f>VLOOKUP($J$3,Commited_Actual_1stProject!$E$9:$BU$36,$D27,0)</f>
        <v>0</v>
      </c>
      <c r="K12" s="241">
        <f>VLOOKUP($J$3,Commited_Actual_1stProject!$E$9:$BU$36,$D27+1,0)</f>
        <v>0</v>
      </c>
      <c r="L12" s="241">
        <f>VLOOKUP($J$3,Commited_Actual_1stProject!$E$9:$BU$36,$D27+2,0)</f>
        <v>0</v>
      </c>
      <c r="M12" s="93">
        <f>VLOOKUP($M$3,Commited_Actual_1stProject!$E$9:$BU$36,$D27,0)</f>
        <v>0</v>
      </c>
      <c r="N12" s="241">
        <f>VLOOKUP($M$3,Commited_Actual_1stProject!$E$9:$BU$36,$D27+1,0)</f>
        <v>0</v>
      </c>
      <c r="O12" s="241">
        <f>VLOOKUP($M$3,Commited_Actual_1stProject!$E$9:$BU$36,$D27+2,0)</f>
        <v>0</v>
      </c>
      <c r="P12" s="93">
        <f>VLOOKUP($P$3,Commited_Actual_1stProject!$E$9:$BU$36,$D27,0)</f>
        <v>0</v>
      </c>
      <c r="Q12" s="241">
        <f>VLOOKUP($P$3,Commited_Actual_1stProject!$E$9:$BU$36,$D27+1,0)</f>
        <v>0</v>
      </c>
      <c r="R12" s="241">
        <f>VLOOKUP($P$3,Commited_Actual_1stProject!$E$9:$BU$36,$D27+2,0)</f>
        <v>0</v>
      </c>
      <c r="S12" s="93">
        <f>VLOOKUP($S$3,Commited_Actual_1stProject!$E$9:$BU$36,$D27,0)</f>
        <v>0.04</v>
      </c>
      <c r="T12" s="241">
        <f>VLOOKUP($S$3,Commited_Actual_1stProject!$E$9:$BU$36,$D27+1,0)</f>
        <v>30</v>
      </c>
      <c r="U12" s="241">
        <f>VLOOKUP($S$3,Commited_Actual_1stProject!$E$9:$BU$36,$D27+2,0)</f>
        <v>29.88</v>
      </c>
      <c r="V12" s="93">
        <f>VLOOKUP($V$3,Commited_Actual_1stProject!$E$9:$BU$36,$D27,0)</f>
        <v>0</v>
      </c>
      <c r="W12" s="241">
        <f>VLOOKUP($V$3,Commited_Actual_1stProject!$E$9:$BU$36,$D27+1,0)</f>
        <v>0</v>
      </c>
      <c r="X12" s="241">
        <f>VLOOKUP($V$3,Commited_Actual_1stProject!$E$9:$BU$36,$D27+2,0)</f>
        <v>0</v>
      </c>
      <c r="Y12" s="93">
        <f>VLOOKUP($Y$3,Commited_Actual_1stProject!$E$9:$BU$36,$D27,0)</f>
        <v>0</v>
      </c>
      <c r="Z12" s="241">
        <f>VLOOKUP($Y$3,Commited_Actual_1stProject!$E$9:$BU$36,$D27+1,0)</f>
        <v>0</v>
      </c>
      <c r="AA12" s="241">
        <f>VLOOKUP($Y$3,Commited_Actual_1stProject!$E$9:$BU$36,$D27+2,0)</f>
        <v>0</v>
      </c>
      <c r="AB12" s="93">
        <f>VLOOKUP($AB$3,Commited_Actual_1stProject!$E$9:$BU$36,$D27,0)</f>
        <v>0.04</v>
      </c>
      <c r="AC12" s="241">
        <f>VLOOKUP($AB$3,Commited_Actual_1stProject!$E$9:$BU$36,$D27+1,0)</f>
        <v>5</v>
      </c>
      <c r="AD12" s="241">
        <f>VLOOKUP($AB$3,Commited_Actual_1stProject!$E$9:$BU$36,$D27+2,0)</f>
        <v>5</v>
      </c>
      <c r="AE12" s="93">
        <f>VLOOKUP($AE$3,Commited_Actual_1stProject!$E$9:$BU$36,$D27,0)</f>
        <v>0</v>
      </c>
      <c r="AF12" s="241">
        <f>VLOOKUP($AE$3,Commited_Actual_1stProject!$E$9:$BU$36,$D27+1,0)</f>
        <v>0</v>
      </c>
      <c r="AG12" s="241">
        <f>VLOOKUP($AE$3,Commited_Actual_1stProject!$E$9:$BU$36,$D27+2,0)</f>
        <v>0</v>
      </c>
      <c r="AH12" s="93">
        <f>VLOOKUP($AH$3,Commited_Actual_1stProject!$E$9:$BU$36,$D27,0)</f>
        <v>0</v>
      </c>
      <c r="AI12" s="118">
        <f>VLOOKUP($AH$3,Commited_Actual_1stProject!$E$9:$BU$36,$D27+1,0)</f>
        <v>0</v>
      </c>
      <c r="AJ12" s="93">
        <f>VLOOKUP($AH$3,Commited_Actual_1stProject!$E$9:$BU$36,$D27+2,0)</f>
        <v>0</v>
      </c>
      <c r="AK12" s="93">
        <f>VLOOKUP($AK$3,Commited_Actual_1stProject!$E$9:$BU$36,$D27,0)</f>
        <v>0</v>
      </c>
      <c r="AL12" s="118">
        <f>VLOOKUP($AK$3,Commited_Actual_1stProject!$E$9:$BU$36,$D27+1,0)</f>
        <v>0</v>
      </c>
      <c r="AM12" s="118">
        <f>VLOOKUP($AK$3,Commited_Actual_1stProject!$E$9:$BU$36,$D27+2,0)</f>
        <v>0</v>
      </c>
      <c r="AN12" s="93">
        <f>VLOOKUP($AN$3,Commited_Actual_1stProject!$E$9:$BU$36,$D27,0)</f>
        <v>0</v>
      </c>
      <c r="AO12" s="93">
        <f>VLOOKUP($AN$3,Commited_Actual_1stProject!$E$9:$BU$36,$D27+1,0)</f>
        <v>0</v>
      </c>
      <c r="AP12" s="93">
        <f>VLOOKUP($AN$3,Commited_Actual_1stProject!$E$9:$BU$36,$D27+2,0)</f>
        <v>0</v>
      </c>
      <c r="AQ12" s="93">
        <f>VLOOKUP($AQ$3,Commited_Actual_1stProject!$E$9:$BU$36,$D27,0)</f>
        <v>0</v>
      </c>
      <c r="AR12" s="241">
        <f>VLOOKUP($AQ$3,Commited_Actual_1stProject!$E$9:$BU$36,$D27+1,0)</f>
        <v>0</v>
      </c>
      <c r="AS12" s="241">
        <f>VLOOKUP($AQ$3,Commited_Actual_1stProject!$E$9:$BU$36,$D27+2,0)</f>
        <v>0</v>
      </c>
      <c r="AT12" s="93">
        <f>VLOOKUP($AT$3,Commited_Actual_1stProject!$E$9:$BU$36,$D27,0)</f>
        <v>0</v>
      </c>
      <c r="AU12" s="93">
        <f>VLOOKUP($AT$3,Commited_Actual_1stProject!$E$9:$BU$36,$D27+1,0)</f>
        <v>0</v>
      </c>
      <c r="AV12" s="93">
        <f>VLOOKUP($AT$3,Commited_Actual_1stProject!$E$9:$BU$36,$D27+2,0)</f>
        <v>0</v>
      </c>
      <c r="AW12" s="93">
        <f>VLOOKUP($AW$3,Commited_Actual_1stProject!$E$9:$BU$36,$D27,0)</f>
        <v>0</v>
      </c>
      <c r="AX12" s="241">
        <f>VLOOKUP($AW$3,Commited_Actual_1stProject!$E$9:$BU$36,$D27+1,0)</f>
        <v>0</v>
      </c>
      <c r="AY12" s="241">
        <f>VLOOKUP($AW$3,Commited_Actual_1stProject!$E$9:$BU$36,$D27+2,0)</f>
        <v>0</v>
      </c>
      <c r="AZ12" s="93">
        <f>VLOOKUP($AZ$3,Commited_Actual_1stProject!$E$9:$BU$36,$D27,0)</f>
        <v>0</v>
      </c>
      <c r="BA12" s="241">
        <f>VLOOKUP($AZ$3,Commited_Actual_1stProject!$E$9:$BU$36,$D27+1,0)</f>
        <v>0</v>
      </c>
      <c r="BB12" s="241">
        <f>VLOOKUP($AZ$3,Commited_Actual_1stProject!$E$9:$BU$36,$D27+2,0)</f>
        <v>0</v>
      </c>
      <c r="BC12" s="93">
        <f>VLOOKUP($BC$3,Commited_Actual_1stProject!$E$9:$BU$36,$D27,0)</f>
        <v>0.05</v>
      </c>
      <c r="BD12" s="118">
        <f>VLOOKUP($BC$3,Commited_Actual_1stProject!$E$9:$BU$36,$D27+1,0)</f>
        <v>0.25</v>
      </c>
      <c r="BE12" s="118">
        <f>VLOOKUP($BC$3,Commited_Actual_1stProject!$E$9:$BU$36,$D27+2,0)</f>
        <v>0.31</v>
      </c>
      <c r="BF12" s="93"/>
      <c r="BG12" s="241"/>
      <c r="BH12" s="241"/>
      <c r="BI12" s="93">
        <f>VLOOKUP($BI$3,Commited_Actual_1stProject!$E$9:$BU$36,$D27,0)</f>
        <v>0.05</v>
      </c>
      <c r="BJ12" s="241">
        <f>VLOOKUP($BI$3,Commited_Actual_1stProject!$E$9:$BU$36,$D27+1,0)</f>
        <v>650</v>
      </c>
      <c r="BK12" s="241">
        <f>VLOOKUP($BI$3,Commited_Actual_1stProject!$E$9:$BU$36,$D27+2,0)</f>
        <v>675</v>
      </c>
      <c r="BL12" s="93">
        <f>VLOOKUP($BL$3,Commited_Actual_1stProject!$E$9:$BU$36,$D27,0)</f>
        <v>0.04</v>
      </c>
      <c r="BM12" s="241">
        <f>VLOOKUP($BL$3,Commited_Actual_1stProject!$E$9:$BU$36,$D27+1,0)</f>
        <v>3</v>
      </c>
      <c r="BN12" s="241">
        <f>VLOOKUP($BL$3,Commited_Actual_1stProject!$E$9:$BU$36,$D27+2,0)</f>
        <v>5</v>
      </c>
      <c r="BO12" s="93">
        <f>VLOOKUP($BO$3,Commited_Actual_1stProject!$E$9:$BU$36,$D27,0)</f>
        <v>0.03</v>
      </c>
      <c r="BP12" s="241">
        <f>VLOOKUP($BO$3,Commited_Actual_1stProject!$E$9:$BU$36,$D27+1,0)</f>
        <v>3</v>
      </c>
      <c r="BQ12" s="241">
        <f>VLOOKUP($BO$3,Commited_Actual_1stProject!$E$9:$BU$36,$D27+2,0)</f>
        <v>4</v>
      </c>
      <c r="BR12" s="93">
        <f>VLOOKUP($BR$3,Commited_Actual_1stProject!$E$9:$BU$36,$D27,0)</f>
        <v>0.03</v>
      </c>
      <c r="BS12" s="241">
        <f>VLOOKUP($BR$3,Commited_Actual_1stProject!$E$9:$BU$36,$D27+1,0)</f>
        <v>3</v>
      </c>
      <c r="BT12" s="241">
        <f>VLOOKUP($BR$3,Commited_Actual_1stProject!$E$9:$BU$36,$D27+2,0)</f>
        <v>5</v>
      </c>
      <c r="BU12" s="93">
        <f>VLOOKUP($BU$3,Commited_Actual_1stProject!$E$9:$BU$36,$D27,0)</f>
        <v>0</v>
      </c>
      <c r="BV12" s="241">
        <f>VLOOKUP($BU$3,Commited_Actual_1stProject!$E$9:$BU$36,$D27+1,0)</f>
        <v>0</v>
      </c>
      <c r="BW12" s="241">
        <f>VLOOKUP($BU$3,Commited_Actual_1stProject!$E$9:$BU$36,$D27+2,0)</f>
        <v>0</v>
      </c>
      <c r="BX12" s="93">
        <f>VLOOKUP($BX$3,Commited_Actual_1stProject!$E$9:$BU$36,$D27,0)</f>
        <v>0.05</v>
      </c>
      <c r="BY12" s="241">
        <f>VLOOKUP($BX$3,Commited_Actual_1stProject!$E$9:$BU$36,$D27+1,0)</f>
        <v>10</v>
      </c>
      <c r="BZ12" s="241">
        <f>VLOOKUP($BX$3,Commited_Actual_1stProject!$E$9:$BU$36,$D27+2,0)</f>
        <v>18</v>
      </c>
      <c r="CA12" s="93">
        <f>VLOOKUP($CA$3,Commited_Actual_1stProject!$E$9:$BU$36,$D27,0)</f>
        <v>0</v>
      </c>
      <c r="CB12" s="241">
        <f>VLOOKUP($CA$3,Commited_Actual_1stProject!$E$9:$BU$36,$D27+1,0)</f>
        <v>0</v>
      </c>
      <c r="CC12" s="241">
        <f>VLOOKUP($CA$3,Commited_Actual_1stProject!$E$9:$BU$36,$D27+2,0)</f>
        <v>0</v>
      </c>
      <c r="CD12" s="93"/>
      <c r="CE12" s="241"/>
      <c r="CF12" s="241"/>
      <c r="CG12" s="93"/>
      <c r="CH12" s="241"/>
      <c r="CI12" s="241"/>
      <c r="CJ12" s="93">
        <f>VLOOKUP($CJ$3,Commited_Actual_1stProject!$E$9:$BU$36,$D27,0)</f>
        <v>0.1</v>
      </c>
      <c r="CK12" s="241">
        <f>VLOOKUP($CJ$3,Commited_Actual_1stProject!$E$9:$BU$36,$D27+1,0)</f>
        <v>3</v>
      </c>
      <c r="CL12" s="241">
        <f>VLOOKUP($CJ$3,Commited_Actual_1stProject!$E$9:$BU$36,$D27+2,0)</f>
        <v>5</v>
      </c>
      <c r="CM12" s="93"/>
      <c r="CN12" s="241"/>
      <c r="CO12" s="241"/>
      <c r="CP12" s="93"/>
      <c r="CQ12" s="241"/>
      <c r="CR12" s="241"/>
      <c r="CS12" s="93">
        <f>VLOOKUP($CS$3,Commited_Actual_1stProject!$E$9:$BU$36,$D27,0)</f>
        <v>0.03</v>
      </c>
      <c r="CT12" s="241">
        <f>VLOOKUP($CS$3,Commited_Actual_1stProject!$E$9:$BU$36,$D27+1,0)</f>
        <v>0.9</v>
      </c>
      <c r="CU12" s="241">
        <f>VLOOKUP($CS$3,Commited_Actual_1stProject!$E$9:$BU$36,$D27+2,0)</f>
        <v>1</v>
      </c>
      <c r="CV12" s="93"/>
      <c r="CW12" s="241"/>
      <c r="CX12" s="241"/>
      <c r="CY12" s="93"/>
      <c r="CZ12" s="241"/>
      <c r="DA12" s="241"/>
      <c r="DB12" s="93">
        <f>VLOOKUP($DB$3,Commited_Actual_2ndProject!$E$5:$AG$34,$E27,0)</f>
        <v>0</v>
      </c>
      <c r="DC12" s="93">
        <f>VLOOKUP($DB$3,Commited_Actual_2ndProject!$E$5:$AG$34,$E27+1,0)</f>
        <v>0</v>
      </c>
      <c r="DD12" s="93">
        <f>VLOOKUP($DB$3,Commited_Actual_2ndProject!$E$5:$AG$34,$E27+2,0)</f>
        <v>0</v>
      </c>
      <c r="DE12" s="93">
        <f>VLOOKUP($DE$3,Commited_Actual_2ndProject!$E$5:$AG$34,$E27,0)</f>
        <v>0</v>
      </c>
      <c r="DF12" s="93">
        <f>VLOOKUP($DE$3,Commited_Actual_2ndProject!$E$5:$AG$34,$E27+1,0)</f>
        <v>0</v>
      </c>
      <c r="DG12" s="93">
        <f>VLOOKUP($DE$3,Commited_Actual_2ndProject!$E$5:$AG$34,$E27+2,0)</f>
        <v>0</v>
      </c>
      <c r="DH12" s="93">
        <f>VLOOKUP($DH$3,Commited_Actual_2ndProject!$E$5:$AG$34,$E27,0)</f>
        <v>0</v>
      </c>
      <c r="DI12" s="93">
        <f>VLOOKUP($DH$3,Commited_Actual_2ndProject!$E$5:$AG$34,$E27+1,0)</f>
        <v>0</v>
      </c>
      <c r="DJ12" s="93">
        <f>VLOOKUP($DH$3,Commited_Actual_2ndProject!$E$5:$AG$34,$E27+2,0)</f>
        <v>0</v>
      </c>
      <c r="DK12" s="93">
        <f>VLOOKUP($DK$3,Commited_Actual_2ndProject!$E$5:$AG$34,$E27,0)</f>
        <v>0</v>
      </c>
      <c r="DL12" s="93">
        <f>VLOOKUP($DK$3,Commited_Actual_2ndProject!$E$5:$AG$34,$E27+1,0)</f>
        <v>0</v>
      </c>
      <c r="DM12" s="93">
        <f>VLOOKUP($DK$3,Commited_Actual_2ndProject!$E$5:$AG$34,$E27+2,0)</f>
        <v>0</v>
      </c>
      <c r="DN12" s="93">
        <f>VLOOKUP($DN$3,Commited_Actual_2ndProject!$E$5:$AG$34,$E27,0)</f>
        <v>0.04</v>
      </c>
      <c r="DO12" s="241">
        <f>VLOOKUP($DN$3,Commited_Actual_2ndProject!$E$5:$AG$34,$E27+1,0)</f>
        <v>37</v>
      </c>
      <c r="DP12" s="241">
        <f>VLOOKUP($DN$3,Commited_Actual_2ndProject!$E$5:$AG$34,$E27+2,0)</f>
        <v>40.619999999999997</v>
      </c>
      <c r="DQ12" s="93">
        <f>VLOOKUP($DQ$3,Commited_Actual_2ndProject!$E$5:$AG$34,$E27,0)</f>
        <v>0</v>
      </c>
      <c r="DR12" s="93">
        <f>VLOOKUP($DQ$3,Commited_Actual_2ndProject!$E$5:$AG$34,$E27+1,0)</f>
        <v>0</v>
      </c>
      <c r="DS12" s="93">
        <f>VLOOKUP($DQ$3,Commited_Actual_2ndProject!$E$5:$AG$34,$E27+2,0)</f>
        <v>0</v>
      </c>
      <c r="DT12" s="93">
        <f>VLOOKUP($DT$3,Commited_Actual_2ndProject!$E$5:$AG$34,$E27,0)</f>
        <v>0</v>
      </c>
      <c r="DU12" s="93">
        <f>VLOOKUP($DT$3,Commited_Actual_2ndProject!$E$5:$AG$34,$E27+1,0)</f>
        <v>0</v>
      </c>
      <c r="DV12" s="93">
        <f>VLOOKUP($DT$3,Commited_Actual_2ndProject!$E$5:$AG$34,$E27+2,0)</f>
        <v>0</v>
      </c>
      <c r="DW12" s="93">
        <f>VLOOKUP($DW$3,Commited_Actual_2ndProject!$E$5:$AG$34,$E27,0)</f>
        <v>0.05</v>
      </c>
      <c r="DX12" s="93">
        <f>VLOOKUP($DW$3,Commited_Actual_2ndProject!$E$5:$AG$34,$E27+1,0)</f>
        <v>8</v>
      </c>
      <c r="DY12" s="93">
        <f>VLOOKUP($DW$3,Commited_Actual_2ndProject!$E$5:$AG$34,$E27+2,0)</f>
        <v>12.79</v>
      </c>
      <c r="DZ12" s="93">
        <f>VLOOKUP($DZ$3,Commited_Actual_2ndProject!$E$5:$AG$34,$E27,0)</f>
        <v>0</v>
      </c>
      <c r="EA12" s="93">
        <f>VLOOKUP($DZ$3,Commited_Actual_2ndProject!$E$5:$AG$34,$E27+1,0)</f>
        <v>0</v>
      </c>
      <c r="EB12" s="93">
        <f>VLOOKUP($DZ$3,Commited_Actual_2ndProject!$E$5:$AG$34,$E27+2,0)</f>
        <v>0</v>
      </c>
      <c r="EC12" s="93">
        <f>VLOOKUP($EC$3,Commited_Actual_2ndProject!$E$5:$AG$34,$E27,0)</f>
        <v>0</v>
      </c>
      <c r="ED12" s="93">
        <f>VLOOKUP($EC$3,Commited_Actual_2ndProject!$E$5:$AG$34,$E27+1,0)</f>
        <v>0</v>
      </c>
      <c r="EE12" s="93">
        <f>VLOOKUP($EC$3,Commited_Actual_2ndProject!$E$5:$AG$34,$E27+2,0)</f>
        <v>0</v>
      </c>
      <c r="EF12" s="93">
        <f>VLOOKUP($EF$3,Commited_Actual_2ndProject!$E$5:$AG$34,$E27,0)</f>
        <v>0</v>
      </c>
      <c r="EG12" s="93">
        <f>VLOOKUP($EF$3,Commited_Actual_2ndProject!$E$5:$AG$34,$E27+1,0)</f>
        <v>0</v>
      </c>
      <c r="EH12" s="93">
        <f>VLOOKUP($EF$3,Commited_Actual_2ndProject!$E$5:$AG$34,$E27+2,0)</f>
        <v>0</v>
      </c>
      <c r="EI12" s="93">
        <f>VLOOKUP($EI$3,Commited_Actual_2ndProject!$E$5:$AG$34,$E27,0)</f>
        <v>0</v>
      </c>
      <c r="EJ12" s="93">
        <f>VLOOKUP($EI$3,Commited_Actual_2ndProject!$E$5:$AG$34,$E27+1,0)</f>
        <v>0</v>
      </c>
      <c r="EK12" s="93">
        <f>VLOOKUP($EI$3,Commited_Actual_2ndProject!$E$5:$AG$34,$E27+2,0)</f>
        <v>0</v>
      </c>
      <c r="EL12" s="93">
        <f>VLOOKUP($EL$3,Commited_Actual_2ndProject!$E$5:$AG$34,$E27,0)</f>
        <v>0</v>
      </c>
      <c r="EM12" s="93">
        <f>VLOOKUP($EL$3,Commited_Actual_2ndProject!$E$5:$AG$34,$E27+1,0)</f>
        <v>0</v>
      </c>
      <c r="EN12" s="93">
        <f>VLOOKUP($EL$3,Commited_Actual_2ndProject!$E$5:$AG$34,$E27+2,0)</f>
        <v>0</v>
      </c>
      <c r="EO12" s="93">
        <f>VLOOKUP($EO$3,Commited_Actual_2ndProject!$E$5:$AG$34,$E27,0)</f>
        <v>0</v>
      </c>
      <c r="EP12" s="93">
        <f>VLOOKUP($EO$3,Commited_Actual_2ndProject!$E$5:$AG$34,$E27+1,0)</f>
        <v>0</v>
      </c>
      <c r="EQ12" s="93">
        <f>VLOOKUP($EO$3,Commited_Actual_2ndProject!$E$5:$AG$34,$E27+2,0)</f>
        <v>0</v>
      </c>
      <c r="ER12" s="93">
        <f>VLOOKUP($ER$3,Commited_Actual_2ndProject!$E$5:$AG$34,$E27,0)</f>
        <v>0</v>
      </c>
      <c r="ES12" s="93">
        <f>VLOOKUP($ER$3,Commited_Actual_2ndProject!$E$5:$AG$34,$E27+1,0)</f>
        <v>0</v>
      </c>
      <c r="ET12" s="93">
        <f>VLOOKUP($ER$3,Commited_Actual_2ndProject!$E$5:$AG$34,$E27+2,0)</f>
        <v>0</v>
      </c>
      <c r="EU12" s="93">
        <f>VLOOKUP($EU$3,Commited_Actual_2ndProject!$E$5:$AG$34,$E27,0)</f>
        <v>0</v>
      </c>
      <c r="EV12" s="93">
        <f>VLOOKUP($EU$3,Commited_Actual_2ndProject!$E$5:$AG$34,$E27+1,0)</f>
        <v>0</v>
      </c>
      <c r="EW12" s="93">
        <f>VLOOKUP($EU$3,Commited_Actual_2ndProject!$E$5:$AG$34,$E27+2,0)</f>
        <v>0</v>
      </c>
      <c r="EX12" s="93">
        <f>VLOOKUP($EX$3,Commited_Actual_2ndProject!$E$5:$AG$34,$E27,0)</f>
        <v>0.04</v>
      </c>
      <c r="EY12" s="93">
        <f>VLOOKUP($EX$3,Commited_Actual_2ndProject!$E$5:$AG$34,$E27+1,0)</f>
        <v>0.3</v>
      </c>
      <c r="EZ12" s="93">
        <f>VLOOKUP($EX$3,Commited_Actual_2ndProject!$E$5:$AG$34,$E27+2,0)</f>
        <v>0.31</v>
      </c>
      <c r="FA12" s="93">
        <f>VLOOKUP($FA$3,Commited_Actual_2ndProject!$E$5:$AG$34,$E27,0)</f>
        <v>0.04</v>
      </c>
      <c r="FB12" s="93">
        <f>VLOOKUP($FA$3,Commited_Actual_2ndProject!$E$5:$AG$34,$E27+1,0)</f>
        <v>0</v>
      </c>
      <c r="FC12" s="93">
        <f>VLOOKUP($FA$3,Commited_Actual_2ndProject!$E$5:$AG$34,$E27+2,0)</f>
        <v>0</v>
      </c>
      <c r="FD12" s="95"/>
      <c r="FE12" s="96"/>
      <c r="FF12" s="96"/>
      <c r="FG12" s="95"/>
      <c r="FH12" s="96"/>
      <c r="FI12" s="96"/>
      <c r="FJ12" s="95"/>
      <c r="FK12" s="96"/>
      <c r="FL12" s="96"/>
      <c r="FM12" s="95"/>
      <c r="FN12" s="96"/>
      <c r="FO12" s="96"/>
      <c r="FP12" s="95"/>
      <c r="FQ12" s="96"/>
      <c r="FR12" s="96"/>
      <c r="FS12" s="95"/>
      <c r="FT12" s="96"/>
      <c r="FU12" s="96"/>
      <c r="FV12" s="93">
        <f>VLOOKUP($FV$3,Commited_Actual_3rdProject!$E$5:$M$34,$F27,0)</f>
        <v>0</v>
      </c>
      <c r="FW12" s="93">
        <f>VLOOKUP($FV$3,Commited_Actual_3rdProject!$E$5:$M$34,$F27+1,0)</f>
        <v>0</v>
      </c>
      <c r="FX12" s="93">
        <f>VLOOKUP($FV$3,Commited_Actual_3rdProject!$E$5:$M$34,$F27+2,0)</f>
        <v>0</v>
      </c>
      <c r="FY12" s="93">
        <f>VLOOKUP($FY$3,Commited_Actual_3rdProject!$E$5:$M$34,$F27,0)</f>
        <v>0</v>
      </c>
      <c r="FZ12" s="93">
        <f>VLOOKUP($FY$3,Commited_Actual_3rdProject!$E$5:$M$34,$F27+1,0)</f>
        <v>0</v>
      </c>
      <c r="GA12" s="93">
        <f>VLOOKUP($FY$3,Commited_Actual_3rdProject!$E$5:$M$34,$F27+2,0)</f>
        <v>0</v>
      </c>
      <c r="GB12" s="93">
        <f>VLOOKUP($GB$3,Commited_Actual_3rdProject!$E$5:$M$34,$F27,0)</f>
        <v>0</v>
      </c>
      <c r="GC12" s="93">
        <f>VLOOKUP($GB$3,Commited_Actual_3rdProject!$E$5:$M$34,$F27+1,0)</f>
        <v>0</v>
      </c>
      <c r="GD12" s="93">
        <f>VLOOKUP($GB$3,Commited_Actual_3rdProject!$E$5:$M$34,$F27+2,0)</f>
        <v>0</v>
      </c>
      <c r="GE12" s="93">
        <f>VLOOKUP($GE$3,Commited_Actual_3rdProject!$E$5:$M$34,$F27,0)</f>
        <v>0</v>
      </c>
      <c r="GF12" s="93">
        <f>VLOOKUP($GE$3,Commited_Actual_3rdProject!$E$5:$M$34,$F27+1,0)</f>
        <v>0</v>
      </c>
      <c r="GG12" s="93">
        <f>VLOOKUP($GE$3,Commited_Actual_3rdProject!$E$5:$M$34,$F27+2,0)</f>
        <v>0</v>
      </c>
      <c r="GH12" s="93">
        <f>VLOOKUP($GH$3,Commited_Actual_3rdProject!$E$5:$M$34,$F27,0)</f>
        <v>0</v>
      </c>
      <c r="GI12" s="93">
        <f>VLOOKUP($GH$3,Commited_Actual_3rdProject!$E$5:$M$34,$F27+1,0)</f>
        <v>0</v>
      </c>
      <c r="GJ12" s="93">
        <f>VLOOKUP($GH$3,Commited_Actual_3rdProject!$E$5:$M$34,$F27+2,0)</f>
        <v>0</v>
      </c>
      <c r="GK12" s="93">
        <f>VLOOKUP($GK$3,Commited_Actual_3rdProject!$E$5:$M$34,$F27,0)</f>
        <v>0.05</v>
      </c>
      <c r="GL12" s="93">
        <f>VLOOKUP($GK$3,Commited_Actual_3rdProject!$E$5:$M$34,$F27+1,0)</f>
        <v>6</v>
      </c>
      <c r="GM12" s="93">
        <f>VLOOKUP($GK$3,Commited_Actual_3rdProject!$E$5:$M$34,$F27+2,0)</f>
        <v>6.81</v>
      </c>
      <c r="GN12" s="93">
        <f>VLOOKUP($GN$3,Commited_Actual_3rdProject!$E$5:$M$34,$F27,0)</f>
        <v>0.05</v>
      </c>
      <c r="GO12" s="93">
        <f>VLOOKUP($GN$3,Commited_Actual_3rdProject!$E$5:$M$34,$F27+1,0)</f>
        <v>4</v>
      </c>
      <c r="GP12" s="93">
        <f>VLOOKUP($GN$3,Commited_Actual_3rdProject!$E$5:$M$34,$F27+2,0)</f>
        <v>5.15</v>
      </c>
      <c r="GQ12" s="93">
        <f>VLOOKUP($GQ$3,Commited_Actual_3rdProject!$E$5:$M$34,$F27,0)</f>
        <v>0</v>
      </c>
      <c r="GR12" s="93">
        <f>VLOOKUP($GQ$3,Commited_Actual_3rdProject!$E$5:$M$34,$F27+1,0)</f>
        <v>0</v>
      </c>
      <c r="GS12" s="93">
        <f>VLOOKUP($GQ$3,Commited_Actual_3rdProject!$E$5:$M$34,$F27+2,0)</f>
        <v>0</v>
      </c>
      <c r="GT12" s="93">
        <f>VLOOKUP($GT$3,Commited_Actual_3rdProject!$E$5:$M$34,$F27,0)</f>
        <v>0</v>
      </c>
      <c r="GU12" s="93">
        <f>VLOOKUP($GT$3,Commited_Actual_3rdProject!$E$5:$M$34,$F27+1,0)</f>
        <v>0</v>
      </c>
      <c r="GV12" s="93">
        <f>VLOOKUP($GT$3,Commited_Actual_3rdProject!$E$5:$M$34,$F27+2,0)</f>
        <v>0</v>
      </c>
      <c r="GW12" s="93">
        <f>VLOOKUP($GW$3,Commited_Actual_3rdProject!$E$5:$M$34,$F27,0)</f>
        <v>0</v>
      </c>
      <c r="GX12" s="93">
        <f>VLOOKUP($GW$3,Commited_Actual_3rdProject!$E$5:$M$34,$F27+1,0)</f>
        <v>0</v>
      </c>
      <c r="GY12" s="93">
        <f>VLOOKUP($GW$3,Commited_Actual_3rdProject!$E$5:$M$34,$F27+2,0)</f>
        <v>0</v>
      </c>
      <c r="GZ12" s="93">
        <f>VLOOKUP($GZ$3,Commited_Actual_3rdProject!$E$5:$M$34,$F27,0)</f>
        <v>0</v>
      </c>
      <c r="HA12" s="93">
        <f>VLOOKUP($GZ$3,Commited_Actual_3rdProject!$E$5:$M$34,$F27+1,0)</f>
        <v>0</v>
      </c>
      <c r="HB12" s="93">
        <f>VLOOKUP($GZ$3,Commited_Actual_3rdProject!$E$5:$M$34,$F27+2,0)</f>
        <v>0</v>
      </c>
      <c r="HC12" s="93">
        <f>VLOOKUP($HC$3,Commited_Actual_3rdProject!$E$5:$M$34,$F27,0)</f>
        <v>0</v>
      </c>
      <c r="HD12" s="93">
        <f>VLOOKUP($HC$3,Commited_Actual_3rdProject!$E$5:$M$34,$F27+1,0)</f>
        <v>0</v>
      </c>
      <c r="HE12" s="93">
        <f>VLOOKUP($HC$3,Commited_Actual_3rdProject!$E$5:$M$34,$F27+2,0)</f>
        <v>0</v>
      </c>
      <c r="HF12" s="93">
        <f>VLOOKUP($HF$3,Commited_Actual_3rdProject!$E$5:$M$34,$F27,0)</f>
        <v>0</v>
      </c>
      <c r="HG12" s="93">
        <f>VLOOKUP($HF$3,Commited_Actual_3rdProject!$E$5:$M$34,$F27+1,0)</f>
        <v>0</v>
      </c>
      <c r="HH12" s="93">
        <f>VLOOKUP($HF$3,Commited_Actual_3rdProject!$E$5:$M$34,$F27+2,0)</f>
        <v>0</v>
      </c>
      <c r="HI12" s="93">
        <f>VLOOKUP($HI$3,Commited_Actual_3rdProject!$E$5:$M$34,$F27,0)</f>
        <v>0</v>
      </c>
      <c r="HJ12" s="93">
        <f>VLOOKUP($HI$3,Commited_Actual_3rdProject!$E$5:$M$34,$F27+1,0)</f>
        <v>0</v>
      </c>
      <c r="HK12" s="93">
        <f>VLOOKUP($HI$3,Commited_Actual_3rdProject!$E$5:$M$34,$F27+2,0)</f>
        <v>0</v>
      </c>
      <c r="HL12" s="93">
        <f>VLOOKUP($HL$3,Commited_Actual_3rdProject!$E$5:$M$34,$F27,0)</f>
        <v>0.04</v>
      </c>
      <c r="HM12" s="93">
        <f>VLOOKUP($HL$3,Commited_Actual_3rdProject!$E$5:$M$34,$F27+1,0)</f>
        <v>0.05</v>
      </c>
      <c r="HN12" s="93">
        <f>VLOOKUP($HL$3,Commited_Actual_3rdProject!$E$5:$M$34,$F27+2,0)</f>
        <v>0</v>
      </c>
      <c r="HO12" s="93">
        <f>VLOOKUP($HO$3,Commited_Actual_3rdProject!$E$5:$M$34,$F27,0)</f>
        <v>0</v>
      </c>
      <c r="HP12" s="93">
        <f>VLOOKUP($HO$3,Commited_Actual_3rdProject!$E$5:$M$34,$F27+1,0)</f>
        <v>0</v>
      </c>
      <c r="HQ12" s="93">
        <f>VLOOKUP($HO$3,Commited_Actual_3rdProject!$E$5:$M$34,$F27+2,0)</f>
        <v>0</v>
      </c>
      <c r="HR12" s="93">
        <f>VLOOKUP($HR$3,Commited_Actual_3rdProject!$E$5:$M$34,$F27,0)</f>
        <v>0</v>
      </c>
      <c r="HS12" s="93">
        <f>VLOOKUP($HR$3,Commited_Actual_3rdProject!$E$5:$M$34,$F27+1,0)</f>
        <v>0</v>
      </c>
      <c r="HT12" s="93">
        <f>VLOOKUP($HR$3,Commited_Actual_3rdProject!$E$5:$M$34,$F27+2,0)</f>
        <v>0</v>
      </c>
      <c r="HU12" s="93">
        <f>VLOOKUP($HU$3,Commited_Actual_3rdProject!$E$5:$M$34,$F27,0)</f>
        <v>0.03</v>
      </c>
      <c r="HV12" s="93">
        <f>VLOOKUP($HU$3,Commited_Actual_3rdProject!$E$5:$M$34,$F27+1,0)</f>
        <v>0.9</v>
      </c>
      <c r="HW12" s="93">
        <f>VLOOKUP($HU$3,Commited_Actual_3rdProject!$E$5:$M$34,$F27+2,0)</f>
        <v>1</v>
      </c>
      <c r="HX12" s="93">
        <f>VLOOKUP($HX$3,Commited_Actual_4thProject!$E$5:$M$34,$G27,0)</f>
        <v>2.5000000000000001E-2</v>
      </c>
      <c r="HY12" s="93">
        <f>VLOOKUP($HX$3,Commited_Actual_4thProject!$E$5:$M$34,$G27+1,0)</f>
        <v>40</v>
      </c>
      <c r="HZ12" s="93">
        <f>VLOOKUP($HX$3,Commited_Actual_4thProject!$E$5:$M$34,$G27+2,0)</f>
        <v>46.32</v>
      </c>
      <c r="IA12" s="93">
        <f>VLOOKUP($IA$3,Commited_Actual_4thProject!$E$5:$M$34,$G27,0)</f>
        <v>2.5000000000000001E-2</v>
      </c>
      <c r="IB12" s="93">
        <f>VLOOKUP($IA$3,Commited_Actual_4thProject!$E$5:$M$34,$G27+1,0)</f>
        <v>4</v>
      </c>
      <c r="IC12" s="93">
        <f>VLOOKUP($IA$3,Commited_Actual_4thProject!$E$5:$M$34,$G27+2,0)</f>
        <v>12.71</v>
      </c>
      <c r="ID12" s="93">
        <f>VLOOKUP($ID$3,Commited_Actual_4thProject!$E$5:$M$34,$G27,0)</f>
        <v>2.5000000000000001E-2</v>
      </c>
      <c r="IE12" s="93">
        <f>VLOOKUP($ID$3,Commited_Actual_4thProject!$E$5:$M$34,$G27+1,0)</f>
        <v>20</v>
      </c>
      <c r="IF12" s="93">
        <f>VLOOKUP($ID$3,Commited_Actual_4thProject!$E$5:$M$34,$G27+2,0)</f>
        <v>32.39</v>
      </c>
      <c r="IG12" s="93">
        <f>VLOOKUP($IG$3,Commited_Actual_4thProject!$E$5:$M$34,$G27,0)</f>
        <v>2.5000000000000001E-2</v>
      </c>
      <c r="IH12" s="93">
        <f>VLOOKUP($IG$3,Commited_Actual_4thProject!$E$5:$M$34,$G27+1,0)</f>
        <v>40</v>
      </c>
      <c r="II12" s="93">
        <f>VLOOKUP($IG$3,Commited_Actual_4thProject!$E$5:$M$34,$G27+2,0)</f>
        <v>56.6</v>
      </c>
      <c r="IJ12" s="93">
        <f>VLOOKUP($IJ$3,Commited_Actual_4thProject!$E$5:$M$34,$G27,0)</f>
        <v>0</v>
      </c>
      <c r="IK12" s="93">
        <f>VLOOKUP($IJ$3,Commited_Actual_4thProject!$E$5:$M$34,$G27+1,0)</f>
        <v>0</v>
      </c>
      <c r="IL12" s="93">
        <f>VLOOKUP($IJ$3,Commited_Actual_4thProject!$E$5:$M$34,$G27+2,0)</f>
        <v>0</v>
      </c>
      <c r="IM12" s="93">
        <f>VLOOKUP($IM$3,Commited_Actual_4thProject!$E$5:$M$34,$G27,0)</f>
        <v>0</v>
      </c>
      <c r="IN12" s="93">
        <f>VLOOKUP($IM$3,Commited_Actual_4thProject!$E$5:$M$34,$G27+1,0)</f>
        <v>0</v>
      </c>
      <c r="IO12" s="93">
        <f>VLOOKUP($IM$3,Commited_Actual_4thProject!$E$5:$M$34,$G27+2,0)</f>
        <v>0</v>
      </c>
      <c r="IP12" s="93">
        <f>VLOOKUP($IP$3,Commited_Actual_4thProject!$E$5:$M$34,$G27,0)</f>
        <v>0</v>
      </c>
      <c r="IQ12" s="93">
        <f>VLOOKUP($IP$3,Commited_Actual_4thProject!$E$5:$M$34,$G27+1,0)</f>
        <v>0</v>
      </c>
      <c r="IR12" s="93">
        <f>VLOOKUP($IP$3,Commited_Actual_4thProject!$E$5:$M$34,$G27+2,0)</f>
        <v>0</v>
      </c>
      <c r="IS12" s="93">
        <f>VLOOKUP($IS$3,Commited_Actual_4thProject!$E$5:$M$34,$G27,0)</f>
        <v>0</v>
      </c>
      <c r="IT12" s="93">
        <f>VLOOKUP($IS$3,Commited_Actual_4thProject!$E$5:$M$34,$G27+1,0)</f>
        <v>0</v>
      </c>
      <c r="IU12" s="93">
        <f>VLOOKUP($IS$3,Commited_Actual_4thProject!$E$5:$M$34,$G27+2,0)</f>
        <v>0</v>
      </c>
      <c r="IV12" s="93">
        <f>VLOOKUP($IV$3,Commited_Actual_4thProject!$E$5:$M$34,$G27,0)</f>
        <v>0</v>
      </c>
      <c r="IW12" s="93">
        <f>VLOOKUP($IV$3,Commited_Actual_4thProject!$E$5:$M$34,$G27+1,0)</f>
        <v>0</v>
      </c>
      <c r="IX12" s="93">
        <f>VLOOKUP($IV$3,Commited_Actual_4thProject!$E$5:$M$34,$G27+2,0)</f>
        <v>0</v>
      </c>
      <c r="IY12" s="93">
        <f>VLOOKUP($IY$3,Commited_Actual_4thProject!$E$5:$M$34,$G27,0)</f>
        <v>0.05</v>
      </c>
      <c r="IZ12" s="93">
        <f>VLOOKUP($IY$3,Commited_Actual_4thProject!$E$5:$M$34,$G27+1,0)</f>
        <v>0.05</v>
      </c>
      <c r="JA12" s="93">
        <f>VLOOKUP($IY$3,Commited_Actual_4thProject!$E$5:$M$34,$G27+2,0)</f>
        <v>0</v>
      </c>
      <c r="JB12" s="93">
        <f>VLOOKUP($JB$3,Commited_Actual_4thProject!$E$5:$M$34,$G27,0)</f>
        <v>0</v>
      </c>
      <c r="JC12" s="93">
        <f>VLOOKUP($JB$3,Commited_Actual_4thProject!$E$5:$M$34,$G27+1,0)</f>
        <v>0</v>
      </c>
      <c r="JD12" s="93">
        <f>VLOOKUP($JB$3,Commited_Actual_4thProject!$E$5:$M$34,$G27+2,0)</f>
        <v>0</v>
      </c>
      <c r="JE12" s="93">
        <f>VLOOKUP($JE$3,Commited_Actual_4thProject!$E$5:$M$34,$G27,0)</f>
        <v>2.5000000000000001E-2</v>
      </c>
      <c r="JF12" s="93">
        <f>VLOOKUP($JE$3,Commited_Actual_4thProject!$E$5:$M$34,$G27+1,0)</f>
        <v>0.18</v>
      </c>
      <c r="JG12" s="93">
        <f>VLOOKUP($JE$3,Commited_Actual_4thProject!$E$5:$M$34,$G27+2,0)</f>
        <v>0</v>
      </c>
      <c r="JH12" s="93">
        <f>VLOOKUP($JH$3,Commited_Actual_4thProject!$E$5:$M$34,$G27,0)</f>
        <v>0</v>
      </c>
      <c r="JI12" s="93">
        <f>VLOOKUP($JH$3,Commited_Actual_4thProject!$E$5:$M$34,$G27+1,0)</f>
        <v>0</v>
      </c>
      <c r="JJ12" s="93">
        <f>VLOOKUP($JH$3,Commited_Actual_4thProject!$E$5:$M$34,$G27+2,0)</f>
        <v>0</v>
      </c>
      <c r="JK12" s="93">
        <f>VLOOKUP($JK$3,Commited_Actual_4thProject!$E$5:$M$34,$G27,0)</f>
        <v>2.5000000000000001E-2</v>
      </c>
      <c r="JL12" s="93">
        <f>VLOOKUP($JK$3,Commited_Actual_4thProject!$E$5:$M$34,$G27+1,0)</f>
        <v>0.25</v>
      </c>
      <c r="JM12" s="93">
        <f>VLOOKUP($JK$3,Commited_Actual_4thProject!$E$5:$M$34,$G27+2,0)</f>
        <v>0</v>
      </c>
      <c r="JN12" s="93">
        <f>VLOOKUP($JN$3,Commited_Actual_4thProject!$E$5:$M$34,$G27,0)</f>
        <v>0</v>
      </c>
      <c r="JO12" s="93">
        <f>VLOOKUP($JN$3,Commited_Actual_4thProject!$E$5:$M$34,$G27+1,0)</f>
        <v>0</v>
      </c>
      <c r="JP12" s="93">
        <f>VLOOKUP($JN$3,Commited_Actual_4thProject!$E$5:$M$34,$G27+2,0)</f>
        <v>0</v>
      </c>
      <c r="JQ12" s="93">
        <f>VLOOKUP($JQ$3,Commited_Actual_4thProject!$E$5:$M$34,$G27,0)</f>
        <v>0</v>
      </c>
      <c r="JR12" s="93">
        <f>VLOOKUP($JQ$3,Commited_Actual_4thProject!$E$5:$M$34,$G27+1,0)</f>
        <v>0</v>
      </c>
      <c r="JS12" s="93">
        <f>VLOOKUP($JQ$3,Commited_Actual_4thProject!$E$5:$M$34,$G27+2,0)</f>
        <v>0</v>
      </c>
      <c r="JT12" s="93">
        <f>VLOOKUP($JT$3,Commited_Actual_4thProject!$E$5:$M$34,$G27,0)</f>
        <v>0</v>
      </c>
      <c r="JU12" s="93">
        <f>VLOOKUP($JT$3,Commited_Actual_4thProject!$E$5:$M$34,$G27+1,0)</f>
        <v>0</v>
      </c>
      <c r="JV12" s="93">
        <f>VLOOKUP($JT$3,Commited_Actual_4thProject!$E$5:$M$34,$G27+2,0)</f>
        <v>0</v>
      </c>
      <c r="JW12" s="93">
        <f>VLOOKUP($JW$3,Commited_Actual_4thProject!$E$5:$M$34,$G27,0)</f>
        <v>0</v>
      </c>
      <c r="JX12" s="93">
        <f>VLOOKUP($JW$3,Commited_Actual_4thProject!$E$5:$M$34,$G27+1,0)</f>
        <v>0</v>
      </c>
      <c r="JY12" s="93">
        <f>VLOOKUP($JW$3,Commited_Actual_4thProject!$E$5:$M$34,$G27+2,0)</f>
        <v>0</v>
      </c>
    </row>
    <row r="13" spans="1:285">
      <c r="A13" s="176">
        <v>57</v>
      </c>
      <c r="B13" s="178"/>
      <c r="C13" s="6">
        <v>8</v>
      </c>
      <c r="D13" s="186" t="s">
        <v>317</v>
      </c>
      <c r="E13" s="24" t="s">
        <v>307</v>
      </c>
      <c r="F13" s="5" t="s">
        <v>33</v>
      </c>
      <c r="G13" s="93">
        <f>VLOOKUP($G$3,Commited_Actual_1stProject!$E$9:$BU$36,$A13,0)</f>
        <v>0.25</v>
      </c>
      <c r="H13" s="241">
        <f>VLOOKUP($G$3,Commited_Actual_1stProject!$E$9:$BU$36,$A13+1,0)</f>
        <v>37</v>
      </c>
      <c r="I13" s="241">
        <f>VLOOKUP($G$3,Commited_Actual_1stProject!$E$9:$BU$36,$A13+2,0)</f>
        <v>36.31</v>
      </c>
      <c r="J13" s="93">
        <f>VLOOKUP($J$3,Commited_Actual_1stProject!$E$9:$BU$36,$A13,0)</f>
        <v>0.15</v>
      </c>
      <c r="K13" s="241">
        <f>VLOOKUP($J$3,Commited_Actual_1stProject!$E$9:$BU$36,$A13+1,0)</f>
        <v>8</v>
      </c>
      <c r="L13" s="241">
        <f>VLOOKUP($J$3,Commited_Actual_1stProject!$E$9:$BU$36,$A13+2,0)</f>
        <v>11.37</v>
      </c>
      <c r="M13" s="93">
        <f>VLOOKUP($M$3,Commited_Actual_1stProject!$E$9:$BU$36,$A13,0)</f>
        <v>0</v>
      </c>
      <c r="N13" s="241">
        <f>VLOOKUP($M$3,Commited_Actual_1stProject!$E$9:$BU$36,$A13+1,0)</f>
        <v>0</v>
      </c>
      <c r="O13" s="241">
        <f>VLOOKUP($M$3,Commited_Actual_1stProject!$E$9:$BU$36,$A13+2,0)</f>
        <v>0</v>
      </c>
      <c r="P13" s="93">
        <f>VLOOKUP($P$3,Commited_Actual_1stProject!$E$9:$BU$36,$A13,0)</f>
        <v>0</v>
      </c>
      <c r="Q13" s="241">
        <f>VLOOKUP($P$3,Commited_Actual_1stProject!$E$9:$BU$36,$A13+1,0)</f>
        <v>0</v>
      </c>
      <c r="R13" s="241">
        <f>VLOOKUP($P$3,Commited_Actual_1stProject!$E$9:$BU$36,$A13+2,0)</f>
        <v>0</v>
      </c>
      <c r="S13" s="93">
        <f>VLOOKUP($S$3,Commited_Actual_1stProject!$E$9:$BU$36,$A13,0)</f>
        <v>0</v>
      </c>
      <c r="T13" s="241">
        <f>VLOOKUP($S$3,Commited_Actual_1stProject!$E$9:$BU$36,$A13+1,0)</f>
        <v>0</v>
      </c>
      <c r="U13" s="241">
        <f>VLOOKUP($S$3,Commited_Actual_1stProject!$E$9:$BU$36,$A13+2,0)</f>
        <v>0</v>
      </c>
      <c r="V13" s="93">
        <f>VLOOKUP($V$3,Commited_Actual_1stProject!$E$9:$BU$36,$A13,0)</f>
        <v>0</v>
      </c>
      <c r="W13" s="241">
        <f>VLOOKUP($V$3,Commited_Actual_1stProject!$E$9:$BU$36,$A13+1,0)</f>
        <v>0</v>
      </c>
      <c r="X13" s="241">
        <f>VLOOKUP($V$3,Commited_Actual_1stProject!$E$9:$BU$36,$A13+2,0)</f>
        <v>0</v>
      </c>
      <c r="Y13" s="93">
        <f>VLOOKUP($Y$3,Commited_Actual_1stProject!$E$9:$BU$36,$A13,0)</f>
        <v>0</v>
      </c>
      <c r="Z13" s="241">
        <f>VLOOKUP($Y$3,Commited_Actual_1stProject!$E$9:$BU$36,$A13+1,0)</f>
        <v>0</v>
      </c>
      <c r="AA13" s="241">
        <f>VLOOKUP($Y$3,Commited_Actual_1stProject!$E$9:$BU$36,$A13+2,0)</f>
        <v>0</v>
      </c>
      <c r="AB13" s="93">
        <f>VLOOKUP($AB$3,Commited_Actual_1stProject!$E$9:$BU$36,$A13,0)</f>
        <v>0</v>
      </c>
      <c r="AC13" s="241">
        <f>VLOOKUP($AB$3,Commited_Actual_1stProject!$E$9:$BU$36,$A13+1,0)</f>
        <v>0</v>
      </c>
      <c r="AD13" s="241">
        <f>VLOOKUP($AB$3,Commited_Actual_1stProject!$E$9:$BU$36,$A13+2,0)</f>
        <v>0</v>
      </c>
      <c r="AE13" s="93">
        <f>VLOOKUP($AE$3,Commited_Actual_1stProject!$E$9:$BU$36,$A13,0)</f>
        <v>0</v>
      </c>
      <c r="AF13" s="241">
        <f>VLOOKUP($AE$3,Commited_Actual_1stProject!$E$9:$BU$36,$A13+1,0)</f>
        <v>0</v>
      </c>
      <c r="AG13" s="241">
        <f>VLOOKUP($AE$3,Commited_Actual_1stProject!$E$9:$BU$36,$A13+2,0)</f>
        <v>0</v>
      </c>
      <c r="AH13" s="93">
        <f>VLOOKUP($AH$3,Commited_Actual_1stProject!$E$9:$BU$36,$A13,0)</f>
        <v>0</v>
      </c>
      <c r="AI13" s="118">
        <f>VLOOKUP($AH$3,Commited_Actual_1stProject!$E$9:$BU$36,$A13+1,0)</f>
        <v>0</v>
      </c>
      <c r="AJ13" s="93">
        <f>VLOOKUP($AH$3,Commited_Actual_1stProject!$E$9:$BU$36,$A13+2,0)</f>
        <v>0</v>
      </c>
      <c r="AK13" s="93">
        <f>VLOOKUP($AK$3,Commited_Actual_1stProject!$E$9:$BU$36,$A13,0)</f>
        <v>0</v>
      </c>
      <c r="AL13" s="118">
        <f>VLOOKUP($AK$3,Commited_Actual_1stProject!$E$9:$BU$36,$A13+1,0)</f>
        <v>0</v>
      </c>
      <c r="AM13" s="118">
        <f>VLOOKUP($AK$3,Commited_Actual_1stProject!$E$9:$BU$36,$A13+2,0)</f>
        <v>0</v>
      </c>
      <c r="AN13" s="93">
        <f>VLOOKUP($AN$3,Commited_Actual_1stProject!$E$9:$BU$36,$A13,0)</f>
        <v>0.15</v>
      </c>
      <c r="AO13" s="93">
        <f>VLOOKUP($AN$3,Commited_Actual_1stProject!$E$9:$BU$36,$A13+1,0)</f>
        <v>0.1</v>
      </c>
      <c r="AP13" s="93">
        <f>VLOOKUP($AN$3,Commited_Actual_1stProject!$E$9:$BU$36,$A13+2,0)</f>
        <v>0.01</v>
      </c>
      <c r="AQ13" s="93">
        <f>VLOOKUP($AQ$3,Commited_Actual_1stProject!$E$9:$BU$36,$A13,0)</f>
        <v>0</v>
      </c>
      <c r="AR13" s="241">
        <f>VLOOKUP($AQ$3,Commited_Actual_1stProject!$E$9:$BU$36,$A13+1,0)</f>
        <v>0</v>
      </c>
      <c r="AS13" s="241">
        <f>VLOOKUP($AQ$3,Commited_Actual_1stProject!$E$9:$BU$36,$A13+2,0)</f>
        <v>0</v>
      </c>
      <c r="AT13" s="93">
        <f>VLOOKUP($AT$3,Commited_Actual_1stProject!$E$9:$BU$36,$A13,0)</f>
        <v>0.15</v>
      </c>
      <c r="AU13" s="93">
        <f>VLOOKUP($AT$3,Commited_Actual_1stProject!$E$9:$BU$36,$A13+1,0)</f>
        <v>0.15</v>
      </c>
      <c r="AV13" s="93">
        <f>VLOOKUP($AT$3,Commited_Actual_1stProject!$E$9:$BU$36,$A13+2,0)</f>
        <v>0.08</v>
      </c>
      <c r="AW13" s="93">
        <f>VLOOKUP($AW$3,Commited_Actual_1stProject!$E$9:$BU$36,$A13,0)</f>
        <v>0</v>
      </c>
      <c r="AX13" s="241">
        <f>VLOOKUP($AW$3,Commited_Actual_1stProject!$E$9:$BU$36,$A13+1,0)</f>
        <v>0</v>
      </c>
      <c r="AY13" s="241">
        <f>VLOOKUP($AW$3,Commited_Actual_1stProject!$E$9:$BU$36,$A13+2,0)</f>
        <v>0</v>
      </c>
      <c r="AZ13" s="93">
        <f>VLOOKUP($AZ$3,Commited_Actual_1stProject!$E$9:$BU$36,$A13,0)</f>
        <v>0</v>
      </c>
      <c r="BA13" s="241">
        <f>VLOOKUP($AZ$3,Commited_Actual_1stProject!$E$9:$BU$36,$A13+1,0)</f>
        <v>0</v>
      </c>
      <c r="BB13" s="241">
        <f>VLOOKUP($AZ$3,Commited_Actual_1stProject!$E$9:$BU$36,$A13+2,0)</f>
        <v>0</v>
      </c>
      <c r="BC13" s="93">
        <f>VLOOKUP($BC$3,Commited_Actual_1stProject!$E$9:$BU$36,$A13,0)</f>
        <v>0</v>
      </c>
      <c r="BD13" s="118">
        <f>VLOOKUP($BC$3,Commited_Actual_1stProject!$E$9:$BU$36,$A13+1,0)</f>
        <v>0</v>
      </c>
      <c r="BE13" s="118">
        <f>VLOOKUP($BC$3,Commited_Actual_1stProject!$E$9:$BU$36,$A13+2,0)</f>
        <v>0</v>
      </c>
      <c r="BF13" s="93"/>
      <c r="BG13" s="241"/>
      <c r="BH13" s="241"/>
      <c r="BI13" s="93">
        <f>VLOOKUP($BI$3,Commited_Actual_1stProject!$E$9:$BU$36,$A13,0)</f>
        <v>0</v>
      </c>
      <c r="BJ13" s="241">
        <f>VLOOKUP($BI$3,Commited_Actual_1stProject!$E$9:$BU$36,$A13+1,0)</f>
        <v>0</v>
      </c>
      <c r="BK13" s="241">
        <f>VLOOKUP($BI$3,Commited_Actual_1stProject!$E$9:$BU$36,$A13+2,0)</f>
        <v>0</v>
      </c>
      <c r="BL13" s="93">
        <f>VLOOKUP($BL$3,Commited_Actual_1stProject!$E$9:$BU$36,$A13,0)</f>
        <v>0.04</v>
      </c>
      <c r="BM13" s="241">
        <f>VLOOKUP($BL$3,Commited_Actual_1stProject!$E$9:$BU$36,$A13+1,0)</f>
        <v>3</v>
      </c>
      <c r="BN13" s="241">
        <f>VLOOKUP($BL$3,Commited_Actual_1stProject!$E$9:$BU$36,$A13+2,0)</f>
        <v>4</v>
      </c>
      <c r="BO13" s="93">
        <f>VLOOKUP($BO$3,Commited_Actual_1stProject!$E$9:$BU$36,$A13,0)</f>
        <v>0.03</v>
      </c>
      <c r="BP13" s="241">
        <f>VLOOKUP($BO$3,Commited_Actual_1stProject!$E$9:$BU$36,$A13+1,0)</f>
        <v>3</v>
      </c>
      <c r="BQ13" s="241">
        <f>VLOOKUP($BO$3,Commited_Actual_1stProject!$E$9:$BU$36,$A13+2,0)</f>
        <v>4</v>
      </c>
      <c r="BR13" s="93">
        <f>VLOOKUP($BR$3,Commited_Actual_1stProject!$E$9:$BU$36,$A13,0)</f>
        <v>0.03</v>
      </c>
      <c r="BS13" s="241">
        <f>VLOOKUP($BR$3,Commited_Actual_1stProject!$E$9:$BU$36,$A13+1,0)</f>
        <v>3</v>
      </c>
      <c r="BT13" s="241">
        <f>VLOOKUP($BR$3,Commited_Actual_1stProject!$E$9:$BU$36,$A13+2,0)</f>
        <v>4</v>
      </c>
      <c r="BU13" s="93">
        <f>VLOOKUP($BU$3,Commited_Actual_1stProject!$E$9:$BU$36,$A13,0)</f>
        <v>0</v>
      </c>
      <c r="BV13" s="241">
        <f>VLOOKUP($BU$3,Commited_Actual_1stProject!$E$9:$BU$36,$A13+1,0)</f>
        <v>0</v>
      </c>
      <c r="BW13" s="241">
        <f>VLOOKUP($BU$3,Commited_Actual_1stProject!$E$9:$BU$36,$A13+2,0)</f>
        <v>0</v>
      </c>
      <c r="BX13" s="93">
        <f>VLOOKUP($BX$3,Commited_Actual_1stProject!$E$9:$BU$36,$A13,0)</f>
        <v>0.05</v>
      </c>
      <c r="BY13" s="241">
        <f>VLOOKUP($BX$3,Commited_Actual_1stProject!$E$9:$BU$36,$A13+1,0)</f>
        <v>3</v>
      </c>
      <c r="BZ13" s="241">
        <f>VLOOKUP($BX$3,Commited_Actual_1stProject!$E$9:$BU$36,$A13+2,0)</f>
        <v>3</v>
      </c>
      <c r="CA13" s="93">
        <f>VLOOKUP($CA$3,Commited_Actual_1stProject!$E$9:$BU$36,$A13,0)</f>
        <v>0.05</v>
      </c>
      <c r="CB13" s="241">
        <f>VLOOKUP($CA$3,Commited_Actual_1stProject!$E$9:$BU$36,$A13+1,0)</f>
        <v>3</v>
      </c>
      <c r="CC13" s="241">
        <f>VLOOKUP($CA$3,Commited_Actual_1stProject!$E$9:$BU$36,$A13+2,0)</f>
        <v>0</v>
      </c>
      <c r="CD13" s="93"/>
      <c r="CE13" s="241"/>
      <c r="CF13" s="241"/>
      <c r="CG13" s="93"/>
      <c r="CH13" s="241"/>
      <c r="CI13" s="241"/>
      <c r="CJ13" s="93">
        <f>VLOOKUP($CJ$3,Commited_Actual_1stProject!$E$9:$BU$36,$A13,0)</f>
        <v>0.1</v>
      </c>
      <c r="CK13" s="241">
        <f>VLOOKUP($CJ$3,Commited_Actual_1stProject!$E$9:$BU$36,$A13+1,0)</f>
        <v>3</v>
      </c>
      <c r="CL13" s="241">
        <f>VLOOKUP($CJ$3,Commited_Actual_1stProject!$E$9:$BU$36,$A13+2,0)</f>
        <v>3</v>
      </c>
      <c r="CM13" s="93"/>
      <c r="CN13" s="241"/>
      <c r="CO13" s="241"/>
      <c r="CP13" s="93"/>
      <c r="CQ13" s="241"/>
      <c r="CR13" s="241"/>
      <c r="CS13" s="93">
        <f>VLOOKUP($CS$3,Commited_Actual_1stProject!$E$9:$BU$36,$A13,0)</f>
        <v>0</v>
      </c>
      <c r="CT13" s="241">
        <f>VLOOKUP($CS$3,Commited_Actual_1stProject!$E$9:$BU$36,$A13+1,0)</f>
        <v>0</v>
      </c>
      <c r="CU13" s="241">
        <f>VLOOKUP($CS$3,Commited_Actual_1stProject!$E$9:$BU$36,$A13+2,0)</f>
        <v>0</v>
      </c>
      <c r="CV13" s="93"/>
      <c r="CW13" s="241"/>
      <c r="CX13" s="241"/>
      <c r="CY13" s="93"/>
      <c r="CZ13" s="241"/>
      <c r="DA13" s="241"/>
      <c r="DB13" s="93"/>
      <c r="DC13" s="93"/>
      <c r="DD13" s="93"/>
      <c r="DE13" s="93"/>
      <c r="DF13" s="93"/>
      <c r="DG13" s="93"/>
      <c r="DH13" s="93"/>
      <c r="DI13" s="93"/>
      <c r="DJ13" s="93"/>
      <c r="DK13" s="93"/>
      <c r="DL13" s="93"/>
      <c r="DM13" s="93"/>
      <c r="DN13" s="93"/>
      <c r="DO13" s="241"/>
      <c r="DP13" s="241"/>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5"/>
      <c r="FB13" s="96"/>
      <c r="FC13" s="96"/>
      <c r="FD13" s="95"/>
      <c r="FE13" s="96"/>
      <c r="FF13" s="96"/>
      <c r="FG13" s="95"/>
      <c r="FH13" s="96"/>
      <c r="FI13" s="96"/>
      <c r="FJ13" s="95"/>
      <c r="FK13" s="96"/>
      <c r="FL13" s="96"/>
      <c r="FM13" s="95"/>
      <c r="FN13" s="96"/>
      <c r="FO13" s="96"/>
      <c r="FP13" s="95"/>
      <c r="FQ13" s="96"/>
      <c r="FR13" s="96"/>
      <c r="FS13" s="95"/>
      <c r="FT13" s="96"/>
      <c r="FU13" s="96"/>
      <c r="FV13" s="93"/>
      <c r="FW13" s="94"/>
      <c r="FX13" s="94"/>
      <c r="FY13" s="93"/>
      <c r="FZ13" s="94"/>
      <c r="GA13" s="94"/>
      <c r="GB13" s="95"/>
      <c r="GC13" s="94"/>
      <c r="GD13" s="94"/>
      <c r="GE13" s="95"/>
      <c r="GF13" s="94"/>
      <c r="GG13" s="94"/>
      <c r="GH13" s="95"/>
      <c r="GI13" s="94"/>
      <c r="GJ13" s="94"/>
      <c r="GK13" s="95"/>
      <c r="GL13" s="94"/>
      <c r="GM13" s="94"/>
      <c r="GN13" s="95"/>
      <c r="GO13" s="94"/>
      <c r="GP13" s="94"/>
      <c r="GQ13" s="93"/>
      <c r="GR13" s="94"/>
      <c r="GS13" s="94"/>
      <c r="GT13" s="95"/>
      <c r="GU13" s="96"/>
      <c r="GV13" s="96"/>
      <c r="GW13" s="95"/>
      <c r="GX13" s="96"/>
      <c r="GY13" s="96"/>
      <c r="GZ13" s="95"/>
      <c r="HA13" s="96"/>
      <c r="HB13" s="96"/>
      <c r="HC13" s="95"/>
      <c r="HD13" s="96"/>
      <c r="HE13" s="96"/>
      <c r="HF13" s="95"/>
      <c r="HG13" s="96"/>
      <c r="HH13" s="96"/>
      <c r="HI13" s="95"/>
      <c r="HJ13" s="96"/>
      <c r="HK13" s="96"/>
      <c r="HL13" s="95"/>
      <c r="HM13" s="96"/>
      <c r="HN13" s="96"/>
      <c r="HO13" s="95"/>
      <c r="HP13" s="96"/>
      <c r="HQ13" s="96"/>
      <c r="HR13" s="95"/>
      <c r="HS13" s="96"/>
      <c r="HT13" s="96"/>
      <c r="HU13" s="95"/>
      <c r="HV13" s="96"/>
      <c r="HW13" s="96"/>
      <c r="HX13" s="93"/>
      <c r="HY13" s="94"/>
      <c r="HZ13" s="94"/>
      <c r="IA13" s="93"/>
      <c r="IB13" s="94"/>
      <c r="IC13" s="94"/>
      <c r="ID13" s="95"/>
      <c r="IE13" s="94"/>
      <c r="IF13" s="94"/>
      <c r="IG13" s="95"/>
      <c r="IH13" s="94"/>
      <c r="II13" s="94"/>
      <c r="IJ13" s="95"/>
      <c r="IK13" s="94"/>
      <c r="IL13" s="94"/>
      <c r="IM13" s="95"/>
      <c r="IN13" s="94"/>
      <c r="IO13" s="94"/>
      <c r="IP13" s="95"/>
      <c r="IQ13" s="94"/>
      <c r="IR13" s="94"/>
      <c r="IS13" s="93"/>
      <c r="IT13" s="94"/>
      <c r="IU13" s="94"/>
      <c r="IV13" s="95"/>
      <c r="IW13" s="96"/>
      <c r="IX13" s="96"/>
      <c r="IY13" s="95"/>
      <c r="IZ13" s="96"/>
      <c r="JA13" s="96"/>
      <c r="JB13" s="95"/>
      <c r="JC13" s="96"/>
      <c r="JD13" s="96"/>
      <c r="JE13" s="95"/>
      <c r="JF13" s="96"/>
      <c r="JG13" s="96"/>
      <c r="JH13" s="95"/>
      <c r="JI13" s="96"/>
      <c r="JJ13" s="96"/>
      <c r="JK13" s="95"/>
      <c r="JL13" s="96"/>
      <c r="JM13" s="96"/>
      <c r="JN13" s="95"/>
      <c r="JO13" s="96"/>
      <c r="JP13" s="96"/>
      <c r="JQ13" s="95"/>
      <c r="JR13" s="96"/>
      <c r="JS13" s="96"/>
      <c r="JT13" s="95"/>
      <c r="JU13" s="96"/>
      <c r="JV13" s="96"/>
      <c r="JW13" s="95"/>
      <c r="JX13" s="96"/>
      <c r="JY13" s="96"/>
    </row>
    <row r="14" spans="1:285">
      <c r="A14" s="18">
        <v>52</v>
      </c>
      <c r="C14" s="6">
        <v>9</v>
      </c>
      <c r="D14" s="186" t="s">
        <v>318</v>
      </c>
      <c r="E14" s="24" t="s">
        <v>307</v>
      </c>
      <c r="F14" s="5" t="s">
        <v>33</v>
      </c>
      <c r="G14" s="93">
        <f>VLOOKUP($G$3,Commited_Actual_1stProject!$E$9:$BU$36,$A14,0)</f>
        <v>0.25</v>
      </c>
      <c r="H14" s="241">
        <f>VLOOKUP($G$3,Commited_Actual_1stProject!$E$9:$BU$36,$A14+1,0)</f>
        <v>41</v>
      </c>
      <c r="I14" s="241">
        <f>VLOOKUP($G$3,Commited_Actual_1stProject!$E$9:$BU$36,$A14+2,0)</f>
        <v>45.78</v>
      </c>
      <c r="J14" s="93">
        <f>VLOOKUP($J$3,Commited_Actual_1stProject!$E$9:$BU$36,$A14,0)</f>
        <v>0.25</v>
      </c>
      <c r="K14" s="241">
        <f>VLOOKUP($J$3,Commited_Actual_1stProject!$E$9:$BU$36,$A14+1,0)</f>
        <v>13</v>
      </c>
      <c r="L14" s="241">
        <f>VLOOKUP($J$3,Commited_Actual_1stProject!$E$9:$BU$36,$A14+2,0)</f>
        <v>14.52</v>
      </c>
      <c r="M14" s="93">
        <f>VLOOKUP($M$3,Commited_Actual_1stProject!$E$9:$BU$36,$A14,0)</f>
        <v>0</v>
      </c>
      <c r="N14" s="241">
        <f>VLOOKUP($M$3,Commited_Actual_1stProject!$E$9:$BU$36,$A14+1,0)</f>
        <v>0</v>
      </c>
      <c r="O14" s="241">
        <f>VLOOKUP($M$3,Commited_Actual_1stProject!$E$9:$BU$36,$A14+2,0)</f>
        <v>0</v>
      </c>
      <c r="P14" s="93">
        <f>VLOOKUP($P$3,Commited_Actual_1stProject!$E$9:$BU$36,$A14,0)</f>
        <v>0</v>
      </c>
      <c r="Q14" s="241">
        <f>VLOOKUP($P$3,Commited_Actual_1stProject!$E$9:$BU$36,$A14+1,0)</f>
        <v>0</v>
      </c>
      <c r="R14" s="241">
        <f>VLOOKUP($P$3,Commited_Actual_1stProject!$E$9:$BU$36,$A14+2,0)</f>
        <v>0</v>
      </c>
      <c r="S14" s="93">
        <f>VLOOKUP($S$3,Commited_Actual_1stProject!$E$9:$BU$36,$A14,0)</f>
        <v>0</v>
      </c>
      <c r="T14" s="241">
        <f>VLOOKUP($S$3,Commited_Actual_1stProject!$E$9:$BU$36,$A14+1,0)</f>
        <v>0</v>
      </c>
      <c r="U14" s="241">
        <f>VLOOKUP($S$3,Commited_Actual_1stProject!$E$9:$BU$36,$A14+2,0)</f>
        <v>0</v>
      </c>
      <c r="V14" s="93">
        <f>VLOOKUP($V$3,Commited_Actual_1stProject!$E$9:$BU$36,$A14,0)</f>
        <v>0</v>
      </c>
      <c r="W14" s="241">
        <f>VLOOKUP($V$3,Commited_Actual_1stProject!$E$9:$BU$36,$A14+1,0)</f>
        <v>0</v>
      </c>
      <c r="X14" s="241">
        <f>VLOOKUP($V$3,Commited_Actual_1stProject!$E$9:$BU$36,$A14+2,0)</f>
        <v>0</v>
      </c>
      <c r="Y14" s="93">
        <f>VLOOKUP($Y$3,Commited_Actual_1stProject!$E$9:$BU$36,$A14,0)</f>
        <v>0</v>
      </c>
      <c r="Z14" s="241">
        <f>VLOOKUP($Y$3,Commited_Actual_1stProject!$E$9:$BU$36,$A14+1,0)</f>
        <v>0</v>
      </c>
      <c r="AA14" s="241">
        <f>VLOOKUP($Y$3,Commited_Actual_1stProject!$E$9:$BU$36,$A14+2,0)</f>
        <v>0</v>
      </c>
      <c r="AB14" s="93">
        <f>VLOOKUP($AB$3,Commited_Actual_1stProject!$E$9:$BU$36,$A14,0)</f>
        <v>0</v>
      </c>
      <c r="AC14" s="241">
        <f>VLOOKUP($AB$3,Commited_Actual_1stProject!$E$9:$BU$36,$A14+1,0)</f>
        <v>0</v>
      </c>
      <c r="AD14" s="241">
        <f>VLOOKUP($AB$3,Commited_Actual_1stProject!$E$9:$BU$36,$A14+2,0)</f>
        <v>0</v>
      </c>
      <c r="AE14" s="93">
        <f>VLOOKUP($AE$3,Commited_Actual_1stProject!$E$9:$BU$36,$A14,0)</f>
        <v>0</v>
      </c>
      <c r="AF14" s="241">
        <f>VLOOKUP($AE$3,Commited_Actual_1stProject!$E$9:$BU$36,$A14+1,0)</f>
        <v>0</v>
      </c>
      <c r="AG14" s="241">
        <f>VLOOKUP($AE$3,Commited_Actual_1stProject!$E$9:$BU$36,$A14+2,0)</f>
        <v>0</v>
      </c>
      <c r="AH14" s="93">
        <f>VLOOKUP($AH$3,Commited_Actual_1stProject!$E$9:$BU$36,$A14,0)</f>
        <v>0</v>
      </c>
      <c r="AI14" s="118">
        <f>VLOOKUP($AH$3,Commited_Actual_1stProject!$E$9:$BU$36,$A14+1,0)</f>
        <v>0</v>
      </c>
      <c r="AJ14" s="93">
        <f>VLOOKUP($AH$3,Commited_Actual_1stProject!$E$9:$BU$36,$A14+2,0)</f>
        <v>0</v>
      </c>
      <c r="AK14" s="93">
        <f>VLOOKUP($AK$3,Commited_Actual_1stProject!$E$9:$BU$36,$A14,0)</f>
        <v>0</v>
      </c>
      <c r="AL14" s="118">
        <f>VLOOKUP($AK$3,Commited_Actual_1stProject!$E$9:$BU$36,$A14+1,0)</f>
        <v>0</v>
      </c>
      <c r="AM14" s="118">
        <f>VLOOKUP($AK$3,Commited_Actual_1stProject!$E$9:$BU$36,$A14+2,0)</f>
        <v>0</v>
      </c>
      <c r="AN14" s="93">
        <f>VLOOKUP($AN$3,Commited_Actual_1stProject!$E$9:$BU$36,$A14,0)</f>
        <v>0.15</v>
      </c>
      <c r="AO14" s="93">
        <f>VLOOKUP($AN$3,Commited_Actual_1stProject!$E$9:$BU$36,$A14+1,0)</f>
        <v>0.1</v>
      </c>
      <c r="AP14" s="93">
        <f>VLOOKUP($AN$3,Commited_Actual_1stProject!$E$9:$BU$36,$A14+2,0)</f>
        <v>0.1</v>
      </c>
      <c r="AQ14" s="93">
        <f>VLOOKUP($AQ$3,Commited_Actual_1stProject!$E$9:$BU$36,$A14,0)</f>
        <v>0</v>
      </c>
      <c r="AR14" s="241">
        <f>VLOOKUP($AQ$3,Commited_Actual_1stProject!$E$9:$BU$36,$A14+1,0)</f>
        <v>0</v>
      </c>
      <c r="AS14" s="241">
        <f>VLOOKUP($AQ$3,Commited_Actual_1stProject!$E$9:$BU$36,$A14+2,0)</f>
        <v>0</v>
      </c>
      <c r="AT14" s="93">
        <f>VLOOKUP($AT$3,Commited_Actual_1stProject!$E$9:$BU$36,$A14,0)</f>
        <v>0.15</v>
      </c>
      <c r="AU14" s="93">
        <f>VLOOKUP($AT$3,Commited_Actual_1stProject!$E$9:$BU$36,$A14+1,0)</f>
        <v>0.15</v>
      </c>
      <c r="AV14" s="93">
        <f>VLOOKUP($AT$3,Commited_Actual_1stProject!$E$9:$BU$36,$A14+2,0)</f>
        <v>0.03</v>
      </c>
      <c r="AW14" s="93">
        <f>VLOOKUP($AW$3,Commited_Actual_1stProject!$E$9:$BU$36,$A14,0)</f>
        <v>0</v>
      </c>
      <c r="AX14" s="241">
        <f>VLOOKUP($AW$3,Commited_Actual_1stProject!$E$9:$BU$36,$A14+1,0)</f>
        <v>0</v>
      </c>
      <c r="AY14" s="241">
        <f>VLOOKUP($AW$3,Commited_Actual_1stProject!$E$9:$BU$36,$A14+2,0)</f>
        <v>0</v>
      </c>
      <c r="AZ14" s="93">
        <f>VLOOKUP($AZ$3,Commited_Actual_1stProject!$E$9:$BU$36,$A14,0)</f>
        <v>0</v>
      </c>
      <c r="BA14" s="241">
        <f>VLOOKUP($AZ$3,Commited_Actual_1stProject!$E$9:$BU$36,$A14+1,0)</f>
        <v>0</v>
      </c>
      <c r="BB14" s="241">
        <f>VLOOKUP($AZ$3,Commited_Actual_1stProject!$E$9:$BU$36,$A14+2,0)</f>
        <v>0</v>
      </c>
      <c r="BC14" s="93">
        <f>VLOOKUP($BC$3,Commited_Actual_1stProject!$E$9:$BU$36,$A14,0)</f>
        <v>0</v>
      </c>
      <c r="BD14" s="118">
        <f>VLOOKUP($BC$3,Commited_Actual_1stProject!$E$9:$BU$36,$A14+1,0)</f>
        <v>0</v>
      </c>
      <c r="BE14" s="118">
        <f>VLOOKUP($BC$3,Commited_Actual_1stProject!$E$9:$BU$36,$A14+2,0)</f>
        <v>0</v>
      </c>
      <c r="BF14" s="93"/>
      <c r="BG14" s="241"/>
      <c r="BH14" s="241"/>
      <c r="BI14" s="93">
        <f>VLOOKUP($BI$3,Commited_Actual_1stProject!$E$9:$BU$36,$A14,0)</f>
        <v>0</v>
      </c>
      <c r="BJ14" s="241">
        <f>VLOOKUP($BI$3,Commited_Actual_1stProject!$E$9:$BU$36,$A14+1,0)</f>
        <v>0</v>
      </c>
      <c r="BK14" s="241">
        <f>VLOOKUP($BI$3,Commited_Actual_1stProject!$E$9:$BU$36,$A14+2,0)</f>
        <v>0</v>
      </c>
      <c r="BL14" s="93">
        <f>VLOOKUP($BL$3,Commited_Actual_1stProject!$E$9:$BU$36,$A14,0)</f>
        <v>0.03</v>
      </c>
      <c r="BM14" s="241">
        <f>VLOOKUP($BL$3,Commited_Actual_1stProject!$E$9:$BU$36,$A14+1,0)</f>
        <v>3</v>
      </c>
      <c r="BN14" s="241">
        <f>VLOOKUP($BL$3,Commited_Actual_1stProject!$E$9:$BU$36,$A14+2,0)</f>
        <v>3</v>
      </c>
      <c r="BO14" s="93">
        <f>VLOOKUP($BO$3,Commited_Actual_1stProject!$E$9:$BU$36,$A14,0)</f>
        <v>0.03</v>
      </c>
      <c r="BP14" s="241">
        <f>VLOOKUP($BO$3,Commited_Actual_1stProject!$E$9:$BU$36,$A14+1,0)</f>
        <v>3</v>
      </c>
      <c r="BQ14" s="241">
        <f>VLOOKUP($BO$3,Commited_Actual_1stProject!$E$9:$BU$36,$A14+2,0)</f>
        <v>3</v>
      </c>
      <c r="BR14" s="93">
        <f>VLOOKUP($BR$3,Commited_Actual_1stProject!$E$9:$BU$36,$A14,0)</f>
        <v>0.04</v>
      </c>
      <c r="BS14" s="241">
        <f>VLOOKUP($BR$3,Commited_Actual_1stProject!$E$9:$BU$36,$A14+1,0)</f>
        <v>3</v>
      </c>
      <c r="BT14" s="241">
        <f>VLOOKUP($BR$3,Commited_Actual_1stProject!$E$9:$BU$36,$A14+2,0)</f>
        <v>3</v>
      </c>
      <c r="BU14" s="93">
        <f>VLOOKUP($BU$3,Commited_Actual_1stProject!$E$9:$BU$36,$A14,0)</f>
        <v>0</v>
      </c>
      <c r="BV14" s="241">
        <f>VLOOKUP($BU$3,Commited_Actual_1stProject!$E$9:$BU$36,$A14+1,0)</f>
        <v>0</v>
      </c>
      <c r="BW14" s="241">
        <f>VLOOKUP($BU$3,Commited_Actual_1stProject!$E$9:$BU$36,$A14+2,0)</f>
        <v>0</v>
      </c>
      <c r="BX14" s="93">
        <f>VLOOKUP($BX$3,Commited_Actual_1stProject!$E$9:$BU$36,$A14,0)</f>
        <v>0.05</v>
      </c>
      <c r="BY14" s="241">
        <f>VLOOKUP($BX$3,Commited_Actual_1stProject!$E$9:$BU$36,$A14+1,0)</f>
        <v>3</v>
      </c>
      <c r="BZ14" s="241">
        <f>VLOOKUP($BX$3,Commited_Actual_1stProject!$E$9:$BU$36,$A14+2,0)</f>
        <v>3</v>
      </c>
      <c r="CA14" s="93">
        <f>VLOOKUP($CA$3,Commited_Actual_1stProject!$E$9:$BU$36,$A14,0)</f>
        <v>0.05</v>
      </c>
      <c r="CB14" s="241">
        <f>VLOOKUP($CA$3,Commited_Actual_1stProject!$E$9:$BU$36,$A14+1,0)</f>
        <v>3</v>
      </c>
      <c r="CC14" s="241">
        <f>VLOOKUP($CA$3,Commited_Actual_1stProject!$E$9:$BU$36,$A14+2,0)</f>
        <v>3</v>
      </c>
      <c r="CD14" s="93"/>
      <c r="CE14" s="241"/>
      <c r="CF14" s="241"/>
      <c r="CG14" s="93"/>
      <c r="CH14" s="241"/>
      <c r="CI14" s="241"/>
      <c r="CJ14" s="93">
        <f>VLOOKUP($CJ$3,Commited_Actual_1stProject!$E$9:$BU$36,$A14,0)</f>
        <v>0</v>
      </c>
      <c r="CK14" s="241">
        <f>VLOOKUP($CJ$3,Commited_Actual_1stProject!$E$9:$BU$36,$A14+1,0)</f>
        <v>0</v>
      </c>
      <c r="CL14" s="241">
        <f>VLOOKUP($CJ$3,Commited_Actual_1stProject!$E$9:$BU$36,$A14+2,0)</f>
        <v>0</v>
      </c>
      <c r="CM14" s="93"/>
      <c r="CN14" s="241"/>
      <c r="CO14" s="241"/>
      <c r="CP14" s="93"/>
      <c r="CQ14" s="241"/>
      <c r="CR14" s="241"/>
      <c r="CS14" s="93">
        <f>VLOOKUP($CS$3,Commited_Actual_1stProject!$E$9:$BU$36,$A14,0)</f>
        <v>0</v>
      </c>
      <c r="CT14" s="241">
        <f>VLOOKUP($CS$3,Commited_Actual_1stProject!$E$9:$BU$36,$A14+1,0)</f>
        <v>0</v>
      </c>
      <c r="CU14" s="241">
        <f>VLOOKUP($CS$3,Commited_Actual_1stProject!$E$9:$BU$36,$A14+2,0)</f>
        <v>0</v>
      </c>
      <c r="CV14" s="93"/>
      <c r="CW14" s="241"/>
      <c r="CX14" s="241"/>
      <c r="CY14" s="93"/>
      <c r="CZ14" s="241"/>
      <c r="DA14" s="241"/>
      <c r="DB14" s="93"/>
      <c r="DC14" s="93"/>
      <c r="DD14" s="93"/>
      <c r="DE14" s="93"/>
      <c r="DF14" s="93"/>
      <c r="DG14" s="93"/>
      <c r="DH14" s="93"/>
      <c r="DI14" s="93"/>
      <c r="DJ14" s="93"/>
      <c r="DK14" s="93"/>
      <c r="DL14" s="93"/>
      <c r="DM14" s="93"/>
      <c r="DN14" s="93"/>
      <c r="DO14" s="241"/>
      <c r="DP14" s="241"/>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5"/>
      <c r="FB14" s="5"/>
      <c r="FC14" s="5"/>
      <c r="FD14" s="5"/>
      <c r="FE14" s="5"/>
      <c r="FF14" s="5"/>
      <c r="FG14" s="5"/>
      <c r="FH14" s="5"/>
      <c r="FI14" s="5"/>
      <c r="FJ14" s="5"/>
      <c r="FK14" s="5"/>
      <c r="FL14" s="5"/>
      <c r="FM14" s="5"/>
      <c r="FN14" s="5"/>
      <c r="FO14" s="5"/>
      <c r="FP14" s="5"/>
      <c r="FQ14" s="5"/>
      <c r="FR14" s="5"/>
      <c r="FS14" s="5"/>
      <c r="FT14" s="5"/>
      <c r="FU14" s="5"/>
      <c r="FV14" s="5"/>
      <c r="FW14" s="236"/>
      <c r="FX14" s="236"/>
      <c r="FY14" s="5"/>
      <c r="FZ14" s="236"/>
      <c r="GA14" s="236"/>
      <c r="GB14" s="5"/>
      <c r="GC14" s="236"/>
      <c r="GD14" s="236"/>
      <c r="GE14" s="5"/>
      <c r="GF14" s="236"/>
      <c r="GG14" s="236"/>
      <c r="GH14" s="5"/>
      <c r="GI14" s="236"/>
      <c r="GJ14" s="236"/>
      <c r="GK14" s="5"/>
      <c r="GL14" s="236"/>
      <c r="GM14" s="236"/>
      <c r="GN14" s="5"/>
      <c r="GO14" s="236"/>
      <c r="GP14" s="236"/>
      <c r="GQ14" s="5"/>
      <c r="GR14" s="236"/>
      <c r="GS14" s="236"/>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236"/>
      <c r="HZ14" s="236"/>
      <c r="IA14" s="5"/>
      <c r="IB14" s="236"/>
      <c r="IC14" s="236"/>
      <c r="ID14" s="5"/>
      <c r="IE14" s="236"/>
      <c r="IF14" s="236"/>
      <c r="IG14" s="5"/>
      <c r="IH14" s="236"/>
      <c r="II14" s="236"/>
      <c r="IJ14" s="5"/>
      <c r="IK14" s="236"/>
      <c r="IL14" s="236"/>
      <c r="IM14" s="5"/>
      <c r="IN14" s="236"/>
      <c r="IO14" s="236"/>
      <c r="IP14" s="5"/>
      <c r="IQ14" s="236"/>
      <c r="IR14" s="236"/>
      <c r="IS14" s="5"/>
      <c r="IT14" s="236"/>
      <c r="IU14" s="236"/>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row>
    <row r="15" spans="1:285" ht="16.8" customHeight="1">
      <c r="A15" s="176"/>
      <c r="B15" s="178"/>
      <c r="C15" s="6">
        <v>10</v>
      </c>
      <c r="D15" s="242" t="s">
        <v>319</v>
      </c>
      <c r="E15" s="24" t="s">
        <v>306</v>
      </c>
      <c r="F15" s="5" t="s">
        <v>33</v>
      </c>
      <c r="G15" s="93">
        <f>VLOOKUP($G$3,Commited_Actual_1stProject!$E$9:$BU$36,$D30,0)</f>
        <v>0.15</v>
      </c>
      <c r="H15" s="241">
        <f>VLOOKUP($G$3,Commited_Actual_1stProject!$E$9:$BU$36,$D30+1,0)</f>
        <v>37</v>
      </c>
      <c r="I15" s="241">
        <f>VLOOKUP($G$3,Commited_Actual_1stProject!$E$9:$BU$36,$D30+2,0)</f>
        <v>31.37</v>
      </c>
      <c r="J15" s="93">
        <f>VLOOKUP($J$3,Commited_Actual_1stProject!$E$9:$BU$36,$D30,0)</f>
        <v>0.15</v>
      </c>
      <c r="K15" s="241">
        <f>VLOOKUP($J$3,Commited_Actual_1stProject!$E$9:$BU$36,$D30+1,0)</f>
        <v>8</v>
      </c>
      <c r="L15" s="241">
        <f>VLOOKUP($J$3,Commited_Actual_1stProject!$E$9:$BU$36,$D30+2,0)</f>
        <v>8.6</v>
      </c>
      <c r="M15" s="93">
        <f>VLOOKUP($M$3,Commited_Actual_1stProject!$E$9:$BU$36,$D30,0)</f>
        <v>0</v>
      </c>
      <c r="N15" s="241">
        <f>VLOOKUP($M$3,Commited_Actual_1stProject!$E$9:$BU$36,$D30+1,0)</f>
        <v>0</v>
      </c>
      <c r="O15" s="241">
        <f>VLOOKUP($M$3,Commited_Actual_1stProject!$E$9:$BU$36,$D30+2,0)</f>
        <v>0</v>
      </c>
      <c r="P15" s="93">
        <f>VLOOKUP($P$3,Commited_Actual_1stProject!$E$9:$BU$36,$D30,0)</f>
        <v>0</v>
      </c>
      <c r="Q15" s="241">
        <f>VLOOKUP($P$3,Commited_Actual_1stProject!$E$9:$BU$36,$D30+1,0)</f>
        <v>0</v>
      </c>
      <c r="R15" s="241">
        <f>VLOOKUP($P$3,Commited_Actual_1stProject!$E$9:$BU$36,$D30+2,0)</f>
        <v>0</v>
      </c>
      <c r="S15" s="93">
        <f>VLOOKUP($S$3,Commited_Actual_1stProject!$E$9:$BU$36,$D30,0)</f>
        <v>0</v>
      </c>
      <c r="T15" s="241">
        <f>VLOOKUP($S$3,Commited_Actual_1stProject!$E$9:$BU$36,$D30+1,0)</f>
        <v>0</v>
      </c>
      <c r="U15" s="241">
        <f>VLOOKUP($S$3,Commited_Actual_1stProject!$E$9:$BU$36,$D30+2,0)</f>
        <v>0</v>
      </c>
      <c r="V15" s="93">
        <f>VLOOKUP($V$3,Commited_Actual_1stProject!$E$9:$BU$36,$D30,0)</f>
        <v>0</v>
      </c>
      <c r="W15" s="241">
        <f>VLOOKUP($V$3,Commited_Actual_1stProject!$E$9:$BU$36,$D30+1,0)</f>
        <v>0</v>
      </c>
      <c r="X15" s="241">
        <f>VLOOKUP($V$3,Commited_Actual_1stProject!$E$9:$BU$36,$D30+2,0)</f>
        <v>0</v>
      </c>
      <c r="Y15" s="93">
        <f>VLOOKUP($Y$3,Commited_Actual_1stProject!$E$9:$BU$36,$D30,0)</f>
        <v>0</v>
      </c>
      <c r="Z15" s="241">
        <f>VLOOKUP($Y$3,Commited_Actual_1stProject!$E$9:$BU$36,$D30+1,0)</f>
        <v>0</v>
      </c>
      <c r="AA15" s="241">
        <f>VLOOKUP($Y$3,Commited_Actual_1stProject!$E$9:$BU$36,$D30+2,0)</f>
        <v>0</v>
      </c>
      <c r="AB15" s="93">
        <f>VLOOKUP($AB$3,Commited_Actual_1stProject!$E$9:$BU$36,$D30,0)</f>
        <v>0</v>
      </c>
      <c r="AC15" s="241">
        <f>VLOOKUP($AB$3,Commited_Actual_1stProject!$E$9:$BU$36,$D30+1,0)</f>
        <v>0</v>
      </c>
      <c r="AD15" s="241">
        <f>VLOOKUP($AB$3,Commited_Actual_1stProject!$E$9:$BU$36,$D30+2,0)</f>
        <v>0</v>
      </c>
      <c r="AE15" s="93">
        <f>VLOOKUP($AE$3,Commited_Actual_1stProject!$E$9:$BU$36,$D30,0)</f>
        <v>0</v>
      </c>
      <c r="AF15" s="241">
        <f>VLOOKUP($AE$3,Commited_Actual_1stProject!$E$9:$BU$36,$D30+1,0)</f>
        <v>0</v>
      </c>
      <c r="AG15" s="241">
        <f>VLOOKUP($AE$3,Commited_Actual_1stProject!$E$9:$BU$36,$D30+2,0)</f>
        <v>0</v>
      </c>
      <c r="AH15" s="93">
        <f>VLOOKUP($AH$3,Commited_Actual_1stProject!$E$9:$BU$36,$D30,0)</f>
        <v>0</v>
      </c>
      <c r="AI15" s="118">
        <f>VLOOKUP($AH$3,Commited_Actual_1stProject!$E$9:$BU$36,$D30+1,0)</f>
        <v>0</v>
      </c>
      <c r="AJ15" s="93">
        <f>VLOOKUP($AH$3,Commited_Actual_1stProject!$E$9:$BU$36,$D30+2,0)</f>
        <v>0</v>
      </c>
      <c r="AK15" s="93">
        <f>VLOOKUP($AK$3,Commited_Actual_1stProject!$E$9:$BU$36,$D30,0)</f>
        <v>0</v>
      </c>
      <c r="AL15" s="118">
        <f>VLOOKUP($AK$3,Commited_Actual_1stProject!$E$9:$BU$36,$D30+1,0)</f>
        <v>0</v>
      </c>
      <c r="AM15" s="118">
        <f>VLOOKUP($AK$3,Commited_Actual_1stProject!$E$9:$BU$36,$D30+2,0)</f>
        <v>0</v>
      </c>
      <c r="AN15" s="93">
        <f>VLOOKUP($AN$3,Commited_Actual_1stProject!$E$9:$BU$36,$D30,0)</f>
        <v>0.15</v>
      </c>
      <c r="AO15" s="93">
        <f>VLOOKUP($AN$3,Commited_Actual_1stProject!$E$9:$BU$36,$D30+1,0)</f>
        <v>0.1</v>
      </c>
      <c r="AP15" s="93">
        <f>VLOOKUP($AN$3,Commited_Actual_1stProject!$E$9:$BU$36,$D30+2,0)</f>
        <v>0</v>
      </c>
      <c r="AQ15" s="93">
        <f>VLOOKUP($AQ$3,Commited_Actual_1stProject!$E$9:$BU$36,$D30,0)</f>
        <v>0</v>
      </c>
      <c r="AR15" s="241">
        <f>VLOOKUP($AQ$3,Commited_Actual_1stProject!$E$9:$BU$36,$D30+1,0)</f>
        <v>0</v>
      </c>
      <c r="AS15" s="241">
        <f>VLOOKUP($AQ$3,Commited_Actual_1stProject!$E$9:$BU$36,$D30+2,0)</f>
        <v>0</v>
      </c>
      <c r="AT15" s="93">
        <f>VLOOKUP($AT$3,Commited_Actual_1stProject!$E$9:$BU$36,$D30,0)</f>
        <v>0.15</v>
      </c>
      <c r="AU15" s="93">
        <f>VLOOKUP($AT$3,Commited_Actual_1stProject!$E$9:$BU$36,$D30+1,0)</f>
        <v>0.15</v>
      </c>
      <c r="AV15" s="93">
        <f>VLOOKUP($AT$3,Commited_Actual_1stProject!$E$9:$BU$36,$D30+2,0)</f>
        <v>7.0000000000000007E-2</v>
      </c>
      <c r="AW15" s="93">
        <f>VLOOKUP($AW$3,Commited_Actual_1stProject!$E$9:$BU$36,$D30,0)</f>
        <v>0</v>
      </c>
      <c r="AX15" s="241">
        <f>VLOOKUP($AW$3,Commited_Actual_1stProject!$E$9:$BU$36,$D30+1,0)</f>
        <v>0</v>
      </c>
      <c r="AY15" s="241">
        <f>VLOOKUP($AW$3,Commited_Actual_1stProject!$E$9:$BU$36,$D30+2,0)</f>
        <v>0</v>
      </c>
      <c r="AZ15" s="93">
        <f>VLOOKUP($AZ$3,Commited_Actual_1stProject!$E$9:$BU$36,$D30,0)</f>
        <v>0</v>
      </c>
      <c r="BA15" s="241">
        <f>VLOOKUP($AZ$3,Commited_Actual_1stProject!$E$9:$BU$36,$D30+1,0)</f>
        <v>0</v>
      </c>
      <c r="BB15" s="241">
        <f>VLOOKUP($AZ$3,Commited_Actual_1stProject!$E$9:$BU$36,$D30+2,0)</f>
        <v>0</v>
      </c>
      <c r="BC15" s="93">
        <f>VLOOKUP($BC$3,Commited_Actual_1stProject!$E$9:$BU$36,$D30,0)</f>
        <v>0</v>
      </c>
      <c r="BD15" s="118">
        <f>VLOOKUP($BC$3,Commited_Actual_1stProject!$E$9:$BU$36,$D30+1,0)</f>
        <v>0</v>
      </c>
      <c r="BE15" s="118">
        <f>VLOOKUP($BC$3,Commited_Actual_1stProject!$E$9:$BU$36,$D30+2,0)</f>
        <v>0</v>
      </c>
      <c r="BF15" s="93"/>
      <c r="BG15" s="241"/>
      <c r="BH15" s="241"/>
      <c r="BI15" s="93">
        <f>VLOOKUP($BI$3,Commited_Actual_1stProject!$E$9:$BU$36,$D30,0)</f>
        <v>0</v>
      </c>
      <c r="BJ15" s="241">
        <f>VLOOKUP($BI$3,Commited_Actual_1stProject!$E$9:$BU$36,$D30+1,0)</f>
        <v>0</v>
      </c>
      <c r="BK15" s="241">
        <f>VLOOKUP($BI$3,Commited_Actual_1stProject!$E$9:$BU$36,$D30+2,0)</f>
        <v>0</v>
      </c>
      <c r="BL15" s="93">
        <f>VLOOKUP($BL$3,Commited_Actual_1stProject!$E$9:$BU$36,$D30,0)</f>
        <v>0.04</v>
      </c>
      <c r="BM15" s="241">
        <f>VLOOKUP($BL$3,Commited_Actual_1stProject!$E$9:$BU$36,$D30+1,0)</f>
        <v>3</v>
      </c>
      <c r="BN15" s="241">
        <f>VLOOKUP($BL$3,Commited_Actual_1stProject!$E$9:$BU$36,$D30+2,0)</f>
        <v>3</v>
      </c>
      <c r="BO15" s="93">
        <f>VLOOKUP($BO$3,Commited_Actual_1stProject!$E$9:$BU$36,$D30,0)</f>
        <v>0.03</v>
      </c>
      <c r="BP15" s="241">
        <f>VLOOKUP($BO$3,Commited_Actual_1stProject!$E$9:$BU$36,$D30+1,0)</f>
        <v>3</v>
      </c>
      <c r="BQ15" s="241">
        <f>VLOOKUP($BO$3,Commited_Actual_1stProject!$E$9:$BU$36,$D30+2,0)</f>
        <v>4</v>
      </c>
      <c r="BR15" s="93">
        <f>VLOOKUP($BR$3,Commited_Actual_1stProject!$E$9:$BU$36,$D30,0)</f>
        <v>0.03</v>
      </c>
      <c r="BS15" s="241">
        <f>VLOOKUP($BR$3,Commited_Actual_1stProject!$E$9:$BU$36,$D30+1,0)</f>
        <v>3</v>
      </c>
      <c r="BT15" s="241">
        <f>VLOOKUP($BR$3,Commited_Actual_1stProject!$E$9:$BU$36,$D30+2,0)</f>
        <v>3</v>
      </c>
      <c r="BU15" s="93">
        <f>VLOOKUP($BU$3,Commited_Actual_1stProject!$E$9:$BU$36,$D30,0)</f>
        <v>0</v>
      </c>
      <c r="BV15" s="241">
        <f>VLOOKUP($BU$3,Commited_Actual_1stProject!$E$9:$BU$36,$D30+1,0)</f>
        <v>0</v>
      </c>
      <c r="BW15" s="241">
        <f>VLOOKUP($BU$3,Commited_Actual_1stProject!$E$9:$BU$36,$D30+2,0)</f>
        <v>0</v>
      </c>
      <c r="BX15" s="93">
        <f>VLOOKUP($BX$3,Commited_Actual_1stProject!$E$9:$BU$36,$D30,0)</f>
        <v>0.1</v>
      </c>
      <c r="BY15" s="241">
        <f>VLOOKUP($BX$3,Commited_Actual_1stProject!$E$9:$BU$36,$D30+1,0)</f>
        <v>10</v>
      </c>
      <c r="BZ15" s="241">
        <f>VLOOKUP($BX$3,Commited_Actual_1stProject!$E$9:$BU$36,$D30+2,0)</f>
        <v>12</v>
      </c>
      <c r="CA15" s="93">
        <f>VLOOKUP($CA$3,Commited_Actual_1stProject!$E$9:$BU$36,$D30,0)</f>
        <v>0</v>
      </c>
      <c r="CB15" s="241">
        <f>VLOOKUP($CA$3,Commited_Actual_1stProject!$E$9:$BU$36,$D30+1,0)</f>
        <v>0</v>
      </c>
      <c r="CC15" s="241">
        <f>VLOOKUP($CA$3,Commited_Actual_1stProject!$E$9:$BU$36,$D30+2,0)</f>
        <v>0</v>
      </c>
      <c r="CD15" s="93"/>
      <c r="CE15" s="241"/>
      <c r="CF15" s="241"/>
      <c r="CG15" s="93"/>
      <c r="CH15" s="241"/>
      <c r="CI15" s="241"/>
      <c r="CJ15" s="93">
        <f>VLOOKUP($CJ$3,Commited_Actual_1stProject!$E$9:$BU$36,$D30,0)</f>
        <v>0.1</v>
      </c>
      <c r="CK15" s="241">
        <f>VLOOKUP($CJ$3,Commited_Actual_1stProject!$E$9:$BU$36,$D30+1,0)</f>
        <v>3</v>
      </c>
      <c r="CL15" s="241">
        <f>VLOOKUP($CJ$3,Commited_Actual_1stProject!$E$9:$BU$36,$D30+2,0)</f>
        <v>3</v>
      </c>
      <c r="CM15" s="93"/>
      <c r="CN15" s="241"/>
      <c r="CO15" s="241"/>
      <c r="CP15" s="93"/>
      <c r="CQ15" s="241"/>
      <c r="CR15" s="241"/>
      <c r="CS15" s="93">
        <f>VLOOKUP($CS$3,Commited_Actual_1stProject!$E$9:$BU$36,$D30,0)</f>
        <v>0</v>
      </c>
      <c r="CT15" s="241">
        <f>VLOOKUP($CS$3,Commited_Actual_1stProject!$E$9:$BU$36,$D30+1,0)</f>
        <v>0</v>
      </c>
      <c r="CU15" s="241">
        <f>VLOOKUP($CS$3,Commited_Actual_1stProject!$E$9:$BU$36,$D30+2,0)</f>
        <v>0</v>
      </c>
      <c r="CV15" s="93"/>
      <c r="CW15" s="241"/>
      <c r="CX15" s="241"/>
      <c r="CY15" s="93"/>
      <c r="CZ15" s="241"/>
      <c r="DA15" s="241"/>
      <c r="DB15" s="93">
        <f>VLOOKUP($DB$3,Commited_Actual_2ndProject!$E$5:$AG$34,$E30,0)</f>
        <v>0</v>
      </c>
      <c r="DC15" s="93">
        <f>VLOOKUP($DB$3,Commited_Actual_2ndProject!$E$5:$AG$34,$E30+1,0)</f>
        <v>0</v>
      </c>
      <c r="DD15" s="93">
        <f>VLOOKUP($DB$3,Commited_Actual_2ndProject!$E$5:$AG$34,$E30+2,0)</f>
        <v>0</v>
      </c>
      <c r="DE15" s="93">
        <f>VLOOKUP($DE$3,Commited_Actual_2ndProject!$E$5:$AG$34,$E30,0)</f>
        <v>0</v>
      </c>
      <c r="DF15" s="93">
        <f>VLOOKUP($DE$3,Commited_Actual_2ndProject!$E$5:$AG$34,$E30+1,0)</f>
        <v>0</v>
      </c>
      <c r="DG15" s="93">
        <f>VLOOKUP($DE$3,Commited_Actual_2ndProject!$E$5:$AG$34,$E30+2,0)</f>
        <v>0</v>
      </c>
      <c r="DH15" s="93">
        <f>VLOOKUP($DH$3,Commited_Actual_2ndProject!$E$5:$AG$34,$E30,0)</f>
        <v>0</v>
      </c>
      <c r="DI15" s="93">
        <f>VLOOKUP($DH$3,Commited_Actual_2ndProject!$E$5:$AG$34,$E30+1,0)</f>
        <v>0</v>
      </c>
      <c r="DJ15" s="93">
        <f>VLOOKUP($DH$3,Commited_Actual_2ndProject!$E$5:$AG$34,$E30+2,0)</f>
        <v>0</v>
      </c>
      <c r="DK15" s="93">
        <f>VLOOKUP($DK$3,Commited_Actual_2ndProject!$E$5:$AG$34,$E30,0)</f>
        <v>0</v>
      </c>
      <c r="DL15" s="93">
        <f>VLOOKUP($DK$3,Commited_Actual_2ndProject!$E$5:$AG$34,$E30+1,0)</f>
        <v>0</v>
      </c>
      <c r="DM15" s="93">
        <f>VLOOKUP($DK$3,Commited_Actual_2ndProject!$E$5:$AG$34,$E30+2,0)</f>
        <v>0</v>
      </c>
      <c r="DN15" s="93">
        <f>VLOOKUP($DN$3,Commited_Actual_2ndProject!$E$5:$AG$34,$E30,0)</f>
        <v>0</v>
      </c>
      <c r="DO15" s="241">
        <f>VLOOKUP($DN$3,Commited_Actual_2ndProject!$E$5:$AG$34,$E30+1,0)</f>
        <v>0</v>
      </c>
      <c r="DP15" s="241">
        <f>VLOOKUP($DN$3,Commited_Actual_2ndProject!$E$5:$AG$34,$E30+2,0)</f>
        <v>0</v>
      </c>
      <c r="DQ15" s="93">
        <f>VLOOKUP($DQ$3,Commited_Actual_2ndProject!$E$5:$AG$34,$E30,0)</f>
        <v>0</v>
      </c>
      <c r="DR15" s="93">
        <f>VLOOKUP($DQ$3,Commited_Actual_2ndProject!$E$5:$AG$34,$E30+1,0)</f>
        <v>0</v>
      </c>
      <c r="DS15" s="93">
        <f>VLOOKUP($DQ$3,Commited_Actual_2ndProject!$E$5:$AG$34,$E30+2,0)</f>
        <v>0</v>
      </c>
      <c r="DT15" s="93">
        <f>VLOOKUP($DT$3,Commited_Actual_2ndProject!$E$5:$AG$34,$E30,0)</f>
        <v>0</v>
      </c>
      <c r="DU15" s="93">
        <f>VLOOKUP($DT$3,Commited_Actual_2ndProject!$E$5:$AG$34,$E30+1,0)</f>
        <v>0</v>
      </c>
      <c r="DV15" s="93">
        <f>VLOOKUP($DT$3,Commited_Actual_2ndProject!$E$5:$AG$34,$E30+2,0)</f>
        <v>0</v>
      </c>
      <c r="DW15" s="93">
        <f>VLOOKUP($DW$3,Commited_Actual_2ndProject!$E$5:$AG$34,$E30,0)</f>
        <v>0</v>
      </c>
      <c r="DX15" s="93">
        <f>VLOOKUP($DW$3,Commited_Actual_2ndProject!$E$5:$AG$34,$E30+1,0)</f>
        <v>0</v>
      </c>
      <c r="DY15" s="93">
        <f>VLOOKUP($DW$3,Commited_Actual_2ndProject!$E$5:$AG$34,$E30+2,0)</f>
        <v>0</v>
      </c>
      <c r="DZ15" s="93">
        <f>VLOOKUP($DZ$3,Commited_Actual_2ndProject!$E$5:$AG$34,$E30,0)</f>
        <v>0</v>
      </c>
      <c r="EA15" s="93">
        <f>VLOOKUP($DZ$3,Commited_Actual_2ndProject!$E$5:$AG$34,$E30+1,0)</f>
        <v>0</v>
      </c>
      <c r="EB15" s="93">
        <f>VLOOKUP($DZ$3,Commited_Actual_2ndProject!$E$5:$AG$34,$E30+2,0)</f>
        <v>0</v>
      </c>
      <c r="EC15" s="93">
        <f>VLOOKUP($EC$3,Commited_Actual_2ndProject!$E$5:$AG$34,$E30,0)</f>
        <v>0</v>
      </c>
      <c r="ED15" s="93">
        <f>VLOOKUP($EC$3,Commited_Actual_2ndProject!$E$5:$AG$34,$E30+1,0)</f>
        <v>0</v>
      </c>
      <c r="EE15" s="93">
        <f>VLOOKUP($EC$3,Commited_Actual_2ndProject!$E$5:$AG$34,$E30+2,0)</f>
        <v>0</v>
      </c>
      <c r="EF15" s="93">
        <f>VLOOKUP($EF$3,Commited_Actual_2ndProject!$E$5:$AG$34,$E30,0)</f>
        <v>0</v>
      </c>
      <c r="EG15" s="93">
        <f>VLOOKUP($EF$3,Commited_Actual_2ndProject!$E$5:$AG$34,$E30+1,0)</f>
        <v>0</v>
      </c>
      <c r="EH15" s="93">
        <f>VLOOKUP($EF$3,Commited_Actual_2ndProject!$E$5:$AG$34,$E30+2,0)</f>
        <v>0</v>
      </c>
      <c r="EI15" s="93">
        <f>VLOOKUP($EI$3,Commited_Actual_2ndProject!$E$5:$AG$34,$E30,0)</f>
        <v>0</v>
      </c>
      <c r="EJ15" s="93">
        <f>VLOOKUP($EI$3,Commited_Actual_2ndProject!$E$5:$AG$34,$E30+1,0)</f>
        <v>0</v>
      </c>
      <c r="EK15" s="93">
        <f>VLOOKUP($EI$3,Commited_Actual_2ndProject!$E$5:$AG$34,$E30+2,0)</f>
        <v>0</v>
      </c>
      <c r="EL15" s="93">
        <f>VLOOKUP($EL$3,Commited_Actual_2ndProject!$E$5:$AG$34,$E30,0)</f>
        <v>0</v>
      </c>
      <c r="EM15" s="93">
        <f>VLOOKUP($EL$3,Commited_Actual_2ndProject!$E$5:$AG$34,$E30+1,0)</f>
        <v>0</v>
      </c>
      <c r="EN15" s="93">
        <f>VLOOKUP($EL$3,Commited_Actual_2ndProject!$E$5:$AG$34,$E30+2,0)</f>
        <v>0</v>
      </c>
      <c r="EO15" s="93">
        <f>VLOOKUP($EO$3,Commited_Actual_2ndProject!$E$5:$AG$34,$E30,0)</f>
        <v>0</v>
      </c>
      <c r="EP15" s="93">
        <f>VLOOKUP($EO$3,Commited_Actual_2ndProject!$E$5:$AG$34,$E30+1,0)</f>
        <v>0</v>
      </c>
      <c r="EQ15" s="93">
        <f>VLOOKUP($EO$3,Commited_Actual_2ndProject!$E$5:$AG$34,$E30+2,0)</f>
        <v>0</v>
      </c>
      <c r="ER15" s="93">
        <f>VLOOKUP($ER$3,Commited_Actual_2ndProject!$E$5:$AG$34,$E30,0)</f>
        <v>0</v>
      </c>
      <c r="ES15" s="93">
        <f>VLOOKUP($ER$3,Commited_Actual_2ndProject!$E$5:$AG$34,$E30+1,0)</f>
        <v>0</v>
      </c>
      <c r="ET15" s="93">
        <f>VLOOKUP($ER$3,Commited_Actual_2ndProject!$E$5:$AG$34,$E30+2,0)</f>
        <v>0</v>
      </c>
      <c r="EU15" s="93">
        <f>VLOOKUP($EU$3,Commited_Actual_2ndProject!$E$5:$AG$34,$E30,0)</f>
        <v>0</v>
      </c>
      <c r="EV15" s="93">
        <f>VLOOKUP($EU$3,Commited_Actual_2ndProject!$E$5:$AG$34,$E30+1,0)</f>
        <v>0</v>
      </c>
      <c r="EW15" s="93">
        <f>VLOOKUP($EU$3,Commited_Actual_2ndProject!$E$5:$AG$34,$E30+2,0)</f>
        <v>0</v>
      </c>
      <c r="EX15" s="93">
        <f>VLOOKUP($EX$3,Commited_Actual_2ndProject!$E$5:$AG$34,$E30,0)</f>
        <v>0.1</v>
      </c>
      <c r="EY15" s="93">
        <f>VLOOKUP($EX$3,Commited_Actual_2ndProject!$E$5:$AG$34,$E30+1,0)</f>
        <v>0.3</v>
      </c>
      <c r="EZ15" s="93">
        <f>VLOOKUP($EX$3,Commited_Actual_2ndProject!$E$5:$AG$34,$E30+2,0)</f>
        <v>0.31</v>
      </c>
      <c r="FA15" s="95"/>
      <c r="FB15" s="96"/>
      <c r="FC15" s="96"/>
      <c r="FD15" s="95"/>
      <c r="FE15" s="96"/>
      <c r="FF15" s="96"/>
      <c r="FG15" s="95"/>
      <c r="FH15" s="96"/>
      <c r="FI15" s="96"/>
      <c r="FJ15" s="95"/>
      <c r="FK15" s="96"/>
      <c r="FL15" s="96"/>
      <c r="FM15" s="95"/>
      <c r="FN15" s="96"/>
      <c r="FO15" s="96"/>
      <c r="FP15" s="95"/>
      <c r="FQ15" s="96"/>
      <c r="FR15" s="96"/>
      <c r="FS15" s="95"/>
      <c r="FT15" s="96"/>
      <c r="FU15" s="96"/>
      <c r="FV15" s="93"/>
      <c r="FW15" s="94"/>
      <c r="FX15" s="94"/>
      <c r="FY15" s="93"/>
      <c r="FZ15" s="94"/>
      <c r="GA15" s="94"/>
      <c r="GB15" s="95"/>
      <c r="GC15" s="94"/>
      <c r="GD15" s="94"/>
      <c r="GE15" s="95"/>
      <c r="GF15" s="94"/>
      <c r="GG15" s="94"/>
      <c r="GH15" s="95"/>
      <c r="GI15" s="94"/>
      <c r="GJ15" s="94"/>
      <c r="GK15" s="95"/>
      <c r="GL15" s="94"/>
      <c r="GM15" s="94"/>
      <c r="GN15" s="95"/>
      <c r="GO15" s="94"/>
      <c r="GP15" s="94"/>
      <c r="GQ15" s="93"/>
      <c r="GR15" s="94"/>
      <c r="GS15" s="94"/>
      <c r="GT15" s="95"/>
      <c r="GU15" s="96"/>
      <c r="GV15" s="96"/>
      <c r="GW15" s="95"/>
      <c r="GX15" s="96"/>
      <c r="GY15" s="96"/>
      <c r="GZ15" s="95"/>
      <c r="HA15" s="96"/>
      <c r="HB15" s="96"/>
      <c r="HC15" s="95"/>
      <c r="HD15" s="96"/>
      <c r="HE15" s="96"/>
      <c r="HF15" s="95"/>
      <c r="HG15" s="96"/>
      <c r="HH15" s="96"/>
      <c r="HI15" s="95"/>
      <c r="HJ15" s="96"/>
      <c r="HK15" s="96"/>
      <c r="HL15" s="95"/>
      <c r="HM15" s="96"/>
      <c r="HN15" s="96"/>
      <c r="HO15" s="95"/>
      <c r="HP15" s="96"/>
      <c r="HQ15" s="96"/>
      <c r="HR15" s="95"/>
      <c r="HS15" s="96"/>
      <c r="HT15" s="96"/>
      <c r="HU15" s="95"/>
      <c r="HV15" s="96"/>
      <c r="HW15" s="96"/>
      <c r="HX15" s="93"/>
      <c r="HY15" s="94"/>
      <c r="HZ15" s="94"/>
      <c r="IA15" s="93"/>
      <c r="IB15" s="94"/>
      <c r="IC15" s="94"/>
      <c r="ID15" s="95"/>
      <c r="IE15" s="94"/>
      <c r="IF15" s="94"/>
      <c r="IG15" s="95"/>
      <c r="IH15" s="94"/>
      <c r="II15" s="94"/>
      <c r="IJ15" s="95"/>
      <c r="IK15" s="94"/>
      <c r="IL15" s="94"/>
      <c r="IM15" s="95"/>
      <c r="IN15" s="94"/>
      <c r="IO15" s="94"/>
      <c r="IP15" s="95"/>
      <c r="IQ15" s="94"/>
      <c r="IR15" s="94"/>
      <c r="IS15" s="93"/>
      <c r="IT15" s="94"/>
      <c r="IU15" s="94"/>
      <c r="IV15" s="95"/>
      <c r="IW15" s="96"/>
      <c r="IX15" s="96"/>
      <c r="IY15" s="95"/>
      <c r="IZ15" s="96"/>
      <c r="JA15" s="96"/>
      <c r="JB15" s="95"/>
      <c r="JC15" s="96"/>
      <c r="JD15" s="96"/>
      <c r="JE15" s="95"/>
      <c r="JF15" s="96"/>
      <c r="JG15" s="96"/>
      <c r="JH15" s="95"/>
      <c r="JI15" s="96"/>
      <c r="JJ15" s="96"/>
      <c r="JK15" s="95"/>
      <c r="JL15" s="96"/>
      <c r="JM15" s="96"/>
      <c r="JN15" s="95"/>
      <c r="JO15" s="96"/>
      <c r="JP15" s="96"/>
      <c r="JQ15" s="95"/>
      <c r="JR15" s="96"/>
      <c r="JS15" s="96"/>
      <c r="JT15" s="95"/>
      <c r="JU15" s="96"/>
      <c r="JV15" s="96"/>
      <c r="JW15" s="95"/>
      <c r="JX15" s="96"/>
      <c r="JY15" s="96"/>
    </row>
    <row r="16" spans="1:285">
      <c r="A16" s="176">
        <v>42</v>
      </c>
      <c r="B16" s="178"/>
      <c r="C16" s="6">
        <v>11</v>
      </c>
      <c r="D16" s="186" t="s">
        <v>320</v>
      </c>
      <c r="E16" s="24" t="s">
        <v>306</v>
      </c>
      <c r="F16" s="5" t="s">
        <v>33</v>
      </c>
      <c r="G16" s="93">
        <f>VLOOKUP($G$3,Commited_Actual_1stProject!$E$9:$BU$36,$A16,0)</f>
        <v>0.3</v>
      </c>
      <c r="H16" s="241">
        <f>VLOOKUP($G$3,Commited_Actual_1stProject!$E$9:$BU$36,$A16+1,0)</f>
        <v>37</v>
      </c>
      <c r="I16" s="241">
        <f>VLOOKUP($G$3,Commited_Actual_1stProject!$E$9:$BU$36,$A16+2,0)</f>
        <v>38.299999999999997</v>
      </c>
      <c r="J16" s="93">
        <f>VLOOKUP($J$3,Commited_Actual_1stProject!$E$9:$BU$36,$A16,0)</f>
        <v>0.2</v>
      </c>
      <c r="K16" s="241">
        <f>VLOOKUP($J$3,Commited_Actual_1stProject!$E$9:$BU$36,$A16+1,0)</f>
        <v>8</v>
      </c>
      <c r="L16" s="241">
        <f>VLOOKUP($J$3,Commited_Actual_1stProject!$E$9:$BU$36,$A16+2,0)</f>
        <v>4.03</v>
      </c>
      <c r="M16" s="93">
        <f>VLOOKUP($M$3,Commited_Actual_1stProject!$E$9:$BU$36,$A16,0)</f>
        <v>0</v>
      </c>
      <c r="N16" s="241">
        <f>VLOOKUP($M$3,Commited_Actual_1stProject!$E$9:$BU$36,$A16+1,0)</f>
        <v>0</v>
      </c>
      <c r="O16" s="241">
        <f>VLOOKUP($M$3,Commited_Actual_1stProject!$E$9:$BU$36,$A16+2,0)</f>
        <v>0</v>
      </c>
      <c r="P16" s="93">
        <f>VLOOKUP($P$3,Commited_Actual_1stProject!$E$9:$BU$36,$A16,0)</f>
        <v>0</v>
      </c>
      <c r="Q16" s="241">
        <f>VLOOKUP($P$3,Commited_Actual_1stProject!$E$9:$BU$36,$A16+1,0)</f>
        <v>0</v>
      </c>
      <c r="R16" s="241">
        <f>VLOOKUP($P$3,Commited_Actual_1stProject!$E$9:$BU$36,$A16+2,0)</f>
        <v>0</v>
      </c>
      <c r="S16" s="93">
        <f>VLOOKUP($S$3,Commited_Actual_1stProject!$E$9:$BU$36,$A16,0)</f>
        <v>0</v>
      </c>
      <c r="T16" s="241">
        <f>VLOOKUP($S$3,Commited_Actual_1stProject!$E$9:$BU$36,$A16+1,0)</f>
        <v>0</v>
      </c>
      <c r="U16" s="241">
        <f>VLOOKUP($S$3,Commited_Actual_1stProject!$E$9:$BU$36,$A16+2,0)</f>
        <v>0</v>
      </c>
      <c r="V16" s="93">
        <f>VLOOKUP($V$3,Commited_Actual_1stProject!$E$9:$BU$36,$A16,0)</f>
        <v>0</v>
      </c>
      <c r="W16" s="241">
        <f>VLOOKUP($V$3,Commited_Actual_1stProject!$E$9:$BU$36,$A16+1,0)</f>
        <v>0</v>
      </c>
      <c r="X16" s="241">
        <f>VLOOKUP($V$3,Commited_Actual_1stProject!$E$9:$BU$36,$A16+2,0)</f>
        <v>0</v>
      </c>
      <c r="Y16" s="93">
        <f>VLOOKUP($Y$3,Commited_Actual_1stProject!$E$9:$BU$36,$A16,0)</f>
        <v>0</v>
      </c>
      <c r="Z16" s="241">
        <f>VLOOKUP($Y$3,Commited_Actual_1stProject!$E$9:$BU$36,$A16+1,0)</f>
        <v>0</v>
      </c>
      <c r="AA16" s="241">
        <f>VLOOKUP($Y$3,Commited_Actual_1stProject!$E$9:$BU$36,$A16+2,0)</f>
        <v>0</v>
      </c>
      <c r="AB16" s="93">
        <f>VLOOKUP($AB$3,Commited_Actual_1stProject!$E$9:$BU$36,$A16,0)</f>
        <v>0</v>
      </c>
      <c r="AC16" s="241">
        <f>VLOOKUP($AB$3,Commited_Actual_1stProject!$E$9:$BU$36,$A16+1,0)</f>
        <v>0</v>
      </c>
      <c r="AD16" s="241">
        <f>VLOOKUP($AB$3,Commited_Actual_1stProject!$E$9:$BU$36,$A16+2,0)</f>
        <v>0</v>
      </c>
      <c r="AE16" s="93">
        <f>VLOOKUP($AE$3,Commited_Actual_1stProject!$E$9:$BU$36,$A16,0)</f>
        <v>0</v>
      </c>
      <c r="AF16" s="241">
        <f>VLOOKUP($AE$3,Commited_Actual_1stProject!$E$9:$BU$36,$A16+1,0)</f>
        <v>0</v>
      </c>
      <c r="AG16" s="241">
        <f>VLOOKUP($AE$3,Commited_Actual_1stProject!$E$9:$BU$36,$A16+2,0)</f>
        <v>0</v>
      </c>
      <c r="AH16" s="93">
        <f>VLOOKUP($AH$3,Commited_Actual_1stProject!$E$9:$BU$36,$A16,0)</f>
        <v>0</v>
      </c>
      <c r="AI16" s="118">
        <f>VLOOKUP($AH$3,Commited_Actual_1stProject!$E$9:$BU$36,$A16+1,0)</f>
        <v>0</v>
      </c>
      <c r="AJ16" s="93">
        <f>VLOOKUP($AH$3,Commited_Actual_1stProject!$E$9:$BU$36,$A16+2,0)</f>
        <v>0</v>
      </c>
      <c r="AK16" s="93">
        <f>VLOOKUP($AK$3,Commited_Actual_1stProject!$E$9:$BU$36,$A16,0)</f>
        <v>0</v>
      </c>
      <c r="AL16" s="118">
        <f>VLOOKUP($AK$3,Commited_Actual_1stProject!$E$9:$BU$36,$A16+1,0)</f>
        <v>0</v>
      </c>
      <c r="AM16" s="118">
        <f>VLOOKUP($AK$3,Commited_Actual_1stProject!$E$9:$BU$36,$A16+2,0)</f>
        <v>0</v>
      </c>
      <c r="AN16" s="93">
        <f>VLOOKUP($AN$3,Commited_Actual_1stProject!$E$9:$BU$36,$A16,0)</f>
        <v>0.1</v>
      </c>
      <c r="AO16" s="93">
        <f>VLOOKUP($AN$3,Commited_Actual_1stProject!$E$9:$BU$36,$A16+1,0)</f>
        <v>0.1</v>
      </c>
      <c r="AP16" s="93">
        <f>VLOOKUP($AN$3,Commited_Actual_1stProject!$E$9:$BU$36,$A16+2,0)</f>
        <v>0.02</v>
      </c>
      <c r="AQ16" s="93">
        <f>VLOOKUP($AQ$3,Commited_Actual_1stProject!$E$9:$BU$36,$A16,0)</f>
        <v>0</v>
      </c>
      <c r="AR16" s="241">
        <f>VLOOKUP($AQ$3,Commited_Actual_1stProject!$E$9:$BU$36,$A16+1,0)</f>
        <v>0</v>
      </c>
      <c r="AS16" s="241">
        <f>VLOOKUP($AQ$3,Commited_Actual_1stProject!$E$9:$BU$36,$A16+2,0)</f>
        <v>0</v>
      </c>
      <c r="AT16" s="93">
        <f>VLOOKUP($AT$3,Commited_Actual_1stProject!$E$9:$BU$36,$A16,0)</f>
        <v>0.15</v>
      </c>
      <c r="AU16" s="93">
        <f>VLOOKUP($AT$3,Commited_Actual_1stProject!$E$9:$BU$36,$A16+1,0)</f>
        <v>0.15</v>
      </c>
      <c r="AV16" s="93">
        <f>VLOOKUP($AT$3,Commited_Actual_1stProject!$E$9:$BU$36,$A16+2,0)</f>
        <v>0.03</v>
      </c>
      <c r="AW16" s="93">
        <f>VLOOKUP($AW$3,Commited_Actual_1stProject!$E$9:$BU$36,$A16,0)</f>
        <v>0</v>
      </c>
      <c r="AX16" s="241">
        <f>VLOOKUP($AW$3,Commited_Actual_1stProject!$E$9:$BU$36,$A16+1,0)</f>
        <v>0</v>
      </c>
      <c r="AY16" s="241">
        <f>VLOOKUP($AW$3,Commited_Actual_1stProject!$E$9:$BU$36,$A16+2,0)</f>
        <v>0</v>
      </c>
      <c r="AZ16" s="93">
        <f>VLOOKUP($AZ$3,Commited_Actual_1stProject!$E$9:$BU$36,$A16,0)</f>
        <v>0</v>
      </c>
      <c r="BA16" s="241">
        <f>VLOOKUP($AZ$3,Commited_Actual_1stProject!$E$9:$BU$36,$A16+1,0)</f>
        <v>0</v>
      </c>
      <c r="BB16" s="241">
        <f>VLOOKUP($AZ$3,Commited_Actual_1stProject!$E$9:$BU$36,$A16+2,0)</f>
        <v>0</v>
      </c>
      <c r="BC16" s="93">
        <f>VLOOKUP($BC$3,Commited_Actual_1stProject!$E$9:$BU$36,$A16,0)</f>
        <v>0</v>
      </c>
      <c r="BD16" s="118">
        <f>VLOOKUP($BC$3,Commited_Actual_1stProject!$E$9:$BU$36,$A16+1,0)</f>
        <v>0</v>
      </c>
      <c r="BE16" s="118">
        <f>VLOOKUP($BC$3,Commited_Actual_1stProject!$E$9:$BU$36,$A16+2,0)</f>
        <v>0</v>
      </c>
      <c r="BF16" s="93"/>
      <c r="BG16" s="241"/>
      <c r="BH16" s="241"/>
      <c r="BI16" s="93">
        <f>VLOOKUP($BI$3,Commited_Actual_1stProject!$E$9:$BU$36,$A16,0)</f>
        <v>0</v>
      </c>
      <c r="BJ16" s="241">
        <f>VLOOKUP($BI$3,Commited_Actual_1stProject!$E$9:$BU$36,$A16+1,0)</f>
        <v>0</v>
      </c>
      <c r="BK16" s="241">
        <f>VLOOKUP($BI$3,Commited_Actual_1stProject!$E$9:$BU$36,$A16+2,0)</f>
        <v>0</v>
      </c>
      <c r="BL16" s="93">
        <f>VLOOKUP($BL$3,Commited_Actual_1stProject!$E$9:$BU$36,$A16,0)</f>
        <v>0.05</v>
      </c>
      <c r="BM16" s="241">
        <f>VLOOKUP($BL$3,Commited_Actual_1stProject!$E$9:$BU$36,$A16+1,0)</f>
        <v>3</v>
      </c>
      <c r="BN16" s="241">
        <f>VLOOKUP($BL$3,Commited_Actual_1stProject!$E$9:$BU$36,$A16+2,0)</f>
        <v>4</v>
      </c>
      <c r="BO16" s="93">
        <f>VLOOKUP($BO$3,Commited_Actual_1stProject!$E$9:$BU$36,$A16,0)</f>
        <v>0.05</v>
      </c>
      <c r="BP16" s="241">
        <f>VLOOKUP($BO$3,Commited_Actual_1stProject!$E$9:$BU$36,$A16+1,0)</f>
        <v>3</v>
      </c>
      <c r="BQ16" s="241">
        <f>VLOOKUP($BO$3,Commited_Actual_1stProject!$E$9:$BU$36,$A16+2,0)</f>
        <v>4</v>
      </c>
      <c r="BR16" s="93">
        <f>VLOOKUP($BR$3,Commited_Actual_1stProject!$E$9:$BU$36,$A16,0)</f>
        <v>0.05</v>
      </c>
      <c r="BS16" s="241">
        <f>VLOOKUP($BR$3,Commited_Actual_1stProject!$E$9:$BU$36,$A16+1,0)</f>
        <v>3</v>
      </c>
      <c r="BT16" s="241">
        <f>VLOOKUP($BR$3,Commited_Actual_1stProject!$E$9:$BU$36,$A16+2,0)</f>
        <v>5</v>
      </c>
      <c r="BU16" s="93">
        <f>VLOOKUP($BU$3,Commited_Actual_1stProject!$E$9:$BU$36,$A16,0)</f>
        <v>0</v>
      </c>
      <c r="BV16" s="241">
        <f>VLOOKUP($BU$3,Commited_Actual_1stProject!$E$9:$BU$36,$A16+1,0)</f>
        <v>0</v>
      </c>
      <c r="BW16" s="241">
        <f>VLOOKUP($BU$3,Commited_Actual_1stProject!$E$9:$BU$36,$A16+2,0)</f>
        <v>0</v>
      </c>
      <c r="BX16" s="93">
        <f>VLOOKUP($BX$3,Commited_Actual_1stProject!$E$9:$BU$36,$A16,0)</f>
        <v>0.1</v>
      </c>
      <c r="BY16" s="241">
        <f>VLOOKUP($BX$3,Commited_Actual_1stProject!$E$9:$BU$36,$A16+1,0)</f>
        <v>10</v>
      </c>
      <c r="BZ16" s="241">
        <f>VLOOKUP($BX$3,Commited_Actual_1stProject!$E$9:$BU$36,$A16+2,0)</f>
        <v>3.66</v>
      </c>
      <c r="CA16" s="93">
        <f>VLOOKUP($CA$3,Commited_Actual_1stProject!$E$9:$BU$36,$A16,0)</f>
        <v>0</v>
      </c>
      <c r="CB16" s="241">
        <f>VLOOKUP($CA$3,Commited_Actual_1stProject!$E$9:$BU$36,$A16+1,0)</f>
        <v>0</v>
      </c>
      <c r="CC16" s="241">
        <f>VLOOKUP($CA$3,Commited_Actual_1stProject!$E$9:$BU$36,$A16+2,0)</f>
        <v>0</v>
      </c>
      <c r="CD16" s="93"/>
      <c r="CE16" s="241"/>
      <c r="CF16" s="241"/>
      <c r="CG16" s="93"/>
      <c r="CH16" s="241"/>
      <c r="CI16" s="241"/>
      <c r="CJ16" s="93">
        <f>VLOOKUP($CJ$3,Commited_Actual_1stProject!$E$9:$BU$36,$A16,0)</f>
        <v>0</v>
      </c>
      <c r="CK16" s="241">
        <f>VLOOKUP($CJ$3,Commited_Actual_1stProject!$E$9:$BU$36,$A16+1,0)</f>
        <v>0</v>
      </c>
      <c r="CL16" s="241">
        <f>VLOOKUP($CJ$3,Commited_Actual_1stProject!$E$9:$BU$36,$A16+2,0)</f>
        <v>0</v>
      </c>
      <c r="CM16" s="93"/>
      <c r="CN16" s="241"/>
      <c r="CO16" s="241"/>
      <c r="CP16" s="93"/>
      <c r="CQ16" s="241"/>
      <c r="CR16" s="241"/>
      <c r="CS16" s="93">
        <f>VLOOKUP($CS$3,Commited_Actual_1stProject!$E$9:$BU$36,$A16,0)</f>
        <v>0</v>
      </c>
      <c r="CT16" s="241">
        <f>VLOOKUP($CS$3,Commited_Actual_1stProject!$E$9:$BU$36,$A16+1,0)</f>
        <v>0</v>
      </c>
      <c r="CU16" s="241">
        <f>VLOOKUP($CS$3,Commited_Actual_1stProject!$E$9:$BU$36,$A16+2,0)</f>
        <v>0</v>
      </c>
      <c r="CV16" s="93"/>
      <c r="CW16" s="241"/>
      <c r="CX16" s="241"/>
      <c r="CY16" s="93"/>
      <c r="CZ16" s="241"/>
      <c r="DA16" s="241"/>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5"/>
      <c r="FB16" s="96"/>
      <c r="FC16" s="96"/>
      <c r="FD16" s="95"/>
      <c r="FE16" s="96"/>
      <c r="FF16" s="96"/>
      <c r="FG16" s="95"/>
      <c r="FH16" s="96"/>
      <c r="FI16" s="96"/>
      <c r="FJ16" s="95"/>
      <c r="FK16" s="96"/>
      <c r="FL16" s="96"/>
      <c r="FM16" s="95"/>
      <c r="FN16" s="96"/>
      <c r="FO16" s="96"/>
      <c r="FP16" s="95"/>
      <c r="FQ16" s="96"/>
      <c r="FR16" s="96"/>
      <c r="FS16" s="95"/>
      <c r="FT16" s="96"/>
      <c r="FU16" s="96"/>
      <c r="FV16" s="93"/>
      <c r="FW16" s="94"/>
      <c r="FX16" s="94"/>
      <c r="FY16" s="93"/>
      <c r="FZ16" s="94"/>
      <c r="GA16" s="94"/>
      <c r="GB16" s="95"/>
      <c r="GC16" s="94"/>
      <c r="GD16" s="94"/>
      <c r="GE16" s="95"/>
      <c r="GF16" s="94"/>
      <c r="GG16" s="94"/>
      <c r="GH16" s="95"/>
      <c r="GI16" s="94"/>
      <c r="GJ16" s="94"/>
      <c r="GK16" s="95"/>
      <c r="GL16" s="94"/>
      <c r="GM16" s="94"/>
      <c r="GN16" s="95"/>
      <c r="GO16" s="94"/>
      <c r="GP16" s="94"/>
      <c r="GQ16" s="93"/>
      <c r="GR16" s="94"/>
      <c r="GS16" s="94"/>
      <c r="GT16" s="95"/>
      <c r="GU16" s="96"/>
      <c r="GV16" s="96"/>
      <c r="GW16" s="95"/>
      <c r="GX16" s="96"/>
      <c r="GY16" s="96"/>
      <c r="GZ16" s="95"/>
      <c r="HA16" s="96"/>
      <c r="HB16" s="96"/>
      <c r="HC16" s="95"/>
      <c r="HD16" s="96"/>
      <c r="HE16" s="96"/>
      <c r="HF16" s="95"/>
      <c r="HG16" s="96"/>
      <c r="HH16" s="96"/>
      <c r="HI16" s="95"/>
      <c r="HJ16" s="96"/>
      <c r="HK16" s="96"/>
      <c r="HL16" s="95"/>
      <c r="HM16" s="96"/>
      <c r="HN16" s="96"/>
      <c r="HO16" s="95"/>
      <c r="HP16" s="96"/>
      <c r="HQ16" s="96"/>
      <c r="HR16" s="95"/>
      <c r="HS16" s="96"/>
      <c r="HT16" s="96"/>
      <c r="HU16" s="95"/>
      <c r="HV16" s="96"/>
      <c r="HW16" s="96"/>
      <c r="HX16" s="93"/>
      <c r="HY16" s="94"/>
      <c r="HZ16" s="94"/>
      <c r="IA16" s="93"/>
      <c r="IB16" s="94"/>
      <c r="IC16" s="94"/>
      <c r="ID16" s="95"/>
      <c r="IE16" s="94"/>
      <c r="IF16" s="94"/>
      <c r="IG16" s="95"/>
      <c r="IH16" s="94"/>
      <c r="II16" s="94"/>
      <c r="IJ16" s="95"/>
      <c r="IK16" s="94"/>
      <c r="IL16" s="94"/>
      <c r="IM16" s="95"/>
      <c r="IN16" s="94"/>
      <c r="IO16" s="94"/>
      <c r="IP16" s="95"/>
      <c r="IQ16" s="94"/>
      <c r="IR16" s="94"/>
      <c r="IS16" s="93"/>
      <c r="IT16" s="94"/>
      <c r="IU16" s="94"/>
      <c r="IV16" s="95"/>
      <c r="IW16" s="96"/>
      <c r="IX16" s="96"/>
      <c r="IY16" s="95"/>
      <c r="IZ16" s="96"/>
      <c r="JA16" s="96"/>
      <c r="JB16" s="95"/>
      <c r="JC16" s="96"/>
      <c r="JD16" s="96"/>
      <c r="JE16" s="95"/>
      <c r="JF16" s="96"/>
      <c r="JG16" s="96"/>
      <c r="JH16" s="95"/>
      <c r="JI16" s="96"/>
      <c r="JJ16" s="96"/>
      <c r="JK16" s="95"/>
      <c r="JL16" s="96"/>
      <c r="JM16" s="96"/>
      <c r="JN16" s="95"/>
      <c r="JO16" s="96"/>
      <c r="JP16" s="96"/>
      <c r="JQ16" s="95"/>
      <c r="JR16" s="96"/>
      <c r="JS16" s="96"/>
      <c r="JT16" s="95"/>
      <c r="JU16" s="96"/>
      <c r="JV16" s="96"/>
      <c r="JW16" s="95"/>
      <c r="JX16" s="96"/>
      <c r="JY16" s="96"/>
    </row>
    <row r="17" spans="1:285">
      <c r="A17" s="176">
        <v>47</v>
      </c>
      <c r="B17" s="178"/>
      <c r="C17" s="6">
        <v>12</v>
      </c>
      <c r="D17" s="186" t="s">
        <v>321</v>
      </c>
      <c r="E17" s="24" t="s">
        <v>306</v>
      </c>
      <c r="F17" s="5" t="s">
        <v>33</v>
      </c>
      <c r="G17" s="93">
        <f>VLOOKUP($G$3,Commited_Actual_1stProject!$E$9:$BU$36,$A17,0)</f>
        <v>0.2</v>
      </c>
      <c r="H17" s="241">
        <f>VLOOKUP($G$3,Commited_Actual_1stProject!$E$9:$BU$36,$A17+1,0)</f>
        <v>37</v>
      </c>
      <c r="I17" s="241">
        <f>VLOOKUP($G$3,Commited_Actual_1stProject!$E$9:$BU$36,$A17+2,0)</f>
        <v>37.43</v>
      </c>
      <c r="J17" s="93">
        <f>VLOOKUP($J$3,Commited_Actual_1stProject!$E$9:$BU$36,$A17,0)</f>
        <v>0.15</v>
      </c>
      <c r="K17" s="241">
        <f>VLOOKUP($J$3,Commited_Actual_1stProject!$E$9:$BU$36,$A17+1,0)</f>
        <v>8</v>
      </c>
      <c r="L17" s="241">
        <f>VLOOKUP($J$3,Commited_Actual_1stProject!$E$9:$BU$36,$A17+2,0)</f>
        <v>2.74</v>
      </c>
      <c r="M17" s="93">
        <f>VLOOKUP($M$3,Commited_Actual_1stProject!$E$9:$BU$36,$A17,0)</f>
        <v>0</v>
      </c>
      <c r="N17" s="241">
        <f>VLOOKUP($M$3,Commited_Actual_1stProject!$E$9:$BU$36,$A17+1,0)</f>
        <v>0</v>
      </c>
      <c r="O17" s="241">
        <f>VLOOKUP($M$3,Commited_Actual_1stProject!$E$9:$BU$36,$A17+2,0)</f>
        <v>0</v>
      </c>
      <c r="P17" s="93">
        <f>VLOOKUP($P$3,Commited_Actual_1stProject!$E$9:$BU$36,$A17,0)</f>
        <v>0</v>
      </c>
      <c r="Q17" s="241">
        <f>VLOOKUP($P$3,Commited_Actual_1stProject!$E$9:$BU$36,$A17+1,0)</f>
        <v>0</v>
      </c>
      <c r="R17" s="241">
        <f>VLOOKUP($P$3,Commited_Actual_1stProject!$E$9:$BU$36,$A17+2,0)</f>
        <v>0</v>
      </c>
      <c r="S17" s="93">
        <f>VLOOKUP($S$3,Commited_Actual_1stProject!$E$9:$BU$36,$A17,0)</f>
        <v>0</v>
      </c>
      <c r="T17" s="241">
        <f>VLOOKUP($S$3,Commited_Actual_1stProject!$E$9:$BU$36,$A17+1,0)</f>
        <v>0</v>
      </c>
      <c r="U17" s="241">
        <f>VLOOKUP($S$3,Commited_Actual_1stProject!$E$9:$BU$36,$A17+2,0)</f>
        <v>0</v>
      </c>
      <c r="V17" s="93">
        <f>VLOOKUP($V$3,Commited_Actual_1stProject!$E$9:$BU$36,$A17,0)</f>
        <v>0</v>
      </c>
      <c r="W17" s="241">
        <f>VLOOKUP($V$3,Commited_Actual_1stProject!$E$9:$BU$36,$A17+1,0)</f>
        <v>0</v>
      </c>
      <c r="X17" s="241">
        <f>VLOOKUP($V$3,Commited_Actual_1stProject!$E$9:$BU$36,$A17+2,0)</f>
        <v>0</v>
      </c>
      <c r="Y17" s="93">
        <f>VLOOKUP($Y$3,Commited_Actual_1stProject!$E$9:$BU$36,$A17,0)</f>
        <v>0</v>
      </c>
      <c r="Z17" s="241">
        <f>VLOOKUP($Y$3,Commited_Actual_1stProject!$E$9:$BU$36,$A17+1,0)</f>
        <v>0</v>
      </c>
      <c r="AA17" s="241">
        <f>VLOOKUP($Y$3,Commited_Actual_1stProject!$E$9:$BU$36,$A17+2,0)</f>
        <v>0</v>
      </c>
      <c r="AB17" s="93">
        <f>VLOOKUP($AB$3,Commited_Actual_1stProject!$E$9:$BU$36,$A17,0)</f>
        <v>0</v>
      </c>
      <c r="AC17" s="241">
        <f>VLOOKUP($AB$3,Commited_Actual_1stProject!$E$9:$BU$36,$A17+1,0)</f>
        <v>0</v>
      </c>
      <c r="AD17" s="241">
        <f>VLOOKUP($AB$3,Commited_Actual_1stProject!$E$9:$BU$36,$A17+2,0)</f>
        <v>0</v>
      </c>
      <c r="AE17" s="93">
        <f>VLOOKUP($AE$3,Commited_Actual_1stProject!$E$9:$BU$36,$A17,0)</f>
        <v>0</v>
      </c>
      <c r="AF17" s="241">
        <f>VLOOKUP($AE$3,Commited_Actual_1stProject!$E$9:$BU$36,$A17+1,0)</f>
        <v>0</v>
      </c>
      <c r="AG17" s="241">
        <f>VLOOKUP($AE$3,Commited_Actual_1stProject!$E$9:$BU$36,$A17+2,0)</f>
        <v>0</v>
      </c>
      <c r="AH17" s="93">
        <f>VLOOKUP($AH$3,Commited_Actual_1stProject!$E$9:$BU$36,$A17,0)</f>
        <v>0</v>
      </c>
      <c r="AI17" s="118">
        <f>VLOOKUP($AH$3,Commited_Actual_1stProject!$E$9:$BU$36,$A17+1,0)</f>
        <v>0</v>
      </c>
      <c r="AJ17" s="93">
        <f>VLOOKUP($AH$3,Commited_Actual_1stProject!$E$9:$BU$36,$A17+2,0)</f>
        <v>0</v>
      </c>
      <c r="AK17" s="93">
        <f>VLOOKUP($AK$3,Commited_Actual_1stProject!$E$9:$BU$36,$A17,0)</f>
        <v>0</v>
      </c>
      <c r="AL17" s="118">
        <f>VLOOKUP($AK$3,Commited_Actual_1stProject!$E$9:$BU$36,$A17+1,0)</f>
        <v>0</v>
      </c>
      <c r="AM17" s="118">
        <f>VLOOKUP($AK$3,Commited_Actual_1stProject!$E$9:$BU$36,$A17+2,0)</f>
        <v>0</v>
      </c>
      <c r="AN17" s="93">
        <f>VLOOKUP($AN$3,Commited_Actual_1stProject!$E$9:$BU$36,$A17,0)</f>
        <v>0.15</v>
      </c>
      <c r="AO17" s="93">
        <f>VLOOKUP($AN$3,Commited_Actual_1stProject!$E$9:$BU$36,$A17+1,0)</f>
        <v>0.1</v>
      </c>
      <c r="AP17" s="93">
        <f>VLOOKUP($AN$3,Commited_Actual_1stProject!$E$9:$BU$36,$A17+2,0)</f>
        <v>0.01</v>
      </c>
      <c r="AQ17" s="93">
        <f>VLOOKUP($AQ$3,Commited_Actual_1stProject!$E$9:$BU$36,$A17,0)</f>
        <v>0</v>
      </c>
      <c r="AR17" s="241">
        <f>VLOOKUP($AQ$3,Commited_Actual_1stProject!$E$9:$BU$36,$A17+1,0)</f>
        <v>0</v>
      </c>
      <c r="AS17" s="241">
        <f>VLOOKUP($AQ$3,Commited_Actual_1stProject!$E$9:$BU$36,$A17+2,0)</f>
        <v>0</v>
      </c>
      <c r="AT17" s="93">
        <f>VLOOKUP($AT$3,Commited_Actual_1stProject!$E$9:$BU$36,$A17,0)</f>
        <v>0.2</v>
      </c>
      <c r="AU17" s="93">
        <f>VLOOKUP($AT$3,Commited_Actual_1stProject!$E$9:$BU$36,$A17+1,0)</f>
        <v>0.15</v>
      </c>
      <c r="AV17" s="93">
        <f>VLOOKUP($AT$3,Commited_Actual_1stProject!$E$9:$BU$36,$A17+2,0)</f>
        <v>0.09</v>
      </c>
      <c r="AW17" s="93">
        <f>VLOOKUP($AW$3,Commited_Actual_1stProject!$E$9:$BU$36,$A17,0)</f>
        <v>0</v>
      </c>
      <c r="AX17" s="241">
        <f>VLOOKUP($AW$3,Commited_Actual_1stProject!$E$9:$BU$36,$A17+1,0)</f>
        <v>0</v>
      </c>
      <c r="AY17" s="241">
        <f>VLOOKUP($AW$3,Commited_Actual_1stProject!$E$9:$BU$36,$A17+2,0)</f>
        <v>0</v>
      </c>
      <c r="AZ17" s="93">
        <f>VLOOKUP($AZ$3,Commited_Actual_1stProject!$E$9:$BU$36,$A17,0)</f>
        <v>0</v>
      </c>
      <c r="BA17" s="241">
        <f>VLOOKUP($AZ$3,Commited_Actual_1stProject!$E$9:$BU$36,$A17+1,0)</f>
        <v>0</v>
      </c>
      <c r="BB17" s="241">
        <f>VLOOKUP($AZ$3,Commited_Actual_1stProject!$E$9:$BU$36,$A17+2,0)</f>
        <v>0</v>
      </c>
      <c r="BC17" s="93">
        <f>VLOOKUP($BC$3,Commited_Actual_1stProject!$E$9:$BU$36,$A17,0)</f>
        <v>0</v>
      </c>
      <c r="BD17" s="118">
        <f>VLOOKUP($BC$3,Commited_Actual_1stProject!$E$9:$BU$36,$A17+1,0)</f>
        <v>0</v>
      </c>
      <c r="BE17" s="118">
        <f>VLOOKUP($BC$3,Commited_Actual_1stProject!$E$9:$BU$36,$A17+2,0)</f>
        <v>0</v>
      </c>
      <c r="BF17" s="93"/>
      <c r="BG17" s="241"/>
      <c r="BH17" s="241"/>
      <c r="BI17" s="93">
        <f>VLOOKUP($BI$3,Commited_Actual_1stProject!$E$9:$BU$36,$A17,0)</f>
        <v>0</v>
      </c>
      <c r="BJ17" s="241">
        <f>VLOOKUP($BI$3,Commited_Actual_1stProject!$E$9:$BU$36,$A17+1,0)</f>
        <v>0</v>
      </c>
      <c r="BK17" s="241">
        <f>VLOOKUP($BI$3,Commited_Actual_1stProject!$E$9:$BU$36,$A17+2,0)</f>
        <v>0</v>
      </c>
      <c r="BL17" s="93">
        <f>VLOOKUP($BL$3,Commited_Actual_1stProject!$E$9:$BU$36,$A17,0)</f>
        <v>0.04</v>
      </c>
      <c r="BM17" s="241">
        <f>VLOOKUP($BL$3,Commited_Actual_1stProject!$E$9:$BU$36,$A17+1,0)</f>
        <v>3</v>
      </c>
      <c r="BN17" s="241" t="str">
        <f>VLOOKUP($BL$3,Commited_Actual_1stProject!$E$9:$BU$36,$A17+2,0)</f>
        <v> 4</v>
      </c>
      <c r="BO17" s="93">
        <f>VLOOKUP($BO$3,Commited_Actual_1stProject!$E$9:$BU$36,$A17,0)</f>
        <v>0.03</v>
      </c>
      <c r="BP17" s="241">
        <f>VLOOKUP($BO$3,Commited_Actual_1stProject!$E$9:$BU$36,$A17+1,0)</f>
        <v>3</v>
      </c>
      <c r="BQ17" s="241" t="str">
        <f>VLOOKUP($BO$3,Commited_Actual_1stProject!$E$9:$BU$36,$A17+2,0)</f>
        <v> 4</v>
      </c>
      <c r="BR17" s="93">
        <f>VLOOKUP($BR$3,Commited_Actual_1stProject!$E$9:$BU$36,$A17,0)</f>
        <v>0.03</v>
      </c>
      <c r="BS17" s="241">
        <f>VLOOKUP($BR$3,Commited_Actual_1stProject!$E$9:$BU$36,$A17+1,0)</f>
        <v>3</v>
      </c>
      <c r="BT17" s="241">
        <f>VLOOKUP($BR$3,Commited_Actual_1stProject!$E$9:$BU$36,$A17+2,0)</f>
        <v>4</v>
      </c>
      <c r="BU17" s="93">
        <f>VLOOKUP($BU$3,Commited_Actual_1stProject!$E$9:$BU$36,$A17,0)</f>
        <v>0.05</v>
      </c>
      <c r="BV17" s="241">
        <f>VLOOKUP($BU$3,Commited_Actual_1stProject!$E$9:$BU$36,$A17+1,0)</f>
        <v>3</v>
      </c>
      <c r="BW17" s="241">
        <f>VLOOKUP($BU$3,Commited_Actual_1stProject!$E$9:$BU$36,$A17+2,0)</f>
        <v>4</v>
      </c>
      <c r="BX17" s="93">
        <f>VLOOKUP($BX$3,Commited_Actual_1stProject!$E$9:$BU$36,$A17,0)</f>
        <v>0.05</v>
      </c>
      <c r="BY17" s="241">
        <f>VLOOKUP($BX$3,Commited_Actual_1stProject!$E$9:$BU$36,$A17+1,0)</f>
        <v>3</v>
      </c>
      <c r="BZ17" s="241">
        <f>VLOOKUP($BX$3,Commited_Actual_1stProject!$E$9:$BU$36,$A17+2,0)</f>
        <v>4</v>
      </c>
      <c r="CA17" s="93">
        <f>VLOOKUP($CA$3,Commited_Actual_1stProject!$E$9:$BU$36,$A17,0)</f>
        <v>0.05</v>
      </c>
      <c r="CB17" s="241">
        <f>VLOOKUP($CA$3,Commited_Actual_1stProject!$E$9:$BU$36,$A17+1,0)</f>
        <v>3</v>
      </c>
      <c r="CC17" s="241">
        <f>VLOOKUP($CA$3,Commited_Actual_1stProject!$E$9:$BU$36,$A17+2,0)</f>
        <v>4</v>
      </c>
      <c r="CD17" s="93"/>
      <c r="CE17" s="241"/>
      <c r="CF17" s="241"/>
      <c r="CG17" s="93"/>
      <c r="CH17" s="241"/>
      <c r="CI17" s="241"/>
      <c r="CJ17" s="93">
        <f>VLOOKUP($CJ$3,Commited_Actual_1stProject!$E$9:$BU$36,$A17,0)</f>
        <v>0.05</v>
      </c>
      <c r="CK17" s="241">
        <f>VLOOKUP($CJ$3,Commited_Actual_1stProject!$E$9:$BU$36,$A17+1,0)</f>
        <v>3</v>
      </c>
      <c r="CL17" s="241">
        <f>VLOOKUP($CJ$3,Commited_Actual_1stProject!$E$9:$BU$36,$A17+2,0)</f>
        <v>3</v>
      </c>
      <c r="CM17" s="93"/>
      <c r="CN17" s="241"/>
      <c r="CO17" s="241"/>
      <c r="CP17" s="93"/>
      <c r="CQ17" s="241"/>
      <c r="CR17" s="241"/>
      <c r="CS17" s="93">
        <f>VLOOKUP($CS$3,Commited_Actual_1stProject!$E$9:$BU$36,$A17,0)</f>
        <v>0</v>
      </c>
      <c r="CT17" s="241">
        <f>VLOOKUP($CS$3,Commited_Actual_1stProject!$E$9:$BU$36,$A17+1,0)</f>
        <v>0</v>
      </c>
      <c r="CU17" s="241">
        <f>VLOOKUP($CS$3,Commited_Actual_1stProject!$E$9:$BU$36,$A17+2,0)</f>
        <v>0</v>
      </c>
      <c r="CV17" s="93"/>
      <c r="CW17" s="241"/>
      <c r="CX17" s="241"/>
      <c r="CY17" s="93"/>
      <c r="CZ17" s="241"/>
      <c r="DA17" s="241"/>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5"/>
      <c r="FB17" s="96"/>
      <c r="FC17" s="96"/>
      <c r="FD17" s="95"/>
      <c r="FE17" s="96"/>
      <c r="FF17" s="96"/>
      <c r="FG17" s="95"/>
      <c r="FH17" s="96"/>
      <c r="FI17" s="96"/>
      <c r="FJ17" s="95"/>
      <c r="FK17" s="96"/>
      <c r="FL17" s="96"/>
      <c r="FM17" s="95"/>
      <c r="FN17" s="96"/>
      <c r="FO17" s="96"/>
      <c r="FP17" s="95"/>
      <c r="FQ17" s="96"/>
      <c r="FR17" s="96"/>
      <c r="FS17" s="95"/>
      <c r="FT17" s="96"/>
      <c r="FU17" s="96"/>
      <c r="FV17" s="93"/>
      <c r="FW17" s="94"/>
      <c r="FX17" s="94"/>
      <c r="FY17" s="93"/>
      <c r="FZ17" s="94"/>
      <c r="GA17" s="94"/>
      <c r="GB17" s="95"/>
      <c r="GC17" s="94"/>
      <c r="GD17" s="94"/>
      <c r="GE17" s="95"/>
      <c r="GF17" s="94"/>
      <c r="GG17" s="94"/>
      <c r="GH17" s="95"/>
      <c r="GI17" s="94"/>
      <c r="GJ17" s="94"/>
      <c r="GK17" s="95"/>
      <c r="GL17" s="94"/>
      <c r="GM17" s="94"/>
      <c r="GN17" s="95"/>
      <c r="GO17" s="94"/>
      <c r="GP17" s="94"/>
      <c r="GQ17" s="93"/>
      <c r="GR17" s="94"/>
      <c r="GS17" s="94"/>
      <c r="GT17" s="95"/>
      <c r="GU17" s="96"/>
      <c r="GV17" s="96"/>
      <c r="GW17" s="95"/>
      <c r="GX17" s="96"/>
      <c r="GY17" s="96"/>
      <c r="GZ17" s="95"/>
      <c r="HA17" s="96"/>
      <c r="HB17" s="96"/>
      <c r="HC17" s="95"/>
      <c r="HD17" s="96"/>
      <c r="HE17" s="96"/>
      <c r="HF17" s="95"/>
      <c r="HG17" s="96"/>
      <c r="HH17" s="96"/>
      <c r="HI17" s="95"/>
      <c r="HJ17" s="96"/>
      <c r="HK17" s="96"/>
      <c r="HL17" s="95"/>
      <c r="HM17" s="96"/>
      <c r="HN17" s="96"/>
      <c r="HO17" s="95"/>
      <c r="HP17" s="96"/>
      <c r="HQ17" s="96"/>
      <c r="HR17" s="95"/>
      <c r="HS17" s="96"/>
      <c r="HT17" s="96"/>
      <c r="HU17" s="95"/>
      <c r="HV17" s="96"/>
      <c r="HW17" s="96"/>
      <c r="HX17" s="93"/>
      <c r="HY17" s="94"/>
      <c r="HZ17" s="94"/>
      <c r="IA17" s="93"/>
      <c r="IB17" s="94"/>
      <c r="IC17" s="94"/>
      <c r="ID17" s="95"/>
      <c r="IE17" s="94"/>
      <c r="IF17" s="94"/>
      <c r="IG17" s="95"/>
      <c r="IH17" s="94"/>
      <c r="II17" s="94"/>
      <c r="IJ17" s="95"/>
      <c r="IK17" s="94"/>
      <c r="IL17" s="94"/>
      <c r="IM17" s="95"/>
      <c r="IN17" s="94"/>
      <c r="IO17" s="94"/>
      <c r="IP17" s="95"/>
      <c r="IQ17" s="94"/>
      <c r="IR17" s="94"/>
      <c r="IS17" s="93"/>
      <c r="IT17" s="94"/>
      <c r="IU17" s="94"/>
      <c r="IV17" s="95"/>
      <c r="IW17" s="96"/>
      <c r="IX17" s="96"/>
      <c r="IY17" s="95"/>
      <c r="IZ17" s="96"/>
      <c r="JA17" s="96"/>
      <c r="JB17" s="95"/>
      <c r="JC17" s="96"/>
      <c r="JD17" s="96"/>
      <c r="JE17" s="95"/>
      <c r="JF17" s="96"/>
      <c r="JG17" s="96"/>
      <c r="JH17" s="95"/>
      <c r="JI17" s="96"/>
      <c r="JJ17" s="96"/>
      <c r="JK17" s="95"/>
      <c r="JL17" s="96"/>
      <c r="JM17" s="96"/>
      <c r="JN17" s="95"/>
      <c r="JO17" s="96"/>
      <c r="JP17" s="96"/>
      <c r="JQ17" s="95"/>
      <c r="JR17" s="96"/>
      <c r="JS17" s="96"/>
      <c r="JT17" s="95"/>
      <c r="JU17" s="96"/>
      <c r="JV17" s="96"/>
      <c r="JW17" s="95"/>
      <c r="JX17" s="96"/>
      <c r="JY17" s="96"/>
    </row>
    <row r="18" spans="1:285">
      <c r="A18" s="18">
        <v>62</v>
      </c>
      <c r="C18" s="6">
        <v>13</v>
      </c>
      <c r="D18" s="186" t="s">
        <v>316</v>
      </c>
      <c r="E18" s="24" t="s">
        <v>308</v>
      </c>
      <c r="F18" s="5" t="s">
        <v>33</v>
      </c>
      <c r="G18" s="93">
        <f>VLOOKUP($G$3,Commited_Actual_1stProject!$E$9:$BU$36,$A18,0)</f>
        <v>0</v>
      </c>
      <c r="H18" s="241">
        <f>VLOOKUP($G$3,Commited_Actual_1stProject!$E$9:$BU$36,$A18+1,0)</f>
        <v>0</v>
      </c>
      <c r="I18" s="241">
        <f>VLOOKUP($G$3,Commited_Actual_1stProject!$E$9:$BU$36,$A18+2,0)</f>
        <v>0</v>
      </c>
      <c r="J18" s="93">
        <f>VLOOKUP($J$3,Commited_Actual_1stProject!$E$9:$BU$36,$A18,0)</f>
        <v>0</v>
      </c>
      <c r="K18" s="241">
        <f>VLOOKUP($J$3,Commited_Actual_1stProject!$E$9:$BU$36,$A18+1,0)</f>
        <v>0</v>
      </c>
      <c r="L18" s="241">
        <f>VLOOKUP($J$3,Commited_Actual_1stProject!$E$9:$BU$36,$A18+2,0)</f>
        <v>0</v>
      </c>
      <c r="M18" s="93">
        <f>VLOOKUP($M$3,Commited_Actual_1stProject!$E$9:$BU$36,$A18,0)</f>
        <v>0.25</v>
      </c>
      <c r="N18" s="241">
        <f>VLOOKUP($M$3,Commited_Actual_1stProject!$E$9:$BU$36,$A18+1,0)</f>
        <v>8</v>
      </c>
      <c r="O18" s="241">
        <f>VLOOKUP($M$3,Commited_Actual_1stProject!$E$9:$BU$36,$A18+2,0)</f>
        <v>9.14</v>
      </c>
      <c r="P18" s="93">
        <f>VLOOKUP($P$3,Commited_Actual_1stProject!$E$9:$BU$36,$A18,0)</f>
        <v>0.25</v>
      </c>
      <c r="Q18" s="241">
        <f>VLOOKUP($P$3,Commited_Actual_1stProject!$E$9:$BU$36,$A18+1,0)</f>
        <v>5</v>
      </c>
      <c r="R18" s="241">
        <f>VLOOKUP($P$3,Commited_Actual_1stProject!$E$9:$BU$36,$A18+2,0)</f>
        <v>6.89</v>
      </c>
      <c r="S18" s="93">
        <f>VLOOKUP($S$3,Commited_Actual_1stProject!$E$9:$BU$36,$A18,0)</f>
        <v>0</v>
      </c>
      <c r="T18" s="241">
        <f>VLOOKUP($S$3,Commited_Actual_1stProject!$E$9:$BU$36,$A18+1,0)</f>
        <v>0</v>
      </c>
      <c r="U18" s="241">
        <f>VLOOKUP($S$3,Commited_Actual_1stProject!$E$9:$BU$36,$A18+2,0)</f>
        <v>0</v>
      </c>
      <c r="V18" s="93">
        <f>VLOOKUP($V$3,Commited_Actual_1stProject!$E$9:$BU$36,$A18,0)</f>
        <v>0</v>
      </c>
      <c r="W18" s="241">
        <f>VLOOKUP($V$3,Commited_Actual_1stProject!$E$9:$BU$36,$A18+1,0)</f>
        <v>0</v>
      </c>
      <c r="X18" s="241">
        <f>VLOOKUP($V$3,Commited_Actual_1stProject!$E$9:$BU$36,$A18+2,0)</f>
        <v>0</v>
      </c>
      <c r="Y18" s="93">
        <f>VLOOKUP($Y$3,Commited_Actual_1stProject!$E$9:$BU$36,$A18,0)</f>
        <v>0</v>
      </c>
      <c r="Z18" s="241">
        <f>VLOOKUP($Y$3,Commited_Actual_1stProject!$E$9:$BU$36,$A18+1,0)</f>
        <v>0</v>
      </c>
      <c r="AA18" s="241">
        <f>VLOOKUP($Y$3,Commited_Actual_1stProject!$E$9:$BU$36,$A18+2,0)</f>
        <v>0</v>
      </c>
      <c r="AB18" s="93">
        <f>VLOOKUP($AB$3,Commited_Actual_1stProject!$E$9:$BU$36,$A18,0)</f>
        <v>0</v>
      </c>
      <c r="AC18" s="241">
        <f>VLOOKUP($AB$3,Commited_Actual_1stProject!$E$9:$BU$36,$A18+1,0)</f>
        <v>0</v>
      </c>
      <c r="AD18" s="241">
        <f>VLOOKUP($AB$3,Commited_Actual_1stProject!$E$9:$BU$36,$A18+2,0)</f>
        <v>0</v>
      </c>
      <c r="AE18" s="93">
        <f>VLOOKUP($AE$3,Commited_Actual_1stProject!$E$9:$BU$36,$A18,0)</f>
        <v>0</v>
      </c>
      <c r="AF18" s="241">
        <f>VLOOKUP($AE$3,Commited_Actual_1stProject!$E$9:$BU$36,$A18+1,0)</f>
        <v>0</v>
      </c>
      <c r="AG18" s="241">
        <f>VLOOKUP($AE$3,Commited_Actual_1stProject!$E$9:$BU$36,$A18+2,0)</f>
        <v>0</v>
      </c>
      <c r="AH18" s="93">
        <f>VLOOKUP($AH$3,Commited_Actual_1stProject!$E$9:$BU$36,$A18,0)</f>
        <v>0.15</v>
      </c>
      <c r="AI18" s="118">
        <f>VLOOKUP($AH$3,Commited_Actual_1stProject!$E$9:$BU$36,$A18+1,0)</f>
        <v>0.05</v>
      </c>
      <c r="AJ18" s="93">
        <f>VLOOKUP($AH$3,Commited_Actual_1stProject!$E$9:$BU$36,$A18+2,0)</f>
        <v>0</v>
      </c>
      <c r="AK18" s="93">
        <f>VLOOKUP($AK$3,Commited_Actual_1stProject!$E$9:$BU$36,$A18,0)</f>
        <v>0</v>
      </c>
      <c r="AL18" s="118">
        <f>VLOOKUP($AK$3,Commited_Actual_1stProject!$E$9:$BU$36,$A18+1,0)</f>
        <v>0</v>
      </c>
      <c r="AM18" s="118">
        <f>VLOOKUP($AK$3,Commited_Actual_1stProject!$E$9:$BU$36,$A18+2,0)</f>
        <v>0</v>
      </c>
      <c r="AN18" s="93">
        <f>VLOOKUP($AN$3,Commited_Actual_1stProject!$E$9:$BU$36,$A18,0)</f>
        <v>0</v>
      </c>
      <c r="AO18" s="93">
        <f>VLOOKUP($AN$3,Commited_Actual_1stProject!$E$9:$BU$36,$A18+1,0)</f>
        <v>0</v>
      </c>
      <c r="AP18" s="93">
        <f>VLOOKUP($AN$3,Commited_Actual_1stProject!$E$9:$BU$36,$A18+2,0)</f>
        <v>0</v>
      </c>
      <c r="AQ18" s="93">
        <f>VLOOKUP($AQ$3,Commited_Actual_1stProject!$E$9:$BU$36,$A18,0)</f>
        <v>0</v>
      </c>
      <c r="AR18" s="241">
        <f>VLOOKUP($AQ$3,Commited_Actual_1stProject!$E$9:$BU$36,$A18+1,0)</f>
        <v>0</v>
      </c>
      <c r="AS18" s="241">
        <f>VLOOKUP($AQ$3,Commited_Actual_1stProject!$E$9:$BU$36,$A18+2,0)</f>
        <v>0</v>
      </c>
      <c r="AT18" s="93">
        <f>VLOOKUP($AT$3,Commited_Actual_1stProject!$E$9:$BU$36,$A18,0)</f>
        <v>0</v>
      </c>
      <c r="AU18" s="93">
        <f>VLOOKUP($AT$3,Commited_Actual_1stProject!$E$9:$BU$36,$A18+1,0)</f>
        <v>0</v>
      </c>
      <c r="AV18" s="93">
        <f>VLOOKUP($AT$3,Commited_Actual_1stProject!$E$9:$BU$36,$A18+2,0)</f>
        <v>0</v>
      </c>
      <c r="AW18" s="93">
        <f>VLOOKUP($AW$3,Commited_Actual_1stProject!$E$9:$BU$36,$A18,0)</f>
        <v>0</v>
      </c>
      <c r="AX18" s="241">
        <f>VLOOKUP($AW$3,Commited_Actual_1stProject!$E$9:$BU$36,$A18+1,0)</f>
        <v>0</v>
      </c>
      <c r="AY18" s="241">
        <f>VLOOKUP($AW$3,Commited_Actual_1stProject!$E$9:$BU$36,$A18+2,0)</f>
        <v>0</v>
      </c>
      <c r="AZ18" s="93">
        <f>VLOOKUP($AZ$3,Commited_Actual_1stProject!$E$9:$BU$36,$A18,0)</f>
        <v>0.15</v>
      </c>
      <c r="BA18" s="241">
        <f>VLOOKUP($AZ$3,Commited_Actual_1stProject!$E$9:$BU$36,$A18+1,0)</f>
        <v>0.1</v>
      </c>
      <c r="BB18" s="241">
        <f>VLOOKUP($AZ$3,Commited_Actual_1stProject!$E$9:$BU$36,$A18+2,0)</f>
        <v>0.15</v>
      </c>
      <c r="BC18" s="93">
        <f>VLOOKUP($BC$3,Commited_Actual_1stProject!$E$9:$BU$36,$A18,0)</f>
        <v>0</v>
      </c>
      <c r="BD18" s="118">
        <f>VLOOKUP($BC$3,Commited_Actual_1stProject!$E$9:$BU$36,$A18+1,0)</f>
        <v>0</v>
      </c>
      <c r="BE18" s="118">
        <f>VLOOKUP($BC$3,Commited_Actual_1stProject!$E$9:$BU$36,$A18+2,0)</f>
        <v>0</v>
      </c>
      <c r="BF18" s="93"/>
      <c r="BG18" s="241"/>
      <c r="BH18" s="241"/>
      <c r="BI18" s="93">
        <f>VLOOKUP($BI$3,Commited_Actual_1stProject!$E$9:$BU$36,$A18,0)</f>
        <v>0.04</v>
      </c>
      <c r="BJ18" s="241">
        <f>VLOOKUP($BI$3,Commited_Actual_1stProject!$E$9:$BU$36,$A18+1,0)</f>
        <v>550</v>
      </c>
      <c r="BK18" s="241">
        <f>VLOOKUP($BI$3,Commited_Actual_1stProject!$E$9:$BU$36,$A18+2,0)</f>
        <v>0</v>
      </c>
      <c r="BL18" s="93">
        <f>VLOOKUP($BL$3,Commited_Actual_1stProject!$E$9:$BU$36,$A18,0)</f>
        <v>0.04</v>
      </c>
      <c r="BM18" s="241">
        <f>VLOOKUP($BL$3,Commited_Actual_1stProject!$E$9:$BU$36,$A18+1,0)</f>
        <v>3</v>
      </c>
      <c r="BN18" s="241">
        <f>VLOOKUP($BL$3,Commited_Actual_1stProject!$E$9:$BU$36,$A18+2,0)</f>
        <v>3</v>
      </c>
      <c r="BO18" s="93">
        <f>VLOOKUP($BO$3,Commited_Actual_1stProject!$E$9:$BU$36,$A18,0)</f>
        <v>0.03</v>
      </c>
      <c r="BP18" s="241">
        <f>VLOOKUP($BO$3,Commited_Actual_1stProject!$E$9:$BU$36,$A18+1,0)</f>
        <v>3</v>
      </c>
      <c r="BQ18" s="241">
        <f>VLOOKUP($BO$3,Commited_Actual_1stProject!$E$9:$BU$36,$A18+2,0)</f>
        <v>3</v>
      </c>
      <c r="BR18" s="93">
        <f>VLOOKUP($BR$3,Commited_Actual_1stProject!$E$9:$BU$36,$A18,0)</f>
        <v>0.03</v>
      </c>
      <c r="BS18" s="241">
        <f>VLOOKUP($BR$3,Commited_Actual_1stProject!$E$9:$BU$36,$A18+1,0)</f>
        <v>3</v>
      </c>
      <c r="BT18" s="241" t="str">
        <f>VLOOKUP($BR$3,Commited_Actual_1stProject!$E$9:$BU$36,$A18+2,0)</f>
        <v> 4</v>
      </c>
      <c r="BU18" s="93">
        <f>VLOOKUP($BU$3,Commited_Actual_1stProject!$E$9:$BU$36,$A18,0)</f>
        <v>0</v>
      </c>
      <c r="BV18" s="241">
        <f>VLOOKUP($BU$3,Commited_Actual_1stProject!$E$9:$BU$36,$A18+1,0)</f>
        <v>0</v>
      </c>
      <c r="BW18" s="241">
        <f>VLOOKUP($BU$3,Commited_Actual_1stProject!$E$9:$BU$36,$A18+2,0)</f>
        <v>0</v>
      </c>
      <c r="BX18" s="93">
        <f>VLOOKUP($BX$3,Commited_Actual_1stProject!$E$9:$BU$36,$A18,0)</f>
        <v>0.03</v>
      </c>
      <c r="BY18" s="241">
        <f>VLOOKUP($BX$3,Commited_Actual_1stProject!$E$9:$BU$36,$A18+1,0)</f>
        <v>3</v>
      </c>
      <c r="BZ18" s="241" t="str">
        <f>VLOOKUP($BX$3,Commited_Actual_1stProject!$E$9:$BU$36,$A18+2,0)</f>
        <v> 3</v>
      </c>
      <c r="CA18" s="93">
        <f>VLOOKUP($CA$3,Commited_Actual_1stProject!$E$9:$BU$36,$A18,0)</f>
        <v>0.03</v>
      </c>
      <c r="CB18" s="241">
        <f>VLOOKUP($CA$3,Commited_Actual_1stProject!$E$9:$BU$36,$A18+1,0)</f>
        <v>3</v>
      </c>
      <c r="CC18" s="241">
        <f>VLOOKUP($CA$3,Commited_Actual_1stProject!$E$9:$BU$36,$A18+2,0)</f>
        <v>4</v>
      </c>
      <c r="CD18" s="93"/>
      <c r="CE18" s="241"/>
      <c r="CF18" s="241"/>
      <c r="CG18" s="93"/>
      <c r="CH18" s="241"/>
      <c r="CI18" s="241"/>
      <c r="CJ18" s="93">
        <f>VLOOKUP($CJ$3,Commited_Actual_1stProject!$E$9:$BU$36,$A18,0)</f>
        <v>0</v>
      </c>
      <c r="CK18" s="241">
        <f>VLOOKUP($CJ$3,Commited_Actual_1stProject!$E$9:$BU$36,$A18+1,0)</f>
        <v>0</v>
      </c>
      <c r="CL18" s="241">
        <f>VLOOKUP($CJ$3,Commited_Actual_1stProject!$E$9:$BU$36,$A18+2,0)</f>
        <v>0</v>
      </c>
      <c r="CM18" s="93"/>
      <c r="CN18" s="241"/>
      <c r="CO18" s="241"/>
      <c r="CP18" s="93"/>
      <c r="CQ18" s="241"/>
      <c r="CR18" s="241"/>
      <c r="CS18" s="93">
        <f>VLOOKUP($CS$3,Commited_Actual_1stProject!$E$9:$BU$36,$A18,0)</f>
        <v>0</v>
      </c>
      <c r="CT18" s="241">
        <f>VLOOKUP($CS$3,Commited_Actual_1stProject!$E$9:$BU$36,$A18+1,0)</f>
        <v>0</v>
      </c>
      <c r="CU18" s="241">
        <f>VLOOKUP($CS$3,Commited_Actual_1stProject!$E$9:$BU$36,$A18+2,0)</f>
        <v>0</v>
      </c>
      <c r="CV18" s="93"/>
      <c r="CW18" s="241"/>
      <c r="CX18" s="241"/>
      <c r="CY18" s="93"/>
      <c r="CZ18" s="241"/>
      <c r="DA18" s="241"/>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5"/>
      <c r="FB18" s="5"/>
      <c r="FC18" s="5"/>
      <c r="FD18" s="5"/>
      <c r="FE18" s="5"/>
      <c r="FF18" s="5"/>
      <c r="FG18" s="5"/>
      <c r="FH18" s="5"/>
      <c r="FI18" s="5"/>
      <c r="FJ18" s="5"/>
      <c r="FK18" s="5"/>
      <c r="FL18" s="5"/>
      <c r="FM18" s="5"/>
      <c r="FN18" s="5"/>
      <c r="FO18" s="5"/>
      <c r="FP18" s="5"/>
      <c r="FQ18" s="5"/>
      <c r="FR18" s="5"/>
      <c r="FS18" s="5"/>
      <c r="FT18" s="5"/>
      <c r="FU18" s="5"/>
      <c r="FV18" s="5"/>
      <c r="FW18" s="236"/>
      <c r="FX18" s="236"/>
      <c r="FY18" s="5"/>
      <c r="FZ18" s="236"/>
      <c r="GA18" s="236"/>
      <c r="GB18" s="5"/>
      <c r="GC18" s="236"/>
      <c r="GD18" s="236"/>
      <c r="GE18" s="5"/>
      <c r="GF18" s="236"/>
      <c r="GG18" s="236"/>
      <c r="GH18" s="5"/>
      <c r="GI18" s="236"/>
      <c r="GJ18" s="236"/>
      <c r="GK18" s="5"/>
      <c r="GL18" s="236"/>
      <c r="GM18" s="236"/>
      <c r="GN18" s="5"/>
      <c r="GO18" s="236"/>
      <c r="GP18" s="236"/>
      <c r="GQ18" s="5"/>
      <c r="GR18" s="236"/>
      <c r="GS18" s="236"/>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236"/>
      <c r="HZ18" s="236"/>
      <c r="IA18" s="5"/>
      <c r="IB18" s="236"/>
      <c r="IC18" s="236"/>
      <c r="ID18" s="5"/>
      <c r="IE18" s="236"/>
      <c r="IF18" s="236"/>
      <c r="IG18" s="5"/>
      <c r="IH18" s="236"/>
      <c r="II18" s="236"/>
      <c r="IJ18" s="5"/>
      <c r="IK18" s="236"/>
      <c r="IL18" s="236"/>
      <c r="IM18" s="5"/>
      <c r="IN18" s="236"/>
      <c r="IO18" s="236"/>
      <c r="IP18" s="5"/>
      <c r="IQ18" s="236"/>
      <c r="IR18" s="236"/>
      <c r="IS18" s="5"/>
      <c r="IT18" s="236"/>
      <c r="IU18" s="236"/>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row>
    <row r="19" spans="1:285">
      <c r="F19" s="74"/>
      <c r="G19" s="113"/>
    </row>
    <row r="25" spans="1:285">
      <c r="C25" s="5"/>
      <c r="D25" s="19" t="s">
        <v>354</v>
      </c>
      <c r="E25" s="19" t="s">
        <v>357</v>
      </c>
      <c r="F25" s="19" t="s">
        <v>355</v>
      </c>
      <c r="G25" s="19" t="s">
        <v>356</v>
      </c>
      <c r="H25"/>
      <c r="J25" s="76"/>
      <c r="K25"/>
      <c r="M25" s="76"/>
      <c r="N25"/>
      <c r="P25" s="76"/>
      <c r="Q25"/>
      <c r="S25" s="76"/>
      <c r="T25"/>
      <c r="V25" s="76"/>
      <c r="W25"/>
      <c r="Y25" s="76"/>
      <c r="Z25"/>
      <c r="AB25" s="76"/>
      <c r="AC25"/>
      <c r="AD25"/>
      <c r="CU25" s="76"/>
      <c r="CV25" s="76"/>
      <c r="CW25"/>
      <c r="CY25" s="76"/>
      <c r="CZ25"/>
      <c r="DB25" s="76"/>
      <c r="DC25"/>
      <c r="DE25" s="76"/>
      <c r="DF25"/>
      <c r="DH25" s="76"/>
      <c r="DI25"/>
      <c r="DK25" s="76"/>
      <c r="DL25"/>
      <c r="DN25" s="76"/>
      <c r="DO25"/>
      <c r="DQ25" s="76"/>
      <c r="DR25"/>
      <c r="DT25" s="76"/>
      <c r="DU25"/>
      <c r="DW25" s="76"/>
      <c r="DX25"/>
      <c r="DY25"/>
    </row>
    <row r="26" spans="1:285">
      <c r="C26" s="5" t="s">
        <v>329</v>
      </c>
      <c r="D26" s="19">
        <v>22</v>
      </c>
      <c r="E26" s="19">
        <v>7</v>
      </c>
      <c r="F26" s="19"/>
      <c r="G26" s="19"/>
      <c r="H26"/>
      <c r="J26" s="76"/>
      <c r="K26"/>
      <c r="M26" s="76"/>
      <c r="N26"/>
      <c r="P26" s="76"/>
      <c r="Q26"/>
      <c r="S26" s="76"/>
      <c r="T26"/>
      <c r="V26" s="76"/>
      <c r="W26"/>
      <c r="Y26" s="76"/>
      <c r="Z26"/>
      <c r="AB26" s="76"/>
      <c r="AC26"/>
      <c r="AD26"/>
      <c r="CU26" s="76"/>
      <c r="CV26" s="76"/>
      <c r="CW26"/>
      <c r="CY26" s="76"/>
      <c r="CZ26"/>
      <c r="DB26" s="76"/>
      <c r="DC26"/>
      <c r="DE26" s="76"/>
      <c r="DF26"/>
      <c r="DH26" s="76"/>
      <c r="DI26"/>
      <c r="DK26" s="76"/>
      <c r="DL26"/>
      <c r="DN26" s="76"/>
      <c r="DO26"/>
      <c r="DQ26" s="76"/>
      <c r="DR26"/>
      <c r="DT26" s="76"/>
      <c r="DU26"/>
      <c r="DW26" s="76"/>
      <c r="DX26"/>
      <c r="DY26"/>
    </row>
    <row r="27" spans="1:285">
      <c r="C27" s="5" t="s">
        <v>350</v>
      </c>
      <c r="D27" s="19">
        <v>67</v>
      </c>
      <c r="E27" s="19">
        <v>12</v>
      </c>
      <c r="F27" s="19">
        <v>7</v>
      </c>
      <c r="G27" s="19">
        <v>7</v>
      </c>
      <c r="H27"/>
      <c r="J27" s="76"/>
      <c r="K27"/>
      <c r="M27" s="76"/>
      <c r="N27"/>
      <c r="P27" s="76"/>
      <c r="Q27"/>
      <c r="S27" s="76"/>
      <c r="T27"/>
      <c r="V27" s="76"/>
      <c r="W27"/>
      <c r="Y27" s="76"/>
      <c r="Z27"/>
      <c r="AB27" s="76"/>
      <c r="AC27"/>
      <c r="AD27"/>
      <c r="CU27" s="76"/>
      <c r="CV27" s="76"/>
      <c r="CW27"/>
      <c r="CY27" s="76"/>
      <c r="CZ27"/>
      <c r="DB27" s="76"/>
      <c r="DC27"/>
      <c r="DE27" s="76"/>
      <c r="DF27"/>
      <c r="DH27" s="76"/>
      <c r="DI27"/>
      <c r="DK27" s="76"/>
      <c r="DL27"/>
      <c r="DN27" s="76"/>
      <c r="DO27"/>
      <c r="DQ27" s="76"/>
      <c r="DR27"/>
      <c r="DT27" s="76"/>
      <c r="DU27"/>
      <c r="DW27" s="76"/>
      <c r="DX27"/>
      <c r="DY27"/>
    </row>
    <row r="28" spans="1:285">
      <c r="C28" s="5" t="s">
        <v>351</v>
      </c>
      <c r="D28" s="19">
        <v>32</v>
      </c>
      <c r="E28" s="19">
        <v>22</v>
      </c>
      <c r="F28" s="19"/>
      <c r="G28" s="19"/>
      <c r="H28"/>
      <c r="J28" s="76"/>
      <c r="K28"/>
      <c r="M28" s="76"/>
      <c r="N28"/>
      <c r="P28" s="76"/>
      <c r="Q28"/>
      <c r="S28" s="76"/>
      <c r="T28"/>
      <c r="V28" s="76"/>
      <c r="W28"/>
      <c r="Y28" s="76"/>
      <c r="Z28"/>
      <c r="AB28" s="76"/>
      <c r="AC28"/>
      <c r="AD28"/>
      <c r="CU28" s="76"/>
      <c r="CV28" s="76"/>
      <c r="CW28"/>
      <c r="CY28" s="76"/>
      <c r="CZ28"/>
      <c r="DB28" s="76"/>
      <c r="DC28"/>
      <c r="DE28" s="76"/>
      <c r="DF28"/>
      <c r="DH28" s="76"/>
      <c r="DI28"/>
      <c r="DK28" s="76"/>
      <c r="DL28"/>
      <c r="DN28" s="76"/>
      <c r="DO28"/>
      <c r="DQ28" s="76"/>
      <c r="DR28"/>
      <c r="DT28" s="76"/>
      <c r="DU28"/>
      <c r="DW28" s="76"/>
      <c r="DX28"/>
      <c r="DY28"/>
    </row>
    <row r="29" spans="1:285">
      <c r="C29" s="5" t="s">
        <v>352</v>
      </c>
      <c r="D29" s="19">
        <v>27</v>
      </c>
      <c r="E29" s="19">
        <v>17</v>
      </c>
      <c r="F29" s="19"/>
      <c r="G29" s="19"/>
      <c r="H29"/>
      <c r="J29" s="76"/>
      <c r="K29"/>
      <c r="M29" s="76"/>
      <c r="N29"/>
      <c r="P29" s="76"/>
      <c r="Q29"/>
      <c r="S29" s="76"/>
      <c r="T29"/>
      <c r="V29" s="76"/>
      <c r="W29"/>
      <c r="Y29" s="76"/>
      <c r="Z29"/>
      <c r="AB29" s="76"/>
      <c r="AC29"/>
      <c r="AD29"/>
      <c r="CU29" s="76"/>
      <c r="CV29" s="76"/>
      <c r="CW29"/>
      <c r="CY29" s="76"/>
      <c r="CZ29"/>
      <c r="DB29" s="76"/>
      <c r="DC29"/>
      <c r="DE29" s="76"/>
      <c r="DF29"/>
      <c r="DH29" s="76"/>
      <c r="DI29"/>
      <c r="DK29" s="76"/>
      <c r="DL29"/>
      <c r="DN29" s="76"/>
      <c r="DO29"/>
      <c r="DQ29" s="76"/>
      <c r="DR29"/>
      <c r="DT29" s="76"/>
      <c r="DU29"/>
      <c r="DW29" s="76"/>
      <c r="DX29"/>
      <c r="DY29"/>
    </row>
    <row r="30" spans="1:285">
      <c r="C30" s="5" t="s">
        <v>353</v>
      </c>
      <c r="D30" s="19">
        <v>37</v>
      </c>
      <c r="E30" s="19">
        <v>27</v>
      </c>
      <c r="F30" s="19"/>
      <c r="G30" s="19"/>
      <c r="H30"/>
      <c r="J30" s="76"/>
      <c r="K30"/>
      <c r="M30" s="76"/>
      <c r="N30"/>
      <c r="P30" s="76"/>
      <c r="Q30"/>
      <c r="S30" s="76"/>
      <c r="T30"/>
      <c r="V30" s="76"/>
      <c r="W30"/>
      <c r="Y30" s="76"/>
      <c r="Z30"/>
      <c r="AB30" s="76"/>
      <c r="AC30"/>
      <c r="AD30"/>
      <c r="CU30" s="76"/>
      <c r="CV30" s="76"/>
      <c r="CW30"/>
      <c r="CY30" s="76"/>
      <c r="CZ30"/>
      <c r="DB30" s="76"/>
      <c r="DC30"/>
      <c r="DE30" s="76"/>
      <c r="DF30"/>
      <c r="DH30" s="76"/>
      <c r="DI30"/>
      <c r="DK30" s="76"/>
      <c r="DL30"/>
      <c r="DN30" s="76"/>
      <c r="DO30"/>
      <c r="DQ30" s="76"/>
      <c r="DR30"/>
      <c r="DT30" s="76"/>
      <c r="DU30"/>
      <c r="DW30" s="76"/>
      <c r="DX30"/>
      <c r="DY30"/>
    </row>
  </sheetData>
  <autoFilter ref="B3:CU7">
    <filterColumn colId="5" showButton="0"/>
    <filterColumn colId="6" showButton="0"/>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filterColumn colId="44" showButton="0"/>
    <filterColumn colId="45" showButton="0"/>
    <filterColumn colId="47" showButton="0"/>
    <filterColumn colId="48" showButton="0"/>
    <filterColumn colId="50" showButton="0"/>
    <filterColumn colId="51" showButton="0"/>
    <filterColumn colId="53" showButton="0"/>
    <filterColumn colId="54" showButton="0"/>
    <filterColumn colId="56" showButton="0"/>
    <filterColumn colId="57" showButton="0"/>
    <filterColumn colId="59" showButton="0"/>
    <filterColumn colId="60" showButton="0"/>
    <filterColumn colId="62" showButton="0"/>
    <filterColumn colId="63" showButton="0"/>
    <filterColumn colId="65" showButton="0"/>
    <filterColumn colId="66" showButton="0"/>
    <filterColumn colId="68" showButton="0"/>
    <filterColumn colId="69" showButton="0"/>
    <filterColumn colId="71" showButton="0"/>
    <filterColumn colId="72" showButton="0"/>
    <filterColumn colId="74" showButton="0"/>
    <filterColumn colId="75" showButton="0"/>
    <filterColumn colId="77" showButton="0"/>
    <filterColumn colId="78" showButton="0"/>
    <filterColumn colId="83" showButton="0"/>
    <filterColumn colId="84" showButton="0"/>
    <filterColumn colId="86" showButton="0"/>
    <filterColumn colId="87" showButton="0"/>
    <filterColumn colId="95" showButton="0"/>
    <filterColumn colId="96" showButton="0"/>
  </autoFilter>
  <mergeCells count="116">
    <mergeCell ref="EX3:EZ3"/>
    <mergeCell ref="FA3:FC3"/>
    <mergeCell ref="DH3:DJ3"/>
    <mergeCell ref="FD2:FU2"/>
    <mergeCell ref="FD3:FF3"/>
    <mergeCell ref="FG3:FI3"/>
    <mergeCell ref="FJ3:FL3"/>
    <mergeCell ref="FM3:FO3"/>
    <mergeCell ref="FP3:FR3"/>
    <mergeCell ref="FS3:FU3"/>
    <mergeCell ref="CP3:CR3"/>
    <mergeCell ref="CD3:CF3"/>
    <mergeCell ref="CA3:CC3"/>
    <mergeCell ref="BX3:BZ3"/>
    <mergeCell ref="BU3:BW3"/>
    <mergeCell ref="BR3:BT3"/>
    <mergeCell ref="G2:AD2"/>
    <mergeCell ref="DN3:DP3"/>
    <mergeCell ref="DQ3:DS3"/>
    <mergeCell ref="CG3:CI3"/>
    <mergeCell ref="BI2:CI2"/>
    <mergeCell ref="CJ2:CR2"/>
    <mergeCell ref="CM3:CO3"/>
    <mergeCell ref="DK3:DM3"/>
    <mergeCell ref="CJ3:CL3"/>
    <mergeCell ref="CV2:DA2"/>
    <mergeCell ref="DB2:DY2"/>
    <mergeCell ref="CS3:CU3"/>
    <mergeCell ref="CV3:CX3"/>
    <mergeCell ref="CY3:DA3"/>
    <mergeCell ref="DB3:DD3"/>
    <mergeCell ref="CS2:CU2"/>
    <mergeCell ref="G1:BH1"/>
    <mergeCell ref="DB1:FC1"/>
    <mergeCell ref="DZ2:FC2"/>
    <mergeCell ref="DT3:DV3"/>
    <mergeCell ref="DW3:DY3"/>
    <mergeCell ref="DZ3:EB3"/>
    <mergeCell ref="EC3:EE3"/>
    <mergeCell ref="EF3:EH3"/>
    <mergeCell ref="EI3:EK3"/>
    <mergeCell ref="EL3:EN3"/>
    <mergeCell ref="EO3:EQ3"/>
    <mergeCell ref="ER3:ET3"/>
    <mergeCell ref="EU3:EW3"/>
    <mergeCell ref="AE2:BH2"/>
    <mergeCell ref="BC3:BE3"/>
    <mergeCell ref="AZ3:BB3"/>
    <mergeCell ref="G3:I3"/>
    <mergeCell ref="J3:L3"/>
    <mergeCell ref="M3:O3"/>
    <mergeCell ref="P3:R3"/>
    <mergeCell ref="DE3:DG3"/>
    <mergeCell ref="S3:U3"/>
    <mergeCell ref="V3:X3"/>
    <mergeCell ref="Y3:AA3"/>
    <mergeCell ref="B3:B4"/>
    <mergeCell ref="A3:A4"/>
    <mergeCell ref="BO3:BQ3"/>
    <mergeCell ref="BL3:BN3"/>
    <mergeCell ref="BI3:BK3"/>
    <mergeCell ref="AW3:AY3"/>
    <mergeCell ref="AT3:AV3"/>
    <mergeCell ref="AQ3:AS3"/>
    <mergeCell ref="AE3:AG3"/>
    <mergeCell ref="AH3:AJ3"/>
    <mergeCell ref="AK3:AM3"/>
    <mergeCell ref="AN3:AP3"/>
    <mergeCell ref="BF3:BH3"/>
    <mergeCell ref="C3:C4"/>
    <mergeCell ref="F3:F4"/>
    <mergeCell ref="E3:E4"/>
    <mergeCell ref="D3:D4"/>
    <mergeCell ref="AB3:AD3"/>
    <mergeCell ref="HI3:HK3"/>
    <mergeCell ref="HL3:HN3"/>
    <mergeCell ref="HO3:HQ3"/>
    <mergeCell ref="HR3:HT3"/>
    <mergeCell ref="HU3:HW3"/>
    <mergeCell ref="FV1:HW1"/>
    <mergeCell ref="FV2:GS2"/>
    <mergeCell ref="GT2:HW2"/>
    <mergeCell ref="FV3:FX3"/>
    <mergeCell ref="FY3:GA3"/>
    <mergeCell ref="GB3:GD3"/>
    <mergeCell ref="GE3:GG3"/>
    <mergeCell ref="GH3:GJ3"/>
    <mergeCell ref="GK3:GM3"/>
    <mergeCell ref="GN3:GP3"/>
    <mergeCell ref="GQ3:GS3"/>
    <mergeCell ref="GT3:GV3"/>
    <mergeCell ref="GW3:GY3"/>
    <mergeCell ref="GZ3:HB3"/>
    <mergeCell ref="HC3:HE3"/>
    <mergeCell ref="HF3:HH3"/>
    <mergeCell ref="JK3:JM3"/>
    <mergeCell ref="JN3:JP3"/>
    <mergeCell ref="JQ3:JS3"/>
    <mergeCell ref="JT3:JV3"/>
    <mergeCell ref="JW3:JY3"/>
    <mergeCell ref="HX1:JY1"/>
    <mergeCell ref="HX2:IU2"/>
    <mergeCell ref="IV2:JY2"/>
    <mergeCell ref="HX3:HZ3"/>
    <mergeCell ref="IA3:IC3"/>
    <mergeCell ref="ID3:IF3"/>
    <mergeCell ref="IG3:II3"/>
    <mergeCell ref="IJ3:IL3"/>
    <mergeCell ref="IM3:IO3"/>
    <mergeCell ref="IP3:IR3"/>
    <mergeCell ref="IS3:IU3"/>
    <mergeCell ref="IV3:IX3"/>
    <mergeCell ref="IY3:JA3"/>
    <mergeCell ref="JB3:JD3"/>
    <mergeCell ref="JE3:JG3"/>
    <mergeCell ref="JH3:JJ3"/>
  </mergeCells>
  <conditionalFormatting sqref="G4:I4 G3 J3 M3 P3 S3 V3 Y3">
    <cfRule type="duplicateValues" dxfId="291" priority="158"/>
  </conditionalFormatting>
  <conditionalFormatting sqref="AE3 AK3 AH3 AN3 AQ3 BF3 BC3 AZ3 AW3 AT3">
    <cfRule type="duplicateValues" dxfId="290" priority="156"/>
  </conditionalFormatting>
  <conditionalFormatting sqref="BI3 CS3 CJ3 CG3 CA3 BX3 BU3 BR3 BO3 BL3">
    <cfRule type="duplicateValues" dxfId="289" priority="155"/>
  </conditionalFormatting>
  <conditionalFormatting sqref="CS3">
    <cfRule type="duplicateValues" dxfId="288" priority="154"/>
  </conditionalFormatting>
  <conditionalFormatting sqref="J4:L4">
    <cfRule type="duplicateValues" dxfId="287" priority="152"/>
  </conditionalFormatting>
  <conditionalFormatting sqref="N4:O4">
    <cfRule type="duplicateValues" dxfId="286" priority="151"/>
  </conditionalFormatting>
  <conditionalFormatting sqref="M4">
    <cfRule type="duplicateValues" dxfId="285" priority="150"/>
  </conditionalFormatting>
  <conditionalFormatting sqref="Q4:R4">
    <cfRule type="duplicateValues" dxfId="284" priority="146"/>
  </conditionalFormatting>
  <conditionalFormatting sqref="P4">
    <cfRule type="duplicateValues" dxfId="283" priority="145"/>
  </conditionalFormatting>
  <conditionalFormatting sqref="T4:U4">
    <cfRule type="duplicateValues" dxfId="282" priority="144"/>
  </conditionalFormatting>
  <conditionalFormatting sqref="W4:X4">
    <cfRule type="duplicateValues" dxfId="281" priority="143"/>
  </conditionalFormatting>
  <conditionalFormatting sqref="Z4:AA4">
    <cfRule type="duplicateValues" dxfId="280" priority="142"/>
  </conditionalFormatting>
  <conditionalFormatting sqref="AC4:AD4">
    <cfRule type="duplicateValues" dxfId="279" priority="141"/>
  </conditionalFormatting>
  <conditionalFormatting sqref="S4">
    <cfRule type="duplicateValues" dxfId="278" priority="140"/>
  </conditionalFormatting>
  <conditionalFormatting sqref="V4">
    <cfRule type="duplicateValues" dxfId="277" priority="139"/>
  </conditionalFormatting>
  <conditionalFormatting sqref="Y4">
    <cfRule type="duplicateValues" dxfId="276" priority="138"/>
  </conditionalFormatting>
  <conditionalFormatting sqref="AB4">
    <cfRule type="duplicateValues" dxfId="275" priority="137"/>
  </conditionalFormatting>
  <conditionalFormatting sqref="B15:B17 B6:B13">
    <cfRule type="cellIs" dxfId="274" priority="135" operator="equal">
      <formula>1</formula>
    </cfRule>
  </conditionalFormatting>
  <conditionalFormatting sqref="CV4:CX4 CV3 CY3">
    <cfRule type="duplicateValues" dxfId="273" priority="134"/>
  </conditionalFormatting>
  <conditionalFormatting sqref="CY4:DA4">
    <cfRule type="duplicateValues" dxfId="272" priority="132"/>
  </conditionalFormatting>
  <conditionalFormatting sqref="CM3">
    <cfRule type="duplicateValues" dxfId="271" priority="119"/>
  </conditionalFormatting>
  <conditionalFormatting sqref="CP3">
    <cfRule type="duplicateValues" dxfId="270" priority="118"/>
  </conditionalFormatting>
  <conditionalFormatting sqref="DB4:DD4 DB3 DK3 DN3 DQ3">
    <cfRule type="duplicateValues" dxfId="269" priority="117"/>
  </conditionalFormatting>
  <conditionalFormatting sqref="DZ3 EF3 EC3 EI3 FA3 EX3 EU3 ER3 EO3">
    <cfRule type="duplicateValues" dxfId="268" priority="115"/>
  </conditionalFormatting>
  <conditionalFormatting sqref="DE4:DG4">
    <cfRule type="duplicateValues" dxfId="267" priority="114"/>
  </conditionalFormatting>
  <conditionalFormatting sqref="DI4:DJ4">
    <cfRule type="duplicateValues" dxfId="266" priority="113"/>
  </conditionalFormatting>
  <conditionalFormatting sqref="DH4">
    <cfRule type="duplicateValues" dxfId="265" priority="112"/>
  </conditionalFormatting>
  <conditionalFormatting sqref="DL4:DM4">
    <cfRule type="duplicateValues" dxfId="264" priority="111"/>
  </conditionalFormatting>
  <conditionalFormatting sqref="DK4">
    <cfRule type="duplicateValues" dxfId="263" priority="110"/>
  </conditionalFormatting>
  <conditionalFormatting sqref="DO4:DP4">
    <cfRule type="duplicateValues" dxfId="262" priority="109"/>
  </conditionalFormatting>
  <conditionalFormatting sqref="DR4:DS4">
    <cfRule type="duplicateValues" dxfId="261" priority="108"/>
  </conditionalFormatting>
  <conditionalFormatting sqref="DU4:DV4">
    <cfRule type="duplicateValues" dxfId="260" priority="107"/>
  </conditionalFormatting>
  <conditionalFormatting sqref="DX4:DY4">
    <cfRule type="duplicateValues" dxfId="259" priority="106"/>
  </conditionalFormatting>
  <conditionalFormatting sqref="DN4">
    <cfRule type="duplicateValues" dxfId="258" priority="105"/>
  </conditionalFormatting>
  <conditionalFormatting sqref="DQ4">
    <cfRule type="duplicateValues" dxfId="257" priority="104"/>
  </conditionalFormatting>
  <conditionalFormatting sqref="DT4">
    <cfRule type="duplicateValues" dxfId="256" priority="103"/>
  </conditionalFormatting>
  <conditionalFormatting sqref="DW4">
    <cfRule type="duplicateValues" dxfId="255" priority="102"/>
  </conditionalFormatting>
  <conditionalFormatting sqref="DE3 DH3">
    <cfRule type="duplicateValues" dxfId="254" priority="90"/>
  </conditionalFormatting>
  <conditionalFormatting sqref="DT3">
    <cfRule type="duplicateValues" dxfId="253" priority="89"/>
  </conditionalFormatting>
  <conditionalFormatting sqref="EL3">
    <cfRule type="duplicateValues" dxfId="252" priority="88"/>
  </conditionalFormatting>
  <conditionalFormatting sqref="AB3">
    <cfRule type="duplicateValues" dxfId="251" priority="87"/>
  </conditionalFormatting>
  <conditionalFormatting sqref="DW3">
    <cfRule type="duplicateValues" dxfId="250" priority="86"/>
  </conditionalFormatting>
  <conditionalFormatting sqref="E6">
    <cfRule type="duplicateValues" dxfId="249" priority="85"/>
  </conditionalFormatting>
  <conditionalFormatting sqref="E7">
    <cfRule type="duplicateValues" dxfId="248" priority="84"/>
  </conditionalFormatting>
  <conditionalFormatting sqref="E8">
    <cfRule type="duplicateValues" dxfId="247" priority="82"/>
  </conditionalFormatting>
  <conditionalFormatting sqref="E9">
    <cfRule type="duplicateValues" dxfId="246" priority="81"/>
  </conditionalFormatting>
  <conditionalFormatting sqref="E10">
    <cfRule type="duplicateValues" dxfId="245" priority="79"/>
  </conditionalFormatting>
  <conditionalFormatting sqref="E11">
    <cfRule type="duplicateValues" dxfId="244" priority="78"/>
  </conditionalFormatting>
  <conditionalFormatting sqref="FD3 FS3 FP3 FM3 FJ3 FG3">
    <cfRule type="duplicateValues" dxfId="243" priority="1517"/>
  </conditionalFormatting>
  <conditionalFormatting sqref="FV4:FX4 FV3 GE3 GH3 GK3">
    <cfRule type="duplicateValues" dxfId="242" priority="38"/>
  </conditionalFormatting>
  <conditionalFormatting sqref="GT3 GZ3 GW3 HC3 HU3 HR3 HO3 HL3 HI3">
    <cfRule type="duplicateValues" dxfId="241" priority="37"/>
  </conditionalFormatting>
  <conditionalFormatting sqref="FY4:GA4">
    <cfRule type="duplicateValues" dxfId="240" priority="36"/>
  </conditionalFormatting>
  <conditionalFormatting sqref="GC4:GD4">
    <cfRule type="duplicateValues" dxfId="239" priority="35"/>
  </conditionalFormatting>
  <conditionalFormatting sqref="GB4">
    <cfRule type="duplicateValues" dxfId="238" priority="34"/>
  </conditionalFormatting>
  <conditionalFormatting sqref="GF4:GG4">
    <cfRule type="duplicateValues" dxfId="237" priority="33"/>
  </conditionalFormatting>
  <conditionalFormatting sqref="GE4">
    <cfRule type="duplicateValues" dxfId="236" priority="32"/>
  </conditionalFormatting>
  <conditionalFormatting sqref="GI4:GJ4">
    <cfRule type="duplicateValues" dxfId="235" priority="31"/>
  </conditionalFormatting>
  <conditionalFormatting sqref="GL4:GM4">
    <cfRule type="duplicateValues" dxfId="234" priority="30"/>
  </conditionalFormatting>
  <conditionalFormatting sqref="GO4:GP4">
    <cfRule type="duplicateValues" dxfId="233" priority="29"/>
  </conditionalFormatting>
  <conditionalFormatting sqref="GR4:GS4">
    <cfRule type="duplicateValues" dxfId="232" priority="28"/>
  </conditionalFormatting>
  <conditionalFormatting sqref="GH4">
    <cfRule type="duplicateValues" dxfId="231" priority="27"/>
  </conditionalFormatting>
  <conditionalFormatting sqref="GK4">
    <cfRule type="duplicateValues" dxfId="230" priority="26"/>
  </conditionalFormatting>
  <conditionalFormatting sqref="GN4">
    <cfRule type="duplicateValues" dxfId="229" priority="25"/>
  </conditionalFormatting>
  <conditionalFormatting sqref="GQ4">
    <cfRule type="duplicateValues" dxfId="228" priority="24"/>
  </conditionalFormatting>
  <conditionalFormatting sqref="FY3 GB3">
    <cfRule type="duplicateValues" dxfId="227" priority="23"/>
  </conditionalFormatting>
  <conditionalFormatting sqref="GN3">
    <cfRule type="duplicateValues" dxfId="226" priority="22"/>
  </conditionalFormatting>
  <conditionalFormatting sqref="HF3">
    <cfRule type="duplicateValues" dxfId="225" priority="21"/>
  </conditionalFormatting>
  <conditionalFormatting sqref="GQ3">
    <cfRule type="duplicateValues" dxfId="224" priority="20"/>
  </conditionalFormatting>
  <conditionalFormatting sqref="HX4:HZ4 HX3 IG3 IJ3 IM3">
    <cfRule type="duplicateValues" dxfId="223" priority="19"/>
  </conditionalFormatting>
  <conditionalFormatting sqref="IV3 JB3 IY3 JE3 JW3 JT3 JQ3 JN3 JK3">
    <cfRule type="duplicateValues" dxfId="222" priority="18"/>
  </conditionalFormatting>
  <conditionalFormatting sqref="IA4:IC4">
    <cfRule type="duplicateValues" dxfId="221" priority="17"/>
  </conditionalFormatting>
  <conditionalFormatting sqref="IE4:IF4">
    <cfRule type="duplicateValues" dxfId="220" priority="16"/>
  </conditionalFormatting>
  <conditionalFormatting sqref="ID4">
    <cfRule type="duplicateValues" dxfId="219" priority="15"/>
  </conditionalFormatting>
  <conditionalFormatting sqref="IH4:II4">
    <cfRule type="duplicateValues" dxfId="218" priority="14"/>
  </conditionalFormatting>
  <conditionalFormatting sqref="IG4">
    <cfRule type="duplicateValues" dxfId="217" priority="13"/>
  </conditionalFormatting>
  <conditionalFormatting sqref="IK4:IL4">
    <cfRule type="duplicateValues" dxfId="216" priority="12"/>
  </conditionalFormatting>
  <conditionalFormatting sqref="IN4:IO4">
    <cfRule type="duplicateValues" dxfId="215" priority="11"/>
  </conditionalFormatting>
  <conditionalFormatting sqref="IQ4:IR4">
    <cfRule type="duplicateValues" dxfId="214" priority="10"/>
  </conditionalFormatting>
  <conditionalFormatting sqref="IT4:IU4">
    <cfRule type="duplicateValues" dxfId="213" priority="9"/>
  </conditionalFormatting>
  <conditionalFormatting sqref="IJ4">
    <cfRule type="duplicateValues" dxfId="212" priority="8"/>
  </conditionalFormatting>
  <conditionalFormatting sqref="IM4">
    <cfRule type="duplicateValues" dxfId="211" priority="7"/>
  </conditionalFormatting>
  <conditionalFormatting sqref="IP4">
    <cfRule type="duplicateValues" dxfId="210" priority="6"/>
  </conditionalFormatting>
  <conditionalFormatting sqref="IS4">
    <cfRule type="duplicateValues" dxfId="209" priority="5"/>
  </conditionalFormatting>
  <conditionalFormatting sqref="IA3 ID3">
    <cfRule type="duplicateValues" dxfId="208" priority="4"/>
  </conditionalFormatting>
  <conditionalFormatting sqref="IP3">
    <cfRule type="duplicateValues" dxfId="207" priority="3"/>
  </conditionalFormatting>
  <conditionalFormatting sqref="JH3">
    <cfRule type="duplicateValues" dxfId="206" priority="2"/>
  </conditionalFormatting>
  <conditionalFormatting sqref="IS3">
    <cfRule type="duplicateValues" dxfId="205" priority="1"/>
  </conditionalFormatting>
  <dataValidations count="1">
    <dataValidation type="list" allowBlank="1" showInputMessage="1" showErrorMessage="1" sqref="E6:E13 E15:E17">
      <formula1>"[VW-MIB3_AVN],[Toyota_Kai_FIT],[BMW_WAVE_SWT],[JLR-TCU4-FIT],[VW_MIB3_SWT],[VW_ICAS3_SWT]"</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BU38"/>
  <sheetViews>
    <sheetView showGridLines="0" tabSelected="1" zoomScale="90" zoomScaleNormal="90" workbookViewId="0">
      <pane xSplit="5" ySplit="8" topLeftCell="F24" activePane="bottomRight" state="frozen"/>
      <selection activeCell="BC10" sqref="BC10"/>
      <selection pane="topRight" activeCell="BC10" sqref="BC10"/>
      <selection pane="bottomLeft" activeCell="BC10" sqref="BC10"/>
      <selection pane="bottomRight" activeCell="G31" sqref="G31"/>
    </sheetView>
  </sheetViews>
  <sheetFormatPr defaultRowHeight="14.4"/>
  <cols>
    <col min="1" max="1" width="3.88671875" customWidth="1"/>
    <col min="2" max="2" width="9.5546875" customWidth="1"/>
    <col min="3" max="3" width="16.88671875" customWidth="1"/>
    <col min="4" max="4" width="26.88671875" customWidth="1"/>
    <col min="5" max="5" width="31.5546875" customWidth="1"/>
    <col min="6" max="6" width="8.88671875" customWidth="1"/>
    <col min="7" max="8" width="11.44140625" customWidth="1"/>
    <col min="9" max="73" width="8" customWidth="1"/>
  </cols>
  <sheetData>
    <row r="1" spans="2:73">
      <c r="E1" s="132"/>
      <c r="F1" s="132">
        <v>6</v>
      </c>
      <c r="G1" s="132">
        <v>7</v>
      </c>
      <c r="I1" s="381"/>
      <c r="J1" s="381"/>
      <c r="K1" s="381"/>
      <c r="L1" s="381"/>
      <c r="M1" s="381"/>
    </row>
    <row r="2" spans="2:73" ht="15.6">
      <c r="B2" s="413" t="s">
        <v>216</v>
      </c>
      <c r="C2" s="413"/>
      <c r="E2" s="132"/>
      <c r="F2" s="132">
        <v>4</v>
      </c>
      <c r="I2" s="381">
        <v>3</v>
      </c>
      <c r="J2" s="381"/>
      <c r="K2" s="381"/>
      <c r="L2" s="381"/>
      <c r="M2" s="381"/>
      <c r="N2" s="381">
        <v>4</v>
      </c>
      <c r="O2" s="381"/>
      <c r="P2" s="381"/>
      <c r="Q2" s="381"/>
      <c r="R2" s="381"/>
      <c r="S2" s="381">
        <v>4</v>
      </c>
      <c r="T2" s="381"/>
      <c r="U2" s="381"/>
      <c r="V2" s="381"/>
      <c r="W2" s="381"/>
      <c r="X2" s="381">
        <f>VLOOKUP(X$3,[3]KPI_ST_Indexes!$B$35:$C$37,2,0)</f>
        <v>5</v>
      </c>
      <c r="Y2" s="381"/>
      <c r="Z2" s="381"/>
      <c r="AA2" s="381"/>
      <c r="AB2" s="381"/>
      <c r="AC2" s="381">
        <v>4</v>
      </c>
      <c r="AD2" s="381"/>
      <c r="AE2" s="381"/>
      <c r="AF2" s="381"/>
      <c r="AG2" s="381"/>
      <c r="AH2" s="381">
        <v>5</v>
      </c>
      <c r="AI2" s="381"/>
      <c r="AJ2" s="381"/>
      <c r="AK2" s="381"/>
      <c r="AL2" s="381"/>
      <c r="AM2" s="381"/>
      <c r="AN2" s="381"/>
      <c r="AO2" s="381"/>
      <c r="AP2" s="381"/>
      <c r="AQ2" s="381"/>
      <c r="AR2" s="381"/>
      <c r="AS2" s="381"/>
      <c r="AT2" s="381"/>
      <c r="AU2" s="381"/>
      <c r="AV2" s="381"/>
      <c r="AW2" s="381"/>
      <c r="AX2" s="381"/>
      <c r="AY2" s="381"/>
      <c r="AZ2" s="381"/>
      <c r="BA2" s="381"/>
      <c r="BB2" s="381"/>
      <c r="BC2" s="381"/>
      <c r="BD2" s="381"/>
      <c r="BE2" s="381"/>
      <c r="BF2" s="381"/>
      <c r="BG2" s="381"/>
      <c r="BH2" s="381"/>
      <c r="BI2" s="381"/>
      <c r="BJ2" s="381"/>
      <c r="BK2" s="381"/>
      <c r="BL2" s="381"/>
      <c r="BM2" s="381"/>
      <c r="BN2" s="381"/>
      <c r="BO2" s="381"/>
      <c r="BP2" s="381"/>
      <c r="BQ2" s="381"/>
      <c r="BR2" s="381"/>
      <c r="BS2" s="381"/>
      <c r="BT2" s="381"/>
      <c r="BU2" s="381"/>
    </row>
    <row r="3" spans="2:73">
      <c r="I3" s="381" t="s">
        <v>218</v>
      </c>
      <c r="J3" s="381"/>
      <c r="K3" s="381"/>
      <c r="L3" s="381"/>
      <c r="M3" s="381"/>
      <c r="N3" s="381" t="s">
        <v>219</v>
      </c>
      <c r="O3" s="381"/>
      <c r="P3" s="381"/>
      <c r="Q3" s="381"/>
      <c r="R3" s="381"/>
      <c r="S3" s="381" t="s">
        <v>219</v>
      </c>
      <c r="T3" s="381"/>
      <c r="U3" s="381"/>
      <c r="V3" s="381"/>
      <c r="W3" s="381"/>
      <c r="X3" s="381" t="s">
        <v>141</v>
      </c>
      <c r="Y3" s="381"/>
      <c r="Z3" s="381"/>
      <c r="AA3" s="381"/>
      <c r="AB3" s="381"/>
      <c r="AC3" s="381" t="s">
        <v>219</v>
      </c>
      <c r="AD3" s="381"/>
      <c r="AE3" s="381"/>
      <c r="AF3" s="381"/>
      <c r="AG3" s="381"/>
      <c r="AH3" s="381" t="s">
        <v>219</v>
      </c>
      <c r="AI3" s="381"/>
      <c r="AJ3" s="381"/>
      <c r="AK3" s="381"/>
      <c r="AL3" s="381"/>
      <c r="AM3" s="381" t="s">
        <v>219</v>
      </c>
      <c r="AN3" s="381"/>
      <c r="AO3" s="381"/>
      <c r="AP3" s="381"/>
      <c r="AQ3" s="381"/>
      <c r="AR3" s="381" t="s">
        <v>219</v>
      </c>
      <c r="AS3" s="381"/>
      <c r="AT3" s="381"/>
      <c r="AU3" s="381"/>
      <c r="AV3" s="381"/>
      <c r="AW3" s="381" t="s">
        <v>219</v>
      </c>
      <c r="AX3" s="381"/>
      <c r="AY3" s="381"/>
      <c r="AZ3" s="381"/>
      <c r="BA3" s="381"/>
      <c r="BB3" s="381" t="s">
        <v>219</v>
      </c>
      <c r="BC3" s="381"/>
      <c r="BD3" s="381"/>
      <c r="BE3" s="381"/>
      <c r="BF3" s="381"/>
      <c r="BG3" s="381" t="s">
        <v>219</v>
      </c>
      <c r="BH3" s="381"/>
      <c r="BI3" s="381"/>
      <c r="BJ3" s="381"/>
      <c r="BK3" s="381"/>
      <c r="BL3" s="381" t="s">
        <v>218</v>
      </c>
      <c r="BM3" s="381"/>
      <c r="BN3" s="381"/>
      <c r="BO3" s="381"/>
      <c r="BP3" s="381"/>
      <c r="BQ3" s="381" t="s">
        <v>141</v>
      </c>
      <c r="BR3" s="381"/>
      <c r="BS3" s="381"/>
      <c r="BT3" s="381"/>
      <c r="BU3" s="381"/>
    </row>
    <row r="4" spans="2:73">
      <c r="E4">
        <v>1</v>
      </c>
      <c r="F4">
        <v>2</v>
      </c>
      <c r="G4">
        <v>3</v>
      </c>
      <c r="H4">
        <v>4</v>
      </c>
      <c r="I4">
        <v>5</v>
      </c>
      <c r="J4">
        <v>6</v>
      </c>
      <c r="K4">
        <v>7</v>
      </c>
      <c r="L4">
        <v>8</v>
      </c>
      <c r="M4">
        <v>9</v>
      </c>
      <c r="N4">
        <v>10</v>
      </c>
      <c r="O4">
        <v>11</v>
      </c>
      <c r="P4">
        <v>12</v>
      </c>
      <c r="Q4">
        <v>13</v>
      </c>
      <c r="R4">
        <v>14</v>
      </c>
      <c r="S4">
        <v>15</v>
      </c>
      <c r="T4">
        <v>16</v>
      </c>
      <c r="U4">
        <v>17</v>
      </c>
      <c r="V4">
        <v>18</v>
      </c>
      <c r="W4">
        <v>19</v>
      </c>
      <c r="X4">
        <v>20</v>
      </c>
      <c r="Y4">
        <v>21</v>
      </c>
      <c r="Z4">
        <v>22</v>
      </c>
      <c r="AA4">
        <v>23</v>
      </c>
      <c r="AB4">
        <v>24</v>
      </c>
      <c r="AC4">
        <v>25</v>
      </c>
      <c r="AD4">
        <v>26</v>
      </c>
      <c r="AE4">
        <v>27</v>
      </c>
      <c r="AF4">
        <v>28</v>
      </c>
      <c r="AG4">
        <v>29</v>
      </c>
      <c r="AH4">
        <v>30</v>
      </c>
      <c r="AI4">
        <v>31</v>
      </c>
      <c r="AJ4">
        <v>32</v>
      </c>
      <c r="AK4">
        <v>33</v>
      </c>
      <c r="AL4">
        <v>34</v>
      </c>
      <c r="AM4">
        <v>35</v>
      </c>
      <c r="AN4">
        <v>36</v>
      </c>
      <c r="AO4">
        <v>37</v>
      </c>
      <c r="AP4">
        <v>38</v>
      </c>
      <c r="AQ4">
        <v>39</v>
      </c>
      <c r="AR4">
        <v>40</v>
      </c>
      <c r="AS4">
        <v>41</v>
      </c>
      <c r="AT4">
        <v>42</v>
      </c>
      <c r="AU4">
        <v>43</v>
      </c>
      <c r="AV4">
        <v>44</v>
      </c>
      <c r="AW4">
        <v>45</v>
      </c>
      <c r="AX4">
        <v>46</v>
      </c>
      <c r="AY4">
        <v>47</v>
      </c>
      <c r="AZ4">
        <v>48</v>
      </c>
      <c r="BA4">
        <v>49</v>
      </c>
      <c r="BB4">
        <v>50</v>
      </c>
      <c r="BC4">
        <v>51</v>
      </c>
      <c r="BD4">
        <v>52</v>
      </c>
      <c r="BE4">
        <v>53</v>
      </c>
      <c r="BF4">
        <v>54</v>
      </c>
      <c r="BG4">
        <v>55</v>
      </c>
      <c r="BH4">
        <v>56</v>
      </c>
      <c r="BI4">
        <v>57</v>
      </c>
      <c r="BJ4">
        <v>58</v>
      </c>
      <c r="BK4">
        <v>59</v>
      </c>
      <c r="BL4">
        <v>60</v>
      </c>
      <c r="BM4">
        <v>61</v>
      </c>
      <c r="BN4">
        <v>62</v>
      </c>
      <c r="BO4">
        <v>63</v>
      </c>
      <c r="BP4">
        <v>64</v>
      </c>
      <c r="BQ4">
        <v>65</v>
      </c>
      <c r="BR4">
        <v>66</v>
      </c>
      <c r="BS4">
        <v>67</v>
      </c>
      <c r="BT4">
        <v>68</v>
      </c>
      <c r="BU4">
        <v>69</v>
      </c>
    </row>
    <row r="5" spans="2:73" ht="25.5" customHeight="1">
      <c r="B5" s="404" t="s">
        <v>220</v>
      </c>
      <c r="C5" s="404" t="s">
        <v>221</v>
      </c>
      <c r="D5" s="404" t="s">
        <v>222</v>
      </c>
      <c r="E5" s="404" t="s">
        <v>223</v>
      </c>
      <c r="F5" s="405" t="s">
        <v>224</v>
      </c>
      <c r="G5" s="405" t="s">
        <v>324</v>
      </c>
      <c r="H5" s="405" t="s">
        <v>323</v>
      </c>
      <c r="I5" s="382" t="s">
        <v>326</v>
      </c>
      <c r="J5" s="383"/>
      <c r="K5" s="383"/>
      <c r="L5" s="383"/>
      <c r="M5" s="384"/>
      <c r="N5" s="382" t="s">
        <v>327</v>
      </c>
      <c r="O5" s="383"/>
      <c r="P5" s="383"/>
      <c r="Q5" s="383"/>
      <c r="R5" s="384"/>
      <c r="S5" s="382" t="s">
        <v>328</v>
      </c>
      <c r="T5" s="383"/>
      <c r="U5" s="383"/>
      <c r="V5" s="383"/>
      <c r="W5" s="384"/>
      <c r="X5" s="382" t="s">
        <v>329</v>
      </c>
      <c r="Y5" s="383"/>
      <c r="Z5" s="383"/>
      <c r="AA5" s="383"/>
      <c r="AB5" s="384"/>
      <c r="AC5" s="382" t="s">
        <v>333</v>
      </c>
      <c r="AD5" s="383"/>
      <c r="AE5" s="383"/>
      <c r="AF5" s="383"/>
      <c r="AG5" s="384"/>
      <c r="AH5" s="382" t="s">
        <v>334</v>
      </c>
      <c r="AI5" s="383"/>
      <c r="AJ5" s="383"/>
      <c r="AK5" s="383"/>
      <c r="AL5" s="384"/>
      <c r="AM5" s="382" t="s">
        <v>335</v>
      </c>
      <c r="AN5" s="383"/>
      <c r="AO5" s="383"/>
      <c r="AP5" s="383"/>
      <c r="AQ5" s="384"/>
      <c r="AR5" s="382" t="s">
        <v>336</v>
      </c>
      <c r="AS5" s="383"/>
      <c r="AT5" s="383"/>
      <c r="AU5" s="383"/>
      <c r="AV5" s="384"/>
      <c r="AW5" s="382" t="s">
        <v>337</v>
      </c>
      <c r="AX5" s="383"/>
      <c r="AY5" s="383"/>
      <c r="AZ5" s="383"/>
      <c r="BA5" s="384"/>
      <c r="BB5" s="382" t="s">
        <v>330</v>
      </c>
      <c r="BC5" s="383"/>
      <c r="BD5" s="383"/>
      <c r="BE5" s="383"/>
      <c r="BF5" s="384"/>
      <c r="BG5" s="382" t="s">
        <v>331</v>
      </c>
      <c r="BH5" s="383"/>
      <c r="BI5" s="383"/>
      <c r="BJ5" s="383"/>
      <c r="BK5" s="384"/>
      <c r="BL5" s="382" t="s">
        <v>338</v>
      </c>
      <c r="BM5" s="383"/>
      <c r="BN5" s="383"/>
      <c r="BO5" s="383"/>
      <c r="BP5" s="384"/>
      <c r="BQ5" s="382" t="s">
        <v>332</v>
      </c>
      <c r="BR5" s="383"/>
      <c r="BS5" s="383"/>
      <c r="BT5" s="383"/>
      <c r="BU5" s="384"/>
    </row>
    <row r="6" spans="2:73">
      <c r="B6" s="404"/>
      <c r="C6" s="404"/>
      <c r="D6" s="404"/>
      <c r="E6" s="404"/>
      <c r="F6" s="406"/>
      <c r="G6" s="406"/>
      <c r="H6" s="406"/>
      <c r="I6" s="385">
        <v>1</v>
      </c>
      <c r="J6" s="386"/>
      <c r="K6" s="386"/>
      <c r="L6" s="386"/>
      <c r="M6" s="387"/>
      <c r="N6" s="385">
        <v>2</v>
      </c>
      <c r="O6" s="386"/>
      <c r="P6" s="386"/>
      <c r="Q6" s="386"/>
      <c r="R6" s="387"/>
      <c r="S6" s="385">
        <v>3</v>
      </c>
      <c r="T6" s="386"/>
      <c r="U6" s="386"/>
      <c r="V6" s="386"/>
      <c r="W6" s="387"/>
      <c r="X6" s="385">
        <v>4</v>
      </c>
      <c r="Y6" s="386"/>
      <c r="Z6" s="386"/>
      <c r="AA6" s="386"/>
      <c r="AB6" s="387"/>
      <c r="AC6" s="385">
        <v>5</v>
      </c>
      <c r="AD6" s="386"/>
      <c r="AE6" s="386"/>
      <c r="AF6" s="386"/>
      <c r="AG6" s="387"/>
      <c r="AH6" s="385">
        <f>AC6+1</f>
        <v>6</v>
      </c>
      <c r="AI6" s="386"/>
      <c r="AJ6" s="386"/>
      <c r="AK6" s="386"/>
      <c r="AL6" s="387"/>
      <c r="AM6" s="385">
        <f>AH6+1</f>
        <v>7</v>
      </c>
      <c r="AN6" s="386"/>
      <c r="AO6" s="386"/>
      <c r="AP6" s="386"/>
      <c r="AQ6" s="387"/>
      <c r="AR6" s="385">
        <f>AM6+1</f>
        <v>8</v>
      </c>
      <c r="AS6" s="386"/>
      <c r="AT6" s="386"/>
      <c r="AU6" s="386"/>
      <c r="AV6" s="387"/>
      <c r="AW6" s="385">
        <f>AR6+1</f>
        <v>9</v>
      </c>
      <c r="AX6" s="386"/>
      <c r="AY6" s="386"/>
      <c r="AZ6" s="386"/>
      <c r="BA6" s="387"/>
      <c r="BB6" s="385">
        <f>AW6+1</f>
        <v>10</v>
      </c>
      <c r="BC6" s="386"/>
      <c r="BD6" s="386"/>
      <c r="BE6" s="386"/>
      <c r="BF6" s="387"/>
      <c r="BG6" s="385">
        <f>BB6+1</f>
        <v>11</v>
      </c>
      <c r="BH6" s="386"/>
      <c r="BI6" s="386"/>
      <c r="BJ6" s="386"/>
      <c r="BK6" s="387"/>
      <c r="BL6" s="385">
        <f>BG6+1</f>
        <v>12</v>
      </c>
      <c r="BM6" s="386"/>
      <c r="BN6" s="386"/>
      <c r="BO6" s="386"/>
      <c r="BP6" s="387"/>
      <c r="BQ6" s="385">
        <f>BL6+1</f>
        <v>13</v>
      </c>
      <c r="BR6" s="386"/>
      <c r="BS6" s="386"/>
      <c r="BT6" s="386"/>
      <c r="BU6" s="387"/>
    </row>
    <row r="7" spans="2:73" ht="20.399999999999999">
      <c r="B7" s="133"/>
      <c r="C7" s="133"/>
      <c r="D7" s="133"/>
      <c r="E7" s="133"/>
      <c r="F7" s="407"/>
      <c r="G7" s="407"/>
      <c r="H7" s="407"/>
      <c r="I7" s="134">
        <v>2020</v>
      </c>
      <c r="J7" s="134" t="s">
        <v>227</v>
      </c>
      <c r="K7" s="135" t="s">
        <v>228</v>
      </c>
      <c r="L7" s="135" t="s">
        <v>229</v>
      </c>
      <c r="M7" s="135" t="s">
        <v>230</v>
      </c>
      <c r="N7" s="134">
        <v>2020</v>
      </c>
      <c r="O7" s="134" t="s">
        <v>227</v>
      </c>
      <c r="P7" s="135" t="s">
        <v>228</v>
      </c>
      <c r="Q7" s="135" t="s">
        <v>229</v>
      </c>
      <c r="R7" s="135" t="s">
        <v>230</v>
      </c>
      <c r="S7" s="134">
        <v>2020</v>
      </c>
      <c r="T7" s="134" t="s">
        <v>227</v>
      </c>
      <c r="U7" s="135" t="s">
        <v>228</v>
      </c>
      <c r="V7" s="135" t="s">
        <v>229</v>
      </c>
      <c r="W7" s="135" t="s">
        <v>230</v>
      </c>
      <c r="X7" s="134">
        <v>2020</v>
      </c>
      <c r="Y7" s="134" t="s">
        <v>227</v>
      </c>
      <c r="Z7" s="135" t="s">
        <v>228</v>
      </c>
      <c r="AA7" s="135" t="s">
        <v>229</v>
      </c>
      <c r="AB7" s="135" t="s">
        <v>230</v>
      </c>
      <c r="AC7" s="134">
        <v>2020</v>
      </c>
      <c r="AD7" s="134" t="s">
        <v>227</v>
      </c>
      <c r="AE7" s="135" t="s">
        <v>228</v>
      </c>
      <c r="AF7" s="135" t="s">
        <v>229</v>
      </c>
      <c r="AG7" s="135" t="s">
        <v>230</v>
      </c>
      <c r="AH7" s="134">
        <v>2020</v>
      </c>
      <c r="AI7" s="134" t="s">
        <v>227</v>
      </c>
      <c r="AJ7" s="135" t="s">
        <v>228</v>
      </c>
      <c r="AK7" s="135" t="s">
        <v>229</v>
      </c>
      <c r="AL7" s="135" t="s">
        <v>230</v>
      </c>
      <c r="AM7" s="134">
        <v>2020</v>
      </c>
      <c r="AN7" s="134" t="s">
        <v>227</v>
      </c>
      <c r="AO7" s="135" t="s">
        <v>228</v>
      </c>
      <c r="AP7" s="135" t="s">
        <v>229</v>
      </c>
      <c r="AQ7" s="135" t="s">
        <v>230</v>
      </c>
      <c r="AR7" s="134">
        <v>2020</v>
      </c>
      <c r="AS7" s="134" t="s">
        <v>227</v>
      </c>
      <c r="AT7" s="135" t="s">
        <v>228</v>
      </c>
      <c r="AU7" s="135" t="s">
        <v>229</v>
      </c>
      <c r="AV7" s="135" t="s">
        <v>230</v>
      </c>
      <c r="AW7" s="134">
        <v>2020</v>
      </c>
      <c r="AX7" s="134" t="s">
        <v>227</v>
      </c>
      <c r="AY7" s="135" t="s">
        <v>228</v>
      </c>
      <c r="AZ7" s="135" t="s">
        <v>229</v>
      </c>
      <c r="BA7" s="135" t="s">
        <v>230</v>
      </c>
      <c r="BB7" s="134">
        <v>2020</v>
      </c>
      <c r="BC7" s="134" t="s">
        <v>227</v>
      </c>
      <c r="BD7" s="135" t="s">
        <v>228</v>
      </c>
      <c r="BE7" s="135" t="s">
        <v>229</v>
      </c>
      <c r="BF7" s="135" t="s">
        <v>230</v>
      </c>
      <c r="BG7" s="134">
        <v>2020</v>
      </c>
      <c r="BH7" s="134" t="s">
        <v>227</v>
      </c>
      <c r="BI7" s="135" t="s">
        <v>228</v>
      </c>
      <c r="BJ7" s="135" t="s">
        <v>229</v>
      </c>
      <c r="BK7" s="135" t="s">
        <v>230</v>
      </c>
      <c r="BL7" s="134">
        <v>2020</v>
      </c>
      <c r="BM7" s="134" t="s">
        <v>227</v>
      </c>
      <c r="BN7" s="135" t="s">
        <v>228</v>
      </c>
      <c r="BO7" s="135" t="s">
        <v>229</v>
      </c>
      <c r="BP7" s="135" t="s">
        <v>230</v>
      </c>
      <c r="BQ7" s="134">
        <v>2020</v>
      </c>
      <c r="BR7" s="134" t="s">
        <v>227</v>
      </c>
      <c r="BS7" s="135" t="s">
        <v>228</v>
      </c>
      <c r="BT7" s="135" t="s">
        <v>229</v>
      </c>
      <c r="BU7" s="135" t="s">
        <v>230</v>
      </c>
    </row>
    <row r="8" spans="2:73">
      <c r="B8" s="136"/>
      <c r="C8" s="136"/>
      <c r="D8" s="136"/>
      <c r="E8" s="136"/>
      <c r="F8" s="137"/>
      <c r="G8" s="137"/>
      <c r="H8" s="137"/>
      <c r="I8" s="57"/>
      <c r="J8" s="138">
        <f>SUM(J9:J36)</f>
        <v>1.0000000000000002</v>
      </c>
      <c r="K8" s="139">
        <f>SUM(K9:K36)</f>
        <v>1.0000000000000002</v>
      </c>
      <c r="L8" s="138"/>
      <c r="M8" s="57"/>
      <c r="N8" s="57"/>
      <c r="O8" s="138">
        <f>SUM(O9:O36)</f>
        <v>1.0000000000000004</v>
      </c>
      <c r="P8" s="138">
        <f>SUM(P9:P36)</f>
        <v>1.0000000000000002</v>
      </c>
      <c r="Q8" s="138"/>
      <c r="R8" s="57"/>
      <c r="S8" s="57"/>
      <c r="T8" s="138">
        <f>SUM(T9:T36)</f>
        <v>1.0000000000000002</v>
      </c>
      <c r="U8" s="138">
        <f>SUM(U9:U36)</f>
        <v>1.0000000000000002</v>
      </c>
      <c r="V8" s="138"/>
      <c r="W8" s="57"/>
      <c r="X8" s="57" t="s">
        <v>340</v>
      </c>
      <c r="Y8" s="138">
        <f>SUM(Y9:Y36)</f>
        <v>0.70000000000000018</v>
      </c>
      <c r="Z8" s="138">
        <f>SUM(Z9:Z36)</f>
        <v>0.70000000000000018</v>
      </c>
      <c r="AA8" s="138"/>
      <c r="AB8" s="57"/>
      <c r="AC8" s="57"/>
      <c r="AD8" s="138">
        <f>SUM(AD9:AD36)</f>
        <v>0.70000000000000018</v>
      </c>
      <c r="AE8" s="138">
        <f>SUM(AE9:AE36)</f>
        <v>0.70000000000000018</v>
      </c>
      <c r="AF8" s="138"/>
      <c r="AG8" s="57"/>
      <c r="AH8" s="57"/>
      <c r="AI8" s="138">
        <f>SUM(AI9:AI36)</f>
        <v>0.70000000000000018</v>
      </c>
      <c r="AJ8" s="138">
        <f>SUM(AJ9:AJ36)</f>
        <v>0.70000000000000018</v>
      </c>
      <c r="AK8" s="138"/>
      <c r="AL8" s="57"/>
      <c r="AM8" s="57"/>
      <c r="AN8" s="138">
        <f>SUM(AN9:AN36)</f>
        <v>0.90000000000000013</v>
      </c>
      <c r="AO8" s="138">
        <f>SUM(AO9:AO36)</f>
        <v>0.9</v>
      </c>
      <c r="AP8" s="138"/>
      <c r="AQ8" s="57"/>
      <c r="AR8" s="57"/>
      <c r="AS8" s="138">
        <f>SUM(AS9:AS36)</f>
        <v>1</v>
      </c>
      <c r="AT8" s="138">
        <f>SUM(AT9:AT36)</f>
        <v>1</v>
      </c>
      <c r="AU8" s="138"/>
      <c r="AV8" s="57"/>
      <c r="AW8" s="57"/>
      <c r="AX8" s="138">
        <f>SUM(AX9:AX36)</f>
        <v>1.0000000000000002</v>
      </c>
      <c r="AY8" s="138">
        <f>SUM(AY9:AY36)</f>
        <v>1.0000000000000002</v>
      </c>
      <c r="AZ8" s="138"/>
      <c r="BA8" s="57"/>
      <c r="BB8" s="57"/>
      <c r="BC8" s="138">
        <f>SUM(BC9:BC36)</f>
        <v>1.0000000000000002</v>
      </c>
      <c r="BD8" s="138">
        <f>SUM(BD9:BD36)</f>
        <v>1.0000000000000002</v>
      </c>
      <c r="BE8" s="138"/>
      <c r="BF8" s="57"/>
      <c r="BG8" s="57"/>
      <c r="BH8" s="138">
        <f>SUM(BH9:BH36)</f>
        <v>1.0000000000000002</v>
      </c>
      <c r="BI8" s="138">
        <f>SUM(BI9:BI36)</f>
        <v>1.0000000000000002</v>
      </c>
      <c r="BJ8" s="138"/>
      <c r="BK8" s="57"/>
      <c r="BL8" s="57"/>
      <c r="BM8" s="138">
        <f>SUM(BM9:BM36)</f>
        <v>1</v>
      </c>
      <c r="BN8" s="138">
        <f>SUM(BN9:BN36)</f>
        <v>1.0000000000000002</v>
      </c>
      <c r="BO8" s="138"/>
      <c r="BP8" s="57"/>
      <c r="BQ8" s="57" t="s">
        <v>341</v>
      </c>
      <c r="BR8" s="138">
        <f>SUM(BR9:BR36)</f>
        <v>0.46</v>
      </c>
      <c r="BS8" s="138">
        <f>SUM(BS9:BS36)</f>
        <v>0.46</v>
      </c>
      <c r="BT8" s="138"/>
      <c r="BU8" s="57"/>
    </row>
    <row r="9" spans="2:73">
      <c r="B9" s="402" t="s">
        <v>231</v>
      </c>
      <c r="C9" s="410" t="s">
        <v>35</v>
      </c>
      <c r="D9" s="402" t="s">
        <v>232</v>
      </c>
      <c r="E9" s="124" t="s">
        <v>23</v>
      </c>
      <c r="F9" s="4"/>
      <c r="G9" s="140">
        <v>28</v>
      </c>
      <c r="H9" s="140"/>
      <c r="I9" s="141"/>
      <c r="J9" s="142">
        <v>0.1</v>
      </c>
      <c r="K9" s="142">
        <v>0.1</v>
      </c>
      <c r="L9" s="143">
        <v>37</v>
      </c>
      <c r="M9" s="143">
        <v>37.82</v>
      </c>
      <c r="N9" s="141"/>
      <c r="O9" s="142">
        <v>0.1</v>
      </c>
      <c r="P9" s="142">
        <v>0.1</v>
      </c>
      <c r="Q9" s="143">
        <v>38</v>
      </c>
      <c r="R9" s="143">
        <v>38.700000000000003</v>
      </c>
      <c r="S9" s="141"/>
      <c r="T9" s="142">
        <v>0.2</v>
      </c>
      <c r="U9" s="142">
        <v>0.1</v>
      </c>
      <c r="V9" s="143">
        <v>37</v>
      </c>
      <c r="W9" s="143">
        <v>28.54</v>
      </c>
      <c r="X9" s="141"/>
      <c r="Y9" s="142"/>
      <c r="Z9" s="142"/>
      <c r="AA9" s="144"/>
      <c r="AB9" s="143"/>
      <c r="AC9" s="141"/>
      <c r="AD9" s="142">
        <v>7.0000000000000007E-2</v>
      </c>
      <c r="AE9" s="142">
        <v>7.0000000000000007E-2</v>
      </c>
      <c r="AF9" s="144">
        <v>40</v>
      </c>
      <c r="AG9" s="143">
        <v>65.430000000000007</v>
      </c>
      <c r="AH9" s="141"/>
      <c r="AI9" s="142">
        <v>7.0000000000000007E-2</v>
      </c>
      <c r="AJ9" s="142">
        <v>7.0000000000000007E-2</v>
      </c>
      <c r="AK9" s="144">
        <v>40</v>
      </c>
      <c r="AL9" s="143">
        <v>54.19</v>
      </c>
      <c r="AM9" s="141"/>
      <c r="AN9" s="142">
        <v>0.1</v>
      </c>
      <c r="AO9" s="142">
        <v>0.15</v>
      </c>
      <c r="AP9" s="144">
        <v>37</v>
      </c>
      <c r="AQ9" s="143">
        <v>31.37</v>
      </c>
      <c r="AR9" s="141"/>
      <c r="AS9" s="142">
        <v>0.1</v>
      </c>
      <c r="AT9" s="142">
        <v>0.3</v>
      </c>
      <c r="AU9" s="144">
        <v>37</v>
      </c>
      <c r="AV9" s="143">
        <v>38.299999999999997</v>
      </c>
      <c r="AW9" s="141"/>
      <c r="AX9" s="142">
        <v>0.1</v>
      </c>
      <c r="AY9" s="142">
        <v>0.2</v>
      </c>
      <c r="AZ9" s="144">
        <v>37</v>
      </c>
      <c r="BA9" s="143">
        <v>37.43</v>
      </c>
      <c r="BB9" s="141"/>
      <c r="BC9" s="142">
        <v>0.1</v>
      </c>
      <c r="BD9" s="142">
        <v>0.25</v>
      </c>
      <c r="BE9" s="248">
        <v>41</v>
      </c>
      <c r="BF9" s="143">
        <v>45.78</v>
      </c>
      <c r="BG9" s="141">
        <v>69.5</v>
      </c>
      <c r="BH9" s="142">
        <v>0.1</v>
      </c>
      <c r="BI9" s="142">
        <v>0.25</v>
      </c>
      <c r="BJ9" s="144">
        <v>37</v>
      </c>
      <c r="BK9" s="143">
        <v>36.31</v>
      </c>
      <c r="BL9" s="141"/>
      <c r="BM9" s="142">
        <v>0.1</v>
      </c>
      <c r="BN9" s="142">
        <v>0</v>
      </c>
      <c r="BO9" s="144"/>
      <c r="BP9" s="143"/>
      <c r="BQ9" s="141"/>
      <c r="BR9" s="142"/>
      <c r="BS9" s="142"/>
      <c r="BT9" s="144"/>
      <c r="BU9" s="143"/>
    </row>
    <row r="10" spans="2:73">
      <c r="B10" s="412"/>
      <c r="C10" s="410"/>
      <c r="D10" s="403"/>
      <c r="E10" s="222" t="s">
        <v>293</v>
      </c>
      <c r="F10" s="4"/>
      <c r="G10" s="140">
        <v>0</v>
      </c>
      <c r="H10" s="140"/>
      <c r="I10" s="141"/>
      <c r="J10" s="142">
        <v>0.1</v>
      </c>
      <c r="K10" s="142">
        <v>0.1</v>
      </c>
      <c r="L10" s="248">
        <v>13</v>
      </c>
      <c r="M10" s="143">
        <v>13.95</v>
      </c>
      <c r="N10" s="141"/>
      <c r="O10" s="142">
        <v>0.1</v>
      </c>
      <c r="P10" s="142">
        <v>0.1</v>
      </c>
      <c r="Q10" s="143">
        <v>9</v>
      </c>
      <c r="R10" s="143">
        <v>13.23</v>
      </c>
      <c r="S10" s="141"/>
      <c r="T10" s="142">
        <v>0.05</v>
      </c>
      <c r="U10" s="142">
        <v>0.1</v>
      </c>
      <c r="V10" s="143">
        <v>8</v>
      </c>
      <c r="W10" s="143">
        <v>16.23</v>
      </c>
      <c r="X10" s="141"/>
      <c r="Y10" s="142"/>
      <c r="Z10" s="142"/>
      <c r="AA10" s="143"/>
      <c r="AB10" s="143"/>
      <c r="AC10" s="141"/>
      <c r="AD10" s="142">
        <v>0.05</v>
      </c>
      <c r="AE10" s="142">
        <v>0.05</v>
      </c>
      <c r="AF10" s="143">
        <v>8</v>
      </c>
      <c r="AG10" s="143">
        <v>21.51</v>
      </c>
      <c r="AH10" s="141"/>
      <c r="AI10" s="142">
        <v>0.05</v>
      </c>
      <c r="AJ10" s="142">
        <v>0.05</v>
      </c>
      <c r="AK10" s="143">
        <v>8</v>
      </c>
      <c r="AL10" s="143">
        <v>14.04</v>
      </c>
      <c r="AM10" s="141"/>
      <c r="AN10" s="142">
        <v>0.1</v>
      </c>
      <c r="AO10" s="142">
        <v>0.15</v>
      </c>
      <c r="AP10" s="143">
        <v>8</v>
      </c>
      <c r="AQ10" s="143">
        <v>8.6</v>
      </c>
      <c r="AR10" s="141"/>
      <c r="AS10" s="142">
        <v>0.1</v>
      </c>
      <c r="AT10" s="142">
        <v>0.2</v>
      </c>
      <c r="AU10" s="143">
        <v>8</v>
      </c>
      <c r="AV10" s="143">
        <v>4.03</v>
      </c>
      <c r="AW10" s="141"/>
      <c r="AX10" s="142">
        <v>0.1</v>
      </c>
      <c r="AY10" s="142">
        <v>0.15</v>
      </c>
      <c r="AZ10" s="143">
        <v>8</v>
      </c>
      <c r="BA10" s="143">
        <v>2.74</v>
      </c>
      <c r="BB10" s="141"/>
      <c r="BC10" s="142">
        <v>0.1</v>
      </c>
      <c r="BD10" s="142">
        <v>0.25</v>
      </c>
      <c r="BE10" s="248">
        <v>13</v>
      </c>
      <c r="BF10" s="143">
        <v>14.52</v>
      </c>
      <c r="BG10" s="141">
        <v>61.875</v>
      </c>
      <c r="BH10" s="142">
        <v>0.1</v>
      </c>
      <c r="BI10" s="142">
        <v>0.15</v>
      </c>
      <c r="BJ10" s="143">
        <v>8</v>
      </c>
      <c r="BK10" s="143">
        <v>11.37</v>
      </c>
      <c r="BL10" s="141"/>
      <c r="BM10" s="142">
        <v>0.1</v>
      </c>
      <c r="BN10" s="142">
        <v>0</v>
      </c>
      <c r="BO10" s="143"/>
      <c r="BP10" s="143"/>
      <c r="BQ10" s="141"/>
      <c r="BR10" s="142"/>
      <c r="BS10" s="142"/>
      <c r="BT10" s="143"/>
      <c r="BU10" s="143"/>
    </row>
    <row r="11" spans="2:73">
      <c r="B11" s="412"/>
      <c r="C11" s="410"/>
      <c r="D11" s="402" t="s">
        <v>233</v>
      </c>
      <c r="E11" s="222" t="s">
        <v>292</v>
      </c>
      <c r="F11" s="4"/>
      <c r="G11" s="140" t="s">
        <v>264</v>
      </c>
      <c r="H11" s="140"/>
      <c r="I11" s="141"/>
      <c r="J11" s="142">
        <v>0.1</v>
      </c>
      <c r="K11" s="142">
        <v>0.1</v>
      </c>
      <c r="L11" s="248">
        <v>15</v>
      </c>
      <c r="M11" s="143">
        <v>16.059999999999999</v>
      </c>
      <c r="N11" s="141"/>
      <c r="O11" s="142">
        <v>0.1</v>
      </c>
      <c r="P11" s="142">
        <v>0.1</v>
      </c>
      <c r="Q11" s="143">
        <v>11</v>
      </c>
      <c r="R11" s="143">
        <v>10.91</v>
      </c>
      <c r="S11" s="141"/>
      <c r="T11" s="142">
        <v>0</v>
      </c>
      <c r="U11" s="142">
        <v>0.1</v>
      </c>
      <c r="V11" s="248">
        <v>15</v>
      </c>
      <c r="W11" s="143">
        <v>31.24</v>
      </c>
      <c r="X11" s="141"/>
      <c r="Y11" s="142"/>
      <c r="Z11" s="142"/>
      <c r="AA11" s="143"/>
      <c r="AB11" s="143"/>
      <c r="AC11" s="141"/>
      <c r="AD11" s="142">
        <v>0.05</v>
      </c>
      <c r="AE11" s="142">
        <v>0.05</v>
      </c>
      <c r="AF11" s="143">
        <v>45</v>
      </c>
      <c r="AG11" s="143">
        <v>49.91</v>
      </c>
      <c r="AH11" s="141"/>
      <c r="AI11" s="142">
        <v>0.05</v>
      </c>
      <c r="AJ11" s="142">
        <v>0.05</v>
      </c>
      <c r="AK11" s="143">
        <v>45</v>
      </c>
      <c r="AL11" s="143">
        <v>40.770000000000003</v>
      </c>
      <c r="AM11" s="141"/>
      <c r="AN11" s="142">
        <v>0.05</v>
      </c>
      <c r="AO11" s="142">
        <v>0</v>
      </c>
      <c r="AP11" s="143"/>
      <c r="AQ11" s="143"/>
      <c r="AR11" s="141"/>
      <c r="AS11" s="142">
        <v>0.1</v>
      </c>
      <c r="AT11" s="142">
        <v>0</v>
      </c>
      <c r="AU11" s="143"/>
      <c r="AV11" s="143"/>
      <c r="AW11" s="141"/>
      <c r="AX11" s="142">
        <v>0.1</v>
      </c>
      <c r="AY11" s="142">
        <v>0</v>
      </c>
      <c r="AZ11" s="143"/>
      <c r="BA11" s="143"/>
      <c r="BB11" s="141"/>
      <c r="BC11" s="142">
        <v>0.1</v>
      </c>
      <c r="BD11" s="142">
        <v>0</v>
      </c>
      <c r="BE11" s="143"/>
      <c r="BF11" s="143"/>
      <c r="BG11" s="141">
        <v>83.5</v>
      </c>
      <c r="BH11" s="142">
        <v>0.1</v>
      </c>
      <c r="BI11" s="142">
        <v>0</v>
      </c>
      <c r="BJ11" s="143"/>
      <c r="BK11" s="143"/>
      <c r="BL11" s="141"/>
      <c r="BM11" s="142">
        <v>0.1</v>
      </c>
      <c r="BN11" s="142">
        <v>0.25</v>
      </c>
      <c r="BO11" s="143">
        <v>8</v>
      </c>
      <c r="BP11" s="143">
        <v>9.14</v>
      </c>
      <c r="BQ11" s="141"/>
      <c r="BR11" s="142"/>
      <c r="BS11" s="142"/>
      <c r="BT11" s="143"/>
      <c r="BU11" s="143"/>
    </row>
    <row r="12" spans="2:73">
      <c r="B12" s="412"/>
      <c r="C12" s="410"/>
      <c r="D12" s="403"/>
      <c r="E12" s="124" t="s">
        <v>20</v>
      </c>
      <c r="F12" s="4"/>
      <c r="G12" s="140">
        <v>55</v>
      </c>
      <c r="H12" s="140"/>
      <c r="I12" s="141"/>
      <c r="J12" s="142">
        <v>0.1</v>
      </c>
      <c r="K12" s="142">
        <v>0.1</v>
      </c>
      <c r="L12" s="248">
        <v>37</v>
      </c>
      <c r="M12" s="143">
        <v>36.96</v>
      </c>
      <c r="N12" s="141"/>
      <c r="O12" s="142">
        <v>0.1</v>
      </c>
      <c r="P12" s="142">
        <v>0.1</v>
      </c>
      <c r="Q12" s="143">
        <v>30</v>
      </c>
      <c r="R12" s="143">
        <v>29.3</v>
      </c>
      <c r="S12" s="141"/>
      <c r="T12" s="142">
        <v>0.2</v>
      </c>
      <c r="U12" s="142">
        <v>0.15</v>
      </c>
      <c r="V12" s="248">
        <v>35</v>
      </c>
      <c r="W12" s="143">
        <v>40.36</v>
      </c>
      <c r="X12" s="141"/>
      <c r="Y12" s="142"/>
      <c r="Z12" s="142"/>
      <c r="AA12" s="143"/>
      <c r="AB12" s="243"/>
      <c r="AC12" s="141"/>
      <c r="AD12" s="142">
        <v>7.0000000000000007E-2</v>
      </c>
      <c r="AE12" s="142">
        <v>7.0000000000000007E-2</v>
      </c>
      <c r="AF12" s="143">
        <v>60</v>
      </c>
      <c r="AG12" s="143">
        <v>66.069999999999993</v>
      </c>
      <c r="AH12" s="141"/>
      <c r="AI12" s="142">
        <v>7.0000000000000007E-2</v>
      </c>
      <c r="AJ12" s="142">
        <v>7.0000000000000007E-2</v>
      </c>
      <c r="AK12" s="143">
        <v>60</v>
      </c>
      <c r="AL12" s="143">
        <v>58.34</v>
      </c>
      <c r="AM12" s="141"/>
      <c r="AN12" s="142">
        <v>0.05</v>
      </c>
      <c r="AO12" s="142">
        <v>0</v>
      </c>
      <c r="AP12" s="143"/>
      <c r="AQ12" s="143"/>
      <c r="AR12" s="141"/>
      <c r="AS12" s="142">
        <v>0.1</v>
      </c>
      <c r="AT12" s="142">
        <v>0</v>
      </c>
      <c r="AU12" s="143"/>
      <c r="AV12" s="143"/>
      <c r="AW12" s="141"/>
      <c r="AX12" s="142">
        <v>0.1</v>
      </c>
      <c r="AY12" s="142">
        <v>0</v>
      </c>
      <c r="AZ12" s="143"/>
      <c r="BA12" s="143"/>
      <c r="BB12" s="141"/>
      <c r="BC12" s="142">
        <v>0.1</v>
      </c>
      <c r="BD12" s="142">
        <v>0</v>
      </c>
      <c r="BE12" s="143"/>
      <c r="BF12" s="143"/>
      <c r="BG12" s="141"/>
      <c r="BH12" s="142">
        <v>0.1</v>
      </c>
      <c r="BI12" s="142">
        <v>0</v>
      </c>
      <c r="BJ12" s="143"/>
      <c r="BK12" s="143"/>
      <c r="BL12" s="141"/>
      <c r="BM12" s="142">
        <v>0.1</v>
      </c>
      <c r="BN12" s="142">
        <v>0.25</v>
      </c>
      <c r="BO12" s="143">
        <v>5</v>
      </c>
      <c r="BP12" s="143">
        <v>6.89</v>
      </c>
      <c r="BQ12" s="141"/>
      <c r="BR12" s="142"/>
      <c r="BS12" s="142"/>
      <c r="BT12" s="143"/>
      <c r="BU12" s="143"/>
    </row>
    <row r="13" spans="2:73">
      <c r="B13" s="412"/>
      <c r="C13" s="393" t="s">
        <v>146</v>
      </c>
      <c r="D13" s="411" t="s">
        <v>234</v>
      </c>
      <c r="E13" s="146" t="s">
        <v>38</v>
      </c>
      <c r="F13" s="4"/>
      <c r="G13" s="140">
        <v>0</v>
      </c>
      <c r="H13" s="140"/>
      <c r="I13" s="142"/>
      <c r="J13" s="142">
        <v>0.1</v>
      </c>
      <c r="K13" s="142">
        <v>0.1</v>
      </c>
      <c r="L13" s="147">
        <v>0.1</v>
      </c>
      <c r="M13" s="147">
        <v>0.02</v>
      </c>
      <c r="N13" s="142"/>
      <c r="O13" s="142">
        <v>0.05</v>
      </c>
      <c r="P13" s="142">
        <v>0.1</v>
      </c>
      <c r="Q13" s="147">
        <v>0.1</v>
      </c>
      <c r="R13" s="147">
        <v>0.01</v>
      </c>
      <c r="S13" s="142"/>
      <c r="T13" s="142">
        <v>0.05</v>
      </c>
      <c r="U13" s="142">
        <v>0.1</v>
      </c>
      <c r="V13" s="147">
        <v>0.1</v>
      </c>
      <c r="W13" s="147">
        <v>0.02</v>
      </c>
      <c r="X13" s="142"/>
      <c r="Y13" s="142"/>
      <c r="Z13" s="142"/>
      <c r="AA13" s="147"/>
      <c r="AB13" s="240"/>
      <c r="AC13" s="142"/>
      <c r="AD13" s="142">
        <v>0.05</v>
      </c>
      <c r="AE13" s="142">
        <v>0.05</v>
      </c>
      <c r="AF13" s="147">
        <v>0.1</v>
      </c>
      <c r="AG13" s="147">
        <v>0.01</v>
      </c>
      <c r="AH13" s="142"/>
      <c r="AI13" s="142">
        <v>0.05</v>
      </c>
      <c r="AJ13" s="142">
        <v>0.05</v>
      </c>
      <c r="AK13" s="147">
        <v>0.1</v>
      </c>
      <c r="AL13" s="147">
        <v>0</v>
      </c>
      <c r="AM13" s="142"/>
      <c r="AN13" s="142">
        <v>0.1</v>
      </c>
      <c r="AO13" s="142">
        <v>0.15</v>
      </c>
      <c r="AP13" s="147">
        <v>0.15</v>
      </c>
      <c r="AQ13" s="147">
        <v>7.0000000000000007E-2</v>
      </c>
      <c r="AR13" s="142"/>
      <c r="AS13" s="142">
        <v>0.15</v>
      </c>
      <c r="AT13" s="142">
        <v>0.15</v>
      </c>
      <c r="AU13" s="147">
        <v>0.15</v>
      </c>
      <c r="AV13" s="147">
        <v>0.03</v>
      </c>
      <c r="AW13" s="142"/>
      <c r="AX13" s="142">
        <v>0.15</v>
      </c>
      <c r="AY13" s="142">
        <v>0.2</v>
      </c>
      <c r="AZ13" s="147">
        <v>0.15</v>
      </c>
      <c r="BA13" s="147">
        <v>0.09</v>
      </c>
      <c r="BB13" s="142"/>
      <c r="BC13" s="142">
        <v>0.15</v>
      </c>
      <c r="BD13" s="142">
        <v>0.15</v>
      </c>
      <c r="BE13" s="147">
        <v>0.15</v>
      </c>
      <c r="BF13" s="147">
        <v>0.03</v>
      </c>
      <c r="BG13" s="142"/>
      <c r="BH13" s="142">
        <v>0.1</v>
      </c>
      <c r="BI13" s="142">
        <v>0.15</v>
      </c>
      <c r="BJ13" s="147">
        <v>0.15</v>
      </c>
      <c r="BK13" s="147">
        <v>0.08</v>
      </c>
      <c r="BL13" s="142"/>
      <c r="BM13" s="142">
        <v>0.1</v>
      </c>
      <c r="BN13" s="142">
        <v>0</v>
      </c>
      <c r="BO13" s="147"/>
      <c r="BP13" s="147"/>
      <c r="BQ13" s="142"/>
      <c r="BR13" s="142"/>
      <c r="BS13" s="142"/>
      <c r="BT13" s="147"/>
      <c r="BU13" s="147"/>
    </row>
    <row r="14" spans="2:73">
      <c r="B14" s="412"/>
      <c r="C14" s="394"/>
      <c r="D14" s="411"/>
      <c r="E14" s="145" t="s">
        <v>40</v>
      </c>
      <c r="F14" s="4"/>
      <c r="G14" s="140">
        <v>0</v>
      </c>
      <c r="H14" s="140"/>
      <c r="I14" s="142"/>
      <c r="J14" s="142">
        <v>0.1</v>
      </c>
      <c r="K14" s="142">
        <v>0.1</v>
      </c>
      <c r="L14" s="147">
        <v>0.05</v>
      </c>
      <c r="M14" s="147">
        <v>0.01</v>
      </c>
      <c r="N14" s="142"/>
      <c r="O14" s="142">
        <v>0.05</v>
      </c>
      <c r="P14" s="142">
        <v>0.1</v>
      </c>
      <c r="Q14" s="147">
        <v>0.05</v>
      </c>
      <c r="R14" s="147">
        <v>0.01</v>
      </c>
      <c r="S14" s="142"/>
      <c r="T14" s="142">
        <v>0.05</v>
      </c>
      <c r="U14" s="142">
        <v>0.1</v>
      </c>
      <c r="V14" s="147">
        <v>0.05</v>
      </c>
      <c r="W14" s="147">
        <v>0</v>
      </c>
      <c r="X14" s="142"/>
      <c r="Y14" s="142"/>
      <c r="Z14" s="142"/>
      <c r="AA14" s="147"/>
      <c r="AB14" s="240"/>
      <c r="AC14" s="142"/>
      <c r="AD14" s="142">
        <v>0.05</v>
      </c>
      <c r="AE14" s="142">
        <v>0.05</v>
      </c>
      <c r="AF14" s="147">
        <v>0.05</v>
      </c>
      <c r="AG14" s="147">
        <v>0</v>
      </c>
      <c r="AH14" s="142"/>
      <c r="AI14" s="142">
        <v>0.05</v>
      </c>
      <c r="AJ14" s="142">
        <v>0.05</v>
      </c>
      <c r="AK14" s="147">
        <v>0.05</v>
      </c>
      <c r="AL14" s="147">
        <v>0</v>
      </c>
      <c r="AM14" s="142"/>
      <c r="AN14" s="142">
        <v>0.1</v>
      </c>
      <c r="AO14" s="142">
        <v>0.15</v>
      </c>
      <c r="AP14" s="147">
        <v>0.1</v>
      </c>
      <c r="AQ14" s="147">
        <v>0</v>
      </c>
      <c r="AR14" s="142"/>
      <c r="AS14" s="142">
        <v>0.1</v>
      </c>
      <c r="AT14" s="142">
        <v>0.1</v>
      </c>
      <c r="AU14" s="147">
        <v>0.1</v>
      </c>
      <c r="AV14" s="147">
        <v>0.02</v>
      </c>
      <c r="AW14" s="142"/>
      <c r="AX14" s="142">
        <v>0.1</v>
      </c>
      <c r="AY14" s="142">
        <v>0.15</v>
      </c>
      <c r="AZ14" s="147">
        <v>0.1</v>
      </c>
      <c r="BA14" s="147">
        <v>0.01</v>
      </c>
      <c r="BB14" s="142"/>
      <c r="BC14" s="142">
        <v>0.15</v>
      </c>
      <c r="BD14" s="142">
        <v>0.15</v>
      </c>
      <c r="BE14" s="147">
        <v>0.1</v>
      </c>
      <c r="BF14" s="257">
        <v>0.1</v>
      </c>
      <c r="BG14" s="142"/>
      <c r="BH14" s="142">
        <v>0.15</v>
      </c>
      <c r="BI14" s="142">
        <v>0.15</v>
      </c>
      <c r="BJ14" s="147">
        <v>0.1</v>
      </c>
      <c r="BK14" s="147">
        <v>0.01</v>
      </c>
      <c r="BL14" s="142"/>
      <c r="BM14" s="142">
        <v>0.1</v>
      </c>
      <c r="BN14" s="142">
        <v>0</v>
      </c>
      <c r="BO14" s="147"/>
      <c r="BP14" s="147"/>
      <c r="BQ14" s="142"/>
      <c r="BR14" s="142"/>
      <c r="BS14" s="142"/>
      <c r="BT14" s="147"/>
      <c r="BU14" s="147"/>
    </row>
    <row r="15" spans="2:73">
      <c r="B15" s="412"/>
      <c r="C15" s="394"/>
      <c r="D15" s="411"/>
      <c r="E15" s="145" t="s">
        <v>235</v>
      </c>
      <c r="F15" s="4"/>
      <c r="G15" s="140">
        <v>0</v>
      </c>
      <c r="H15" s="140"/>
      <c r="I15" s="142"/>
      <c r="J15" s="142">
        <v>0.1</v>
      </c>
      <c r="K15" s="142">
        <v>0.1</v>
      </c>
      <c r="L15" s="147">
        <v>0.25</v>
      </c>
      <c r="M15" s="147">
        <v>0.32</v>
      </c>
      <c r="N15" s="142"/>
      <c r="O15" s="142">
        <v>0.05</v>
      </c>
      <c r="P15" s="142">
        <v>0.05</v>
      </c>
      <c r="Q15" s="147">
        <v>0.25</v>
      </c>
      <c r="R15" s="147">
        <v>0.35</v>
      </c>
      <c r="S15" s="142"/>
      <c r="T15" s="142">
        <v>0</v>
      </c>
      <c r="U15" s="142">
        <v>0.1</v>
      </c>
      <c r="V15" s="147">
        <v>0.25</v>
      </c>
      <c r="W15" s="147">
        <v>0.54</v>
      </c>
      <c r="X15" s="142"/>
      <c r="Y15" s="142">
        <v>0.05</v>
      </c>
      <c r="Z15" s="142">
        <v>0.05</v>
      </c>
      <c r="AA15" s="147">
        <v>0.25</v>
      </c>
      <c r="AB15" s="147">
        <v>0.47</v>
      </c>
      <c r="AC15" s="142"/>
      <c r="AD15" s="142"/>
      <c r="AE15" s="142"/>
      <c r="AF15" s="147"/>
      <c r="AG15" s="147"/>
      <c r="AH15" s="142"/>
      <c r="AI15" s="142"/>
      <c r="AJ15" s="142"/>
      <c r="AK15" s="147"/>
      <c r="AL15" s="147"/>
      <c r="AM15" s="142"/>
      <c r="AN15" s="142">
        <v>0.05</v>
      </c>
      <c r="AO15" s="142">
        <v>0</v>
      </c>
      <c r="AP15" s="147"/>
      <c r="AQ15" s="147"/>
      <c r="AR15" s="142"/>
      <c r="AS15" s="142"/>
      <c r="AT15" s="142"/>
      <c r="AU15" s="147"/>
      <c r="AV15" s="147"/>
      <c r="AW15" s="142"/>
      <c r="AX15" s="142">
        <v>0</v>
      </c>
      <c r="AY15" s="142">
        <v>0</v>
      </c>
      <c r="AZ15" s="147"/>
      <c r="BA15" s="147"/>
      <c r="BB15" s="142"/>
      <c r="BC15" s="142">
        <v>0</v>
      </c>
      <c r="BD15" s="142">
        <v>0</v>
      </c>
      <c r="BE15" s="147"/>
      <c r="BF15" s="147"/>
      <c r="BG15" s="142"/>
      <c r="BH15" s="142">
        <v>0</v>
      </c>
      <c r="BI15" s="142">
        <v>0</v>
      </c>
      <c r="BJ15" s="147"/>
      <c r="BK15" s="147"/>
      <c r="BL15" s="142"/>
      <c r="BM15" s="142"/>
      <c r="BN15" s="142"/>
      <c r="BO15" s="147"/>
      <c r="BP15" s="147"/>
      <c r="BQ15" s="142"/>
      <c r="BR15" s="142">
        <v>0.02</v>
      </c>
      <c r="BS15" s="142">
        <v>0.05</v>
      </c>
      <c r="BT15" s="147">
        <v>0.25</v>
      </c>
      <c r="BU15" s="147">
        <v>0.31</v>
      </c>
    </row>
    <row r="16" spans="2:73">
      <c r="B16" s="412"/>
      <c r="C16" s="394"/>
      <c r="D16" s="148" t="s">
        <v>236</v>
      </c>
      <c r="E16" s="149" t="s">
        <v>237</v>
      </c>
      <c r="F16" s="4"/>
      <c r="G16" s="140">
        <v>0.95</v>
      </c>
      <c r="H16" s="140"/>
      <c r="I16" s="142"/>
      <c r="J16" s="142">
        <v>0</v>
      </c>
      <c r="K16" s="142">
        <v>0</v>
      </c>
      <c r="L16" s="147"/>
      <c r="M16" s="147"/>
      <c r="N16" s="142"/>
      <c r="O16" s="142">
        <v>0</v>
      </c>
      <c r="P16" s="142">
        <v>0</v>
      </c>
      <c r="Q16" s="147"/>
      <c r="R16" s="147"/>
      <c r="S16" s="142"/>
      <c r="T16" s="142">
        <v>0.1</v>
      </c>
      <c r="U16" s="142">
        <v>0</v>
      </c>
      <c r="V16" s="147"/>
      <c r="W16" s="147"/>
      <c r="X16" s="142"/>
      <c r="Y16" s="142"/>
      <c r="Z16" s="142"/>
      <c r="AA16" s="147"/>
      <c r="AB16" s="240"/>
      <c r="AC16" s="142"/>
      <c r="AD16" s="142">
        <v>0</v>
      </c>
      <c r="AE16" s="142">
        <v>0</v>
      </c>
      <c r="AF16" s="147"/>
      <c r="AG16" s="147"/>
      <c r="AH16" s="142"/>
      <c r="AI16" s="142">
        <v>0</v>
      </c>
      <c r="AJ16" s="142">
        <v>0</v>
      </c>
      <c r="AK16" s="147"/>
      <c r="AL16" s="147"/>
      <c r="AM16" s="142"/>
      <c r="AN16" s="142"/>
      <c r="AO16" s="142"/>
      <c r="AP16" s="147"/>
      <c r="AQ16" s="147"/>
      <c r="AR16" s="142"/>
      <c r="AS16" s="142"/>
      <c r="AT16" s="142"/>
      <c r="AU16" s="147"/>
      <c r="AV16" s="147"/>
      <c r="AW16" s="142"/>
      <c r="AX16" s="142"/>
      <c r="AY16" s="142"/>
      <c r="AZ16" s="147"/>
      <c r="BA16" s="147"/>
      <c r="BB16" s="142"/>
      <c r="BC16" s="142"/>
      <c r="BD16" s="142"/>
      <c r="BE16" s="147"/>
      <c r="BF16" s="147"/>
      <c r="BG16" s="142"/>
      <c r="BH16" s="142"/>
      <c r="BI16" s="142"/>
      <c r="BJ16" s="147"/>
      <c r="BK16" s="147"/>
      <c r="BL16" s="142"/>
      <c r="BM16" s="142"/>
      <c r="BN16" s="142"/>
      <c r="BO16" s="147"/>
      <c r="BP16" s="147"/>
      <c r="BQ16" s="142"/>
      <c r="BR16" s="142"/>
      <c r="BS16" s="142"/>
      <c r="BT16" s="147"/>
      <c r="BU16" s="147"/>
    </row>
    <row r="17" spans="2:73">
      <c r="B17" s="412"/>
      <c r="C17" s="394"/>
      <c r="D17" s="148"/>
      <c r="E17" s="180" t="s">
        <v>269</v>
      </c>
      <c r="F17" s="4"/>
      <c r="G17" s="140"/>
      <c r="H17" s="140"/>
      <c r="I17" s="142"/>
      <c r="J17" s="142"/>
      <c r="K17" s="142"/>
      <c r="L17" s="147"/>
      <c r="M17" s="147"/>
      <c r="N17" s="142"/>
      <c r="O17" s="142"/>
      <c r="P17" s="142"/>
      <c r="Q17" s="147"/>
      <c r="R17" s="147"/>
      <c r="S17" s="142"/>
      <c r="T17" s="142"/>
      <c r="U17" s="142"/>
      <c r="V17" s="147"/>
      <c r="W17" s="147"/>
      <c r="X17" s="142"/>
      <c r="Y17" s="142"/>
      <c r="Z17" s="142"/>
      <c r="AA17" s="147"/>
      <c r="AB17" s="240"/>
      <c r="AC17" s="142"/>
      <c r="AD17" s="142">
        <v>0</v>
      </c>
      <c r="AE17" s="142">
        <v>0</v>
      </c>
      <c r="AF17" s="147"/>
      <c r="AG17" s="147"/>
      <c r="AH17" s="142"/>
      <c r="AI17" s="142">
        <v>0</v>
      </c>
      <c r="AJ17" s="142">
        <v>0</v>
      </c>
      <c r="AK17" s="147"/>
      <c r="AL17" s="147"/>
      <c r="AM17" s="142"/>
      <c r="AN17" s="142">
        <v>0</v>
      </c>
      <c r="AO17" s="142">
        <v>0</v>
      </c>
      <c r="AP17" s="147"/>
      <c r="AQ17" s="147"/>
      <c r="AR17" s="142"/>
      <c r="AS17" s="142"/>
      <c r="AT17" s="142"/>
      <c r="AU17" s="147"/>
      <c r="AV17" s="147"/>
      <c r="AW17" s="142"/>
      <c r="AX17" s="142">
        <v>0</v>
      </c>
      <c r="AY17" s="142">
        <v>0</v>
      </c>
      <c r="AZ17" s="147"/>
      <c r="BA17" s="147"/>
      <c r="BB17" s="142"/>
      <c r="BC17" s="142">
        <v>0</v>
      </c>
      <c r="BD17" s="142">
        <v>0</v>
      </c>
      <c r="BE17" s="147"/>
      <c r="BF17" s="147"/>
      <c r="BG17" s="142"/>
      <c r="BH17" s="142"/>
      <c r="BI17" s="142"/>
      <c r="BJ17" s="147"/>
      <c r="BK17" s="147"/>
      <c r="BL17" s="142"/>
      <c r="BM17" s="142">
        <v>0.1</v>
      </c>
      <c r="BN17" s="142">
        <v>0.15</v>
      </c>
      <c r="BO17" s="147">
        <v>0.1</v>
      </c>
      <c r="BP17" s="147">
        <v>0.15</v>
      </c>
      <c r="BQ17" s="142"/>
      <c r="BR17" s="142"/>
      <c r="BS17" s="142"/>
      <c r="BT17" s="147"/>
      <c r="BU17" s="147"/>
    </row>
    <row r="18" spans="2:73">
      <c r="B18" s="403"/>
      <c r="C18" s="395"/>
      <c r="D18" s="148"/>
      <c r="E18" s="180" t="s">
        <v>42</v>
      </c>
      <c r="F18" s="4"/>
      <c r="G18" s="140"/>
      <c r="H18" s="140"/>
      <c r="I18" s="142"/>
      <c r="J18" s="142">
        <v>0.05</v>
      </c>
      <c r="K18" s="142">
        <v>0.05</v>
      </c>
      <c r="L18" s="147">
        <v>0.05</v>
      </c>
      <c r="M18" s="257">
        <v>0.05</v>
      </c>
      <c r="N18" s="142"/>
      <c r="O18" s="142">
        <v>0.05</v>
      </c>
      <c r="P18" s="142">
        <v>0.05</v>
      </c>
      <c r="Q18" s="147">
        <v>0.05</v>
      </c>
      <c r="R18" s="147">
        <v>0</v>
      </c>
      <c r="S18" s="142"/>
      <c r="T18" s="142"/>
      <c r="U18" s="142">
        <v>0.05</v>
      </c>
      <c r="V18" s="147">
        <v>0.05</v>
      </c>
      <c r="W18" s="257">
        <v>0.05</v>
      </c>
      <c r="X18" s="142"/>
      <c r="Y18" s="142"/>
      <c r="Z18" s="142"/>
      <c r="AA18" s="147"/>
      <c r="AB18" s="240"/>
      <c r="AC18" s="142"/>
      <c r="AD18" s="142">
        <v>0.06</v>
      </c>
      <c r="AE18" s="142">
        <v>0.06</v>
      </c>
      <c r="AF18" s="147">
        <v>0.05</v>
      </c>
      <c r="AG18" s="147">
        <v>0.04</v>
      </c>
      <c r="AH18" s="142"/>
      <c r="AI18" s="142">
        <v>0.06</v>
      </c>
      <c r="AJ18" s="142">
        <v>0.06</v>
      </c>
      <c r="AK18" s="147">
        <v>0.05</v>
      </c>
      <c r="AL18" s="147">
        <v>0.03</v>
      </c>
      <c r="AM18" s="142"/>
      <c r="AN18" s="142">
        <v>0.05</v>
      </c>
      <c r="AO18" s="142">
        <v>0</v>
      </c>
      <c r="AP18" s="147"/>
      <c r="AQ18" s="147"/>
      <c r="AR18" s="142"/>
      <c r="AS18" s="142">
        <v>0.1</v>
      </c>
      <c r="AT18" s="142">
        <v>0</v>
      </c>
      <c r="AU18" s="147"/>
      <c r="AV18" s="147"/>
      <c r="AW18" s="142"/>
      <c r="AX18" s="142">
        <v>0.05</v>
      </c>
      <c r="AY18" s="142">
        <v>0</v>
      </c>
      <c r="AZ18" s="147"/>
      <c r="BA18" s="147"/>
      <c r="BB18" s="142"/>
      <c r="BC18" s="142">
        <v>0.1</v>
      </c>
      <c r="BD18" s="142">
        <v>0</v>
      </c>
      <c r="BE18" s="147"/>
      <c r="BF18" s="147"/>
      <c r="BG18" s="142"/>
      <c r="BH18" s="142">
        <v>0.05</v>
      </c>
      <c r="BI18" s="142">
        <v>0</v>
      </c>
      <c r="BJ18" s="147"/>
      <c r="BK18" s="147"/>
      <c r="BL18" s="142"/>
      <c r="BM18" s="142">
        <v>0.1</v>
      </c>
      <c r="BN18" s="142">
        <v>0.15</v>
      </c>
      <c r="BO18" s="147">
        <v>0.05</v>
      </c>
      <c r="BP18" s="147">
        <v>0</v>
      </c>
      <c r="BQ18" s="142"/>
      <c r="BR18" s="142"/>
      <c r="BS18" s="142"/>
      <c r="BT18" s="147"/>
      <c r="BU18" s="147"/>
    </row>
    <row r="19" spans="2:73">
      <c r="B19" s="399" t="s">
        <v>238</v>
      </c>
      <c r="C19" s="150" t="s">
        <v>239</v>
      </c>
      <c r="D19" s="151" t="s">
        <v>240</v>
      </c>
      <c r="E19" s="14" t="s">
        <v>48</v>
      </c>
      <c r="F19" s="4"/>
      <c r="G19" s="140">
        <v>0.95</v>
      </c>
      <c r="H19" s="140"/>
      <c r="I19" s="142"/>
      <c r="J19" s="142">
        <v>0</v>
      </c>
      <c r="K19" s="142">
        <v>0</v>
      </c>
      <c r="L19" s="147"/>
      <c r="M19" s="147"/>
      <c r="N19" s="142"/>
      <c r="O19" s="142">
        <v>0</v>
      </c>
      <c r="P19" s="142">
        <v>0</v>
      </c>
      <c r="Q19" s="147"/>
      <c r="R19" s="147"/>
      <c r="S19" s="142"/>
      <c r="T19" s="142">
        <v>0</v>
      </c>
      <c r="U19" s="152"/>
      <c r="V19" s="153"/>
      <c r="W19" s="147"/>
      <c r="X19" s="142"/>
      <c r="Y19" s="142">
        <v>0.05</v>
      </c>
      <c r="Z19" s="142">
        <v>0.06</v>
      </c>
      <c r="AA19" s="147">
        <v>0.9</v>
      </c>
      <c r="AB19" s="147">
        <v>1</v>
      </c>
      <c r="AC19" s="142"/>
      <c r="AD19" s="152"/>
      <c r="AE19" s="152"/>
      <c r="AF19" s="147"/>
      <c r="AG19" s="147"/>
      <c r="AH19" s="142"/>
      <c r="AI19" s="152"/>
      <c r="AJ19" s="152"/>
      <c r="AK19" s="147"/>
      <c r="AL19" s="147"/>
      <c r="AM19" s="142"/>
      <c r="AN19" s="152"/>
      <c r="AO19" s="152"/>
      <c r="AP19" s="147"/>
      <c r="AQ19" s="147"/>
      <c r="AR19" s="142"/>
      <c r="AS19" s="152">
        <v>0</v>
      </c>
      <c r="AT19" s="152">
        <v>0</v>
      </c>
      <c r="AU19" s="147"/>
      <c r="AV19" s="147"/>
      <c r="AW19" s="142"/>
      <c r="AX19" s="152">
        <v>0</v>
      </c>
      <c r="AY19" s="152">
        <v>0</v>
      </c>
      <c r="AZ19" s="147"/>
      <c r="BA19" s="147"/>
      <c r="BB19" s="142"/>
      <c r="BC19" s="152">
        <v>0</v>
      </c>
      <c r="BD19" s="152">
        <v>0</v>
      </c>
      <c r="BE19" s="147"/>
      <c r="BF19" s="147"/>
      <c r="BG19" s="142"/>
      <c r="BH19" s="152"/>
      <c r="BI19" s="152"/>
      <c r="BJ19" s="147"/>
      <c r="BK19" s="147"/>
      <c r="BL19" s="142"/>
      <c r="BM19" s="152"/>
      <c r="BN19" s="152"/>
      <c r="BO19" s="147"/>
      <c r="BP19" s="147"/>
      <c r="BQ19" s="142"/>
      <c r="BR19" s="152">
        <v>0.02</v>
      </c>
      <c r="BS19" s="152">
        <v>0.03</v>
      </c>
      <c r="BT19" s="247">
        <v>0.9</v>
      </c>
      <c r="BU19" s="147">
        <v>1</v>
      </c>
    </row>
    <row r="20" spans="2:73">
      <c r="B20" s="400"/>
      <c r="C20" s="388" t="s">
        <v>35</v>
      </c>
      <c r="D20" s="391" t="s">
        <v>241</v>
      </c>
      <c r="E20" s="14" t="s">
        <v>242</v>
      </c>
      <c r="F20" s="4"/>
      <c r="G20" s="140">
        <v>28</v>
      </c>
      <c r="H20" s="140"/>
      <c r="I20" s="141"/>
      <c r="J20" s="142">
        <v>0</v>
      </c>
      <c r="K20" s="142">
        <v>0</v>
      </c>
      <c r="L20" s="143"/>
      <c r="M20" s="143"/>
      <c r="N20" s="141"/>
      <c r="O20" s="142">
        <v>0.05</v>
      </c>
      <c r="P20" s="142">
        <v>0</v>
      </c>
      <c r="Q20" s="143"/>
      <c r="R20" s="143"/>
      <c r="S20" s="141"/>
      <c r="T20" s="142">
        <v>0</v>
      </c>
      <c r="U20" s="152"/>
      <c r="V20" s="187"/>
      <c r="W20" s="143"/>
      <c r="X20" s="141"/>
      <c r="Y20" s="142">
        <v>0.05</v>
      </c>
      <c r="Z20" s="142">
        <v>0.06</v>
      </c>
      <c r="AA20" s="248">
        <v>35</v>
      </c>
      <c r="AB20" s="243">
        <v>37.01</v>
      </c>
      <c r="AC20" s="141"/>
      <c r="AD20" s="152"/>
      <c r="AE20" s="152"/>
      <c r="AF20" s="143"/>
      <c r="AG20" s="143"/>
      <c r="AH20" s="141"/>
      <c r="AI20" s="152"/>
      <c r="AJ20" s="152"/>
      <c r="AK20" s="143"/>
      <c r="AL20" s="143"/>
      <c r="AM20" s="141"/>
      <c r="AN20" s="152"/>
      <c r="AO20" s="152"/>
      <c r="AP20" s="143"/>
      <c r="AQ20" s="143"/>
      <c r="AR20" s="141"/>
      <c r="AS20" s="152">
        <v>0</v>
      </c>
      <c r="AT20" s="152">
        <v>0</v>
      </c>
      <c r="AU20" s="143"/>
      <c r="AV20" s="143"/>
      <c r="AW20" s="141"/>
      <c r="AX20" s="152">
        <v>0</v>
      </c>
      <c r="AY20" s="152">
        <v>0</v>
      </c>
      <c r="AZ20" s="143"/>
      <c r="BA20" s="143"/>
      <c r="BB20" s="141"/>
      <c r="BC20" s="152">
        <v>0</v>
      </c>
      <c r="BD20" s="152">
        <v>0</v>
      </c>
      <c r="BE20" s="143"/>
      <c r="BF20" s="143"/>
      <c r="BG20" s="141"/>
      <c r="BH20" s="152"/>
      <c r="BI20" s="152"/>
      <c r="BJ20" s="143"/>
      <c r="BK20" s="143"/>
      <c r="BL20" s="141"/>
      <c r="BM20" s="152"/>
      <c r="BN20" s="152"/>
      <c r="BO20" s="143"/>
      <c r="BP20" s="143"/>
      <c r="BQ20" s="141"/>
      <c r="BR20" s="152">
        <v>0.02</v>
      </c>
      <c r="BS20" s="152">
        <v>0.04</v>
      </c>
      <c r="BT20" s="248">
        <v>30</v>
      </c>
      <c r="BU20" s="143">
        <v>29.88</v>
      </c>
    </row>
    <row r="21" spans="2:73">
      <c r="B21" s="400"/>
      <c r="C21" s="389"/>
      <c r="D21" s="392"/>
      <c r="E21" s="224" t="s">
        <v>301</v>
      </c>
      <c r="F21" s="156"/>
      <c r="G21" s="157"/>
      <c r="H21" s="140"/>
      <c r="I21" s="142"/>
      <c r="J21" s="142"/>
      <c r="K21" s="142"/>
      <c r="L21" s="147"/>
      <c r="M21" s="147"/>
      <c r="N21" s="142"/>
      <c r="O21" s="142"/>
      <c r="P21" s="142"/>
      <c r="Q21" s="147"/>
      <c r="R21" s="147"/>
      <c r="S21" s="142"/>
      <c r="T21" s="142"/>
      <c r="U21" s="152"/>
      <c r="V21" s="188"/>
      <c r="W21" s="147"/>
      <c r="X21" s="142"/>
      <c r="Y21" s="142">
        <v>0.05</v>
      </c>
      <c r="Z21" s="142">
        <v>0.06</v>
      </c>
      <c r="AA21" s="248">
        <v>7</v>
      </c>
      <c r="AB21" s="240">
        <v>7.49</v>
      </c>
      <c r="AC21" s="142"/>
      <c r="AD21" s="152"/>
      <c r="AE21" s="152"/>
      <c r="AF21" s="147"/>
      <c r="AG21" s="147"/>
      <c r="AH21" s="142"/>
      <c r="AI21" s="152"/>
      <c r="AJ21" s="152"/>
      <c r="AK21" s="147"/>
      <c r="AL21" s="147"/>
      <c r="AM21" s="142"/>
      <c r="AN21" s="152"/>
      <c r="AO21" s="152"/>
      <c r="AP21" s="147"/>
      <c r="AQ21" s="147"/>
      <c r="AR21" s="142"/>
      <c r="AS21" s="152"/>
      <c r="AT21" s="152"/>
      <c r="AU21" s="147"/>
      <c r="AV21" s="147"/>
      <c r="AW21" s="142"/>
      <c r="AX21" s="152"/>
      <c r="AY21" s="152"/>
      <c r="AZ21" s="147"/>
      <c r="BA21" s="147"/>
      <c r="BB21" s="142"/>
      <c r="BC21" s="152"/>
      <c r="BD21" s="152"/>
      <c r="BE21" s="147"/>
      <c r="BF21" s="147"/>
      <c r="BG21" s="142"/>
      <c r="BH21" s="152"/>
      <c r="BI21" s="152"/>
      <c r="BJ21" s="147"/>
      <c r="BK21" s="147"/>
      <c r="BL21" s="142"/>
      <c r="BM21" s="152"/>
      <c r="BN21" s="152"/>
      <c r="BO21" s="143"/>
      <c r="BP21" s="143"/>
      <c r="BQ21" s="142"/>
      <c r="BR21" s="152">
        <v>0.02</v>
      </c>
      <c r="BS21" s="152">
        <v>0.04</v>
      </c>
      <c r="BT21" s="248">
        <v>5</v>
      </c>
      <c r="BU21" s="240">
        <v>5</v>
      </c>
    </row>
    <row r="22" spans="2:73">
      <c r="B22" s="400"/>
      <c r="C22" s="389"/>
      <c r="D22" s="391" t="s">
        <v>243</v>
      </c>
      <c r="E22" s="14" t="s">
        <v>244</v>
      </c>
      <c r="F22" s="4"/>
      <c r="G22" s="140">
        <v>55</v>
      </c>
      <c r="H22" s="140"/>
      <c r="I22" s="141"/>
      <c r="J22" s="142">
        <v>0</v>
      </c>
      <c r="K22" s="142">
        <v>0</v>
      </c>
      <c r="L22" s="143"/>
      <c r="M22" s="143"/>
      <c r="N22" s="141"/>
      <c r="O22" s="142">
        <v>0</v>
      </c>
      <c r="P22" s="142">
        <v>0</v>
      </c>
      <c r="Q22" s="143"/>
      <c r="R22" s="143"/>
      <c r="S22" s="141"/>
      <c r="T22" s="142">
        <v>0</v>
      </c>
      <c r="U22" s="152"/>
      <c r="V22" s="187"/>
      <c r="W22" s="143"/>
      <c r="X22" s="141"/>
      <c r="Y22" s="142">
        <v>0.05</v>
      </c>
      <c r="Z22" s="142">
        <v>0.06</v>
      </c>
      <c r="AA22" s="143">
        <v>28</v>
      </c>
      <c r="AB22" s="243">
        <v>36.72</v>
      </c>
      <c r="AC22" s="141"/>
      <c r="AD22" s="152"/>
      <c r="AE22" s="152"/>
      <c r="AF22" s="143"/>
      <c r="AG22" s="143"/>
      <c r="AH22" s="141"/>
      <c r="AI22" s="152"/>
      <c r="AJ22" s="152"/>
      <c r="AK22" s="143"/>
      <c r="AL22" s="143"/>
      <c r="AM22" s="141"/>
      <c r="AN22" s="152"/>
      <c r="AO22" s="152"/>
      <c r="AP22" s="143"/>
      <c r="AQ22" s="143"/>
      <c r="AR22" s="141"/>
      <c r="AS22" s="152">
        <v>0</v>
      </c>
      <c r="AT22" s="152">
        <v>0</v>
      </c>
      <c r="AU22" s="143"/>
      <c r="AV22" s="143"/>
      <c r="AW22" s="141"/>
      <c r="AX22" s="152">
        <v>0</v>
      </c>
      <c r="AY22" s="152">
        <v>0</v>
      </c>
      <c r="AZ22" s="143"/>
      <c r="BA22" s="143"/>
      <c r="BB22" s="141"/>
      <c r="BC22" s="152">
        <v>0</v>
      </c>
      <c r="BD22" s="152">
        <v>0</v>
      </c>
      <c r="BE22" s="143"/>
      <c r="BF22" s="143"/>
      <c r="BG22" s="141" t="s">
        <v>268</v>
      </c>
      <c r="BH22" s="152"/>
      <c r="BI22" s="152"/>
      <c r="BJ22" s="143"/>
      <c r="BK22" s="143"/>
      <c r="BL22" s="141"/>
      <c r="BM22" s="152"/>
      <c r="BN22" s="152"/>
      <c r="BO22" s="143"/>
      <c r="BP22" s="143"/>
      <c r="BQ22" s="141"/>
      <c r="BR22" s="152">
        <v>0.02</v>
      </c>
      <c r="BS22" s="152">
        <v>0</v>
      </c>
      <c r="BT22" s="143"/>
      <c r="BU22" s="143"/>
    </row>
    <row r="23" spans="2:73">
      <c r="B23" s="400"/>
      <c r="C23" s="390"/>
      <c r="D23" s="392"/>
      <c r="E23" s="224" t="s">
        <v>294</v>
      </c>
      <c r="F23" s="156"/>
      <c r="G23" s="157">
        <v>0.95</v>
      </c>
      <c r="H23" s="140"/>
      <c r="I23" s="142"/>
      <c r="J23" s="142">
        <v>0</v>
      </c>
      <c r="K23" s="142">
        <v>0</v>
      </c>
      <c r="L23" s="147"/>
      <c r="M23" s="147"/>
      <c r="N23" s="142"/>
      <c r="O23" s="142">
        <v>0</v>
      </c>
      <c r="P23" s="142">
        <v>0</v>
      </c>
      <c r="Q23" s="147"/>
      <c r="R23" s="147"/>
      <c r="S23" s="142"/>
      <c r="T23" s="142">
        <v>0</v>
      </c>
      <c r="U23" s="152"/>
      <c r="V23" s="188"/>
      <c r="W23" s="147"/>
      <c r="X23" s="142"/>
      <c r="Y23" s="142">
        <v>0.05</v>
      </c>
      <c r="Z23" s="142">
        <v>0.06</v>
      </c>
      <c r="AA23" s="143">
        <v>10</v>
      </c>
      <c r="AB23" s="240">
        <v>13.53</v>
      </c>
      <c r="AC23" s="142"/>
      <c r="AD23" s="152"/>
      <c r="AE23" s="152"/>
      <c r="AF23" s="147"/>
      <c r="AG23" s="147"/>
      <c r="AH23" s="142"/>
      <c r="AI23" s="152"/>
      <c r="AJ23" s="152"/>
      <c r="AK23" s="147"/>
      <c r="AL23" s="147"/>
      <c r="AM23" s="142"/>
      <c r="AN23" s="152"/>
      <c r="AO23" s="152"/>
      <c r="AP23" s="147"/>
      <c r="AQ23" s="147"/>
      <c r="AR23" s="142"/>
      <c r="AS23" s="152">
        <v>0</v>
      </c>
      <c r="AT23" s="152">
        <v>0</v>
      </c>
      <c r="AU23" s="147"/>
      <c r="AV23" s="147"/>
      <c r="AW23" s="142"/>
      <c r="AX23" s="152">
        <v>0</v>
      </c>
      <c r="AY23" s="152">
        <v>0</v>
      </c>
      <c r="AZ23" s="147"/>
      <c r="BA23" s="147"/>
      <c r="BB23" s="142"/>
      <c r="BC23" s="152">
        <v>0</v>
      </c>
      <c r="BD23" s="152">
        <v>0</v>
      </c>
      <c r="BE23" s="147"/>
      <c r="BF23" s="147"/>
      <c r="BG23" s="142"/>
      <c r="BH23" s="152"/>
      <c r="BI23" s="152"/>
      <c r="BJ23" s="147"/>
      <c r="BK23" s="147"/>
      <c r="BL23" s="142"/>
      <c r="BM23" s="152"/>
      <c r="BN23" s="152"/>
      <c r="BO23" s="147"/>
      <c r="BP23" s="185"/>
      <c r="BQ23" s="142"/>
      <c r="BR23" s="152">
        <v>0.02</v>
      </c>
      <c r="BS23" s="152">
        <v>0</v>
      </c>
      <c r="BT23" s="143"/>
      <c r="BU23" s="147"/>
    </row>
    <row r="24" spans="2:73">
      <c r="B24" s="400"/>
      <c r="C24" s="388" t="s">
        <v>146</v>
      </c>
      <c r="D24" s="391" t="s">
        <v>245</v>
      </c>
      <c r="E24" s="246" t="s">
        <v>246</v>
      </c>
      <c r="F24" s="156"/>
      <c r="G24" s="157">
        <v>0.95</v>
      </c>
      <c r="H24" s="140"/>
      <c r="I24" s="142"/>
      <c r="J24" s="142">
        <v>0</v>
      </c>
      <c r="K24" s="142">
        <v>0</v>
      </c>
      <c r="L24" s="147"/>
      <c r="M24" s="147"/>
      <c r="N24" s="142"/>
      <c r="O24" s="142">
        <v>0</v>
      </c>
      <c r="P24" s="142">
        <v>0</v>
      </c>
      <c r="Q24" s="147"/>
      <c r="R24" s="147"/>
      <c r="S24" s="142"/>
      <c r="T24" s="142">
        <v>0</v>
      </c>
      <c r="U24" s="152"/>
      <c r="V24" s="188"/>
      <c r="W24" s="147"/>
      <c r="X24" s="142"/>
      <c r="Y24" s="142">
        <v>0</v>
      </c>
      <c r="Z24" s="142">
        <v>0</v>
      </c>
      <c r="AA24" s="147"/>
      <c r="AB24" s="240"/>
      <c r="AC24" s="142"/>
      <c r="AD24" s="152"/>
      <c r="AE24" s="152"/>
      <c r="AF24" s="147"/>
      <c r="AG24" s="147"/>
      <c r="AH24" s="142"/>
      <c r="AI24" s="142"/>
      <c r="AJ24" s="142"/>
      <c r="AK24" s="147"/>
      <c r="AL24" s="147"/>
      <c r="AM24" s="142"/>
      <c r="AN24" s="142"/>
      <c r="AO24" s="142"/>
      <c r="AP24" s="147"/>
      <c r="AQ24" s="147"/>
      <c r="AR24" s="142"/>
      <c r="AS24" s="142">
        <v>0</v>
      </c>
      <c r="AT24" s="142">
        <v>0</v>
      </c>
      <c r="AU24" s="147"/>
      <c r="AV24" s="147"/>
      <c r="AW24" s="142"/>
      <c r="AX24" s="142">
        <v>0</v>
      </c>
      <c r="AY24" s="142">
        <v>0</v>
      </c>
      <c r="AZ24" s="147"/>
      <c r="BA24" s="147"/>
      <c r="BB24" s="142"/>
      <c r="BC24" s="142">
        <v>0</v>
      </c>
      <c r="BD24" s="142">
        <v>0</v>
      </c>
      <c r="BE24" s="147"/>
      <c r="BF24" s="147"/>
      <c r="BG24" s="142"/>
      <c r="BH24" s="142"/>
      <c r="BI24" s="142"/>
      <c r="BJ24" s="147"/>
      <c r="BK24" s="147"/>
      <c r="BL24" s="142"/>
      <c r="BM24" s="142"/>
      <c r="BN24" s="142"/>
      <c r="BO24" s="147"/>
      <c r="BP24" s="147"/>
      <c r="BQ24" s="142"/>
      <c r="BR24" s="142"/>
      <c r="BS24" s="142"/>
      <c r="BT24" s="147"/>
      <c r="BU24" s="147"/>
    </row>
    <row r="25" spans="2:73">
      <c r="B25" s="400"/>
      <c r="C25" s="390"/>
      <c r="D25" s="392"/>
      <c r="E25" s="246" t="s">
        <v>247</v>
      </c>
      <c r="F25" s="156"/>
      <c r="G25" s="157">
        <v>0</v>
      </c>
      <c r="H25" s="140"/>
      <c r="I25" s="142"/>
      <c r="J25" s="142">
        <v>0</v>
      </c>
      <c r="K25" s="142">
        <v>0</v>
      </c>
      <c r="L25" s="147"/>
      <c r="M25" s="147"/>
      <c r="N25" s="142"/>
      <c r="O25" s="142">
        <v>0</v>
      </c>
      <c r="P25" s="142">
        <v>0</v>
      </c>
      <c r="Q25" s="147"/>
      <c r="R25" s="147"/>
      <c r="S25" s="142"/>
      <c r="T25" s="142">
        <v>0</v>
      </c>
      <c r="U25" s="142"/>
      <c r="V25" s="185"/>
      <c r="W25" s="147"/>
      <c r="X25" s="142"/>
      <c r="Y25" s="142">
        <v>0.05</v>
      </c>
      <c r="Z25" s="142">
        <v>0.05</v>
      </c>
      <c r="AA25" s="147">
        <v>0.05</v>
      </c>
      <c r="AB25" s="147">
        <v>0</v>
      </c>
      <c r="AC25" s="142"/>
      <c r="AD25" s="142"/>
      <c r="AE25" s="142"/>
      <c r="AF25" s="147"/>
      <c r="AG25" s="147"/>
      <c r="AH25" s="142"/>
      <c r="AI25" s="142"/>
      <c r="AJ25" s="142"/>
      <c r="AK25" s="147"/>
      <c r="AL25" s="147"/>
      <c r="AM25" s="142"/>
      <c r="AN25" s="142"/>
      <c r="AO25" s="142"/>
      <c r="AP25" s="147"/>
      <c r="AQ25" s="147"/>
      <c r="AR25" s="142"/>
      <c r="AS25" s="142">
        <v>0</v>
      </c>
      <c r="AT25" s="142">
        <v>0</v>
      </c>
      <c r="AU25" s="147"/>
      <c r="AV25" s="147"/>
      <c r="AW25" s="142"/>
      <c r="AX25" s="142">
        <v>0</v>
      </c>
      <c r="AY25" s="142">
        <v>0</v>
      </c>
      <c r="AZ25" s="147"/>
      <c r="BA25" s="147"/>
      <c r="BB25" s="142"/>
      <c r="BC25" s="142">
        <v>0</v>
      </c>
      <c r="BD25" s="142">
        <v>0</v>
      </c>
      <c r="BE25" s="147"/>
      <c r="BF25" s="147"/>
      <c r="BG25" s="142"/>
      <c r="BH25" s="142"/>
      <c r="BI25" s="142"/>
      <c r="BJ25" s="147"/>
      <c r="BK25" s="147"/>
      <c r="BL25" s="142"/>
      <c r="BM25" s="142"/>
      <c r="BN25" s="142"/>
      <c r="BO25" s="147"/>
      <c r="BP25" s="147"/>
      <c r="BQ25" s="142"/>
      <c r="BR25" s="142">
        <v>0.02</v>
      </c>
      <c r="BS25" s="142">
        <v>0</v>
      </c>
      <c r="BT25" s="147"/>
      <c r="BU25" s="147"/>
    </row>
    <row r="26" spans="2:73">
      <c r="B26" s="400"/>
      <c r="C26" s="150" t="s">
        <v>248</v>
      </c>
      <c r="D26" s="151" t="s">
        <v>249</v>
      </c>
      <c r="E26" s="151" t="s">
        <v>250</v>
      </c>
      <c r="F26" s="156"/>
      <c r="G26" s="157">
        <v>0.7</v>
      </c>
      <c r="H26" s="140"/>
      <c r="I26" s="142"/>
      <c r="J26" s="142">
        <v>0</v>
      </c>
      <c r="K26" s="142">
        <v>0</v>
      </c>
      <c r="L26" s="147"/>
      <c r="M26" s="147"/>
      <c r="N26" s="142"/>
      <c r="O26" s="142">
        <v>0</v>
      </c>
      <c r="P26" s="142">
        <v>0</v>
      </c>
      <c r="Q26" s="147"/>
      <c r="R26" s="147"/>
      <c r="S26" s="142"/>
      <c r="T26" s="142">
        <v>0</v>
      </c>
      <c r="U26" s="142"/>
      <c r="V26" s="147"/>
      <c r="W26" s="147"/>
      <c r="X26" s="142"/>
      <c r="Y26" s="142">
        <v>0</v>
      </c>
      <c r="Z26" s="142">
        <v>0</v>
      </c>
      <c r="AA26" s="147"/>
      <c r="AB26" s="240"/>
      <c r="AC26" s="142"/>
      <c r="AD26" s="142"/>
      <c r="AE26" s="142"/>
      <c r="AF26" s="147"/>
      <c r="AG26" s="147"/>
      <c r="AH26" s="142"/>
      <c r="AI26" s="142"/>
      <c r="AJ26" s="142"/>
      <c r="AK26" s="147"/>
      <c r="AL26" s="147"/>
      <c r="AM26" s="142"/>
      <c r="AN26" s="142"/>
      <c r="AO26" s="142"/>
      <c r="AP26" s="147"/>
      <c r="AQ26" s="147"/>
      <c r="AR26" s="142"/>
      <c r="AS26" s="142">
        <v>0</v>
      </c>
      <c r="AT26" s="142">
        <v>0</v>
      </c>
      <c r="AU26" s="147"/>
      <c r="AV26" s="147"/>
      <c r="AW26" s="142"/>
      <c r="AX26" s="142">
        <v>0</v>
      </c>
      <c r="AY26" s="142">
        <v>0</v>
      </c>
      <c r="AZ26" s="147"/>
      <c r="BA26" s="147"/>
      <c r="BB26" s="142"/>
      <c r="BC26" s="142">
        <v>0</v>
      </c>
      <c r="BD26" s="142">
        <v>0</v>
      </c>
      <c r="BE26" s="147"/>
      <c r="BF26" s="147"/>
      <c r="BG26" s="142"/>
      <c r="BH26" s="142"/>
      <c r="BI26" s="142"/>
      <c r="BJ26" s="147"/>
      <c r="BK26" s="147"/>
      <c r="BL26" s="142"/>
      <c r="BM26" s="142"/>
      <c r="BN26" s="142"/>
      <c r="BO26" s="147"/>
      <c r="BP26" s="147"/>
      <c r="BQ26" s="142"/>
      <c r="BR26" s="142"/>
      <c r="BS26" s="142"/>
      <c r="BT26" s="147"/>
      <c r="BU26" s="147"/>
    </row>
    <row r="27" spans="2:73">
      <c r="B27" s="400"/>
      <c r="C27" s="150"/>
      <c r="D27" s="151" t="s">
        <v>299</v>
      </c>
      <c r="E27" s="229" t="s">
        <v>297</v>
      </c>
      <c r="F27" s="156"/>
      <c r="G27" s="157"/>
      <c r="H27" s="140"/>
      <c r="I27" s="142"/>
      <c r="J27" s="142"/>
      <c r="K27" s="142"/>
      <c r="L27" s="147"/>
      <c r="M27" s="147"/>
      <c r="N27" s="142"/>
      <c r="O27" s="142"/>
      <c r="P27" s="142"/>
      <c r="Q27" s="226"/>
      <c r="R27" s="226"/>
      <c r="S27" s="142"/>
      <c r="T27" s="142"/>
      <c r="U27" s="142"/>
      <c r="V27" s="147"/>
      <c r="W27" s="147"/>
      <c r="X27" s="142"/>
      <c r="Y27" s="142"/>
      <c r="Z27" s="142"/>
      <c r="AA27" s="147"/>
      <c r="AB27" s="244"/>
      <c r="AC27" s="142"/>
      <c r="AD27" s="142"/>
      <c r="AE27" s="142"/>
      <c r="AF27" s="147"/>
      <c r="AG27" s="226"/>
      <c r="AH27" s="142"/>
      <c r="AI27" s="142"/>
      <c r="AJ27" s="142"/>
      <c r="AK27" s="147"/>
      <c r="AL27" s="226"/>
      <c r="AM27" s="142"/>
      <c r="AN27" s="142"/>
      <c r="AO27" s="142"/>
      <c r="AP27" s="147"/>
      <c r="AQ27" s="226"/>
      <c r="AR27" s="142"/>
      <c r="AS27" s="142"/>
      <c r="AT27" s="142"/>
      <c r="AU27" s="147"/>
      <c r="AV27" s="226"/>
      <c r="AW27" s="142"/>
      <c r="AX27" s="142"/>
      <c r="AY27" s="142"/>
      <c r="AZ27" s="147"/>
      <c r="BA27" s="226"/>
      <c r="BB27" s="142"/>
      <c r="BC27" s="142"/>
      <c r="BD27" s="142"/>
      <c r="BE27" s="147"/>
      <c r="BF27" s="226"/>
      <c r="BG27" s="142"/>
      <c r="BH27" s="142"/>
      <c r="BI27" s="142"/>
      <c r="BJ27" s="147"/>
      <c r="BK27" s="226"/>
      <c r="BL27" s="142"/>
      <c r="BM27" s="142"/>
      <c r="BN27" s="142"/>
      <c r="BO27" s="147"/>
      <c r="BP27" s="147"/>
      <c r="BQ27" s="142"/>
      <c r="BR27" s="142"/>
      <c r="BS27" s="142"/>
      <c r="BT27" s="147"/>
      <c r="BU27" s="226"/>
    </row>
    <row r="28" spans="2:73" ht="26.4">
      <c r="B28" s="401"/>
      <c r="C28" s="150"/>
      <c r="D28" s="151" t="s">
        <v>300</v>
      </c>
      <c r="E28" s="227" t="s">
        <v>295</v>
      </c>
      <c r="F28" s="156"/>
      <c r="G28" s="157"/>
      <c r="H28" s="140"/>
      <c r="I28" s="142"/>
      <c r="J28" s="142"/>
      <c r="K28" s="142"/>
      <c r="L28" s="147"/>
      <c r="M28" s="147"/>
      <c r="N28" s="142"/>
      <c r="O28" s="142"/>
      <c r="P28" s="142"/>
      <c r="Q28" s="226"/>
      <c r="R28" s="226"/>
      <c r="S28" s="142"/>
      <c r="T28" s="142"/>
      <c r="U28" s="142"/>
      <c r="V28" s="147"/>
      <c r="W28" s="147"/>
      <c r="X28" s="142"/>
      <c r="Y28" s="142">
        <v>0.05</v>
      </c>
      <c r="Z28" s="142">
        <v>0</v>
      </c>
      <c r="AA28" s="147"/>
      <c r="AB28" s="244"/>
      <c r="AC28" s="142"/>
      <c r="AD28" s="142"/>
      <c r="AE28" s="142"/>
      <c r="AF28" s="147"/>
      <c r="AG28" s="226"/>
      <c r="AH28" s="142"/>
      <c r="AI28" s="142"/>
      <c r="AJ28" s="142"/>
      <c r="AK28" s="147"/>
      <c r="AL28" s="226"/>
      <c r="AM28" s="142"/>
      <c r="AN28" s="142"/>
      <c r="AO28" s="142"/>
      <c r="AP28" s="147"/>
      <c r="AQ28" s="226"/>
      <c r="AR28" s="142"/>
      <c r="AS28" s="142"/>
      <c r="AT28" s="142"/>
      <c r="AU28" s="147"/>
      <c r="AV28" s="226"/>
      <c r="AW28" s="142"/>
      <c r="AX28" s="142"/>
      <c r="AY28" s="142"/>
      <c r="AZ28" s="147"/>
      <c r="BA28" s="226"/>
      <c r="BB28" s="142"/>
      <c r="BC28" s="142"/>
      <c r="BD28" s="142"/>
      <c r="BE28" s="147"/>
      <c r="BF28" s="226"/>
      <c r="BG28" s="142"/>
      <c r="BH28" s="142"/>
      <c r="BI28" s="142"/>
      <c r="BJ28" s="147"/>
      <c r="BK28" s="226"/>
      <c r="BL28" s="142"/>
      <c r="BM28" s="142"/>
      <c r="BN28" s="142"/>
      <c r="BO28" s="147"/>
      <c r="BP28" s="226"/>
      <c r="BQ28" s="142"/>
      <c r="BR28" s="142">
        <v>0.02</v>
      </c>
      <c r="BS28" s="142">
        <v>0</v>
      </c>
      <c r="BT28" s="147"/>
      <c r="BU28" s="226"/>
    </row>
    <row r="29" spans="2:73" ht="66.599999999999994" thickBot="1">
      <c r="B29" s="408" t="s">
        <v>251</v>
      </c>
      <c r="C29" s="158" t="s">
        <v>252</v>
      </c>
      <c r="D29" s="159" t="s">
        <v>253</v>
      </c>
      <c r="E29" s="160" t="s">
        <v>254</v>
      </c>
      <c r="F29" s="4"/>
      <c r="G29" s="140" t="s">
        <v>265</v>
      </c>
      <c r="H29" s="140"/>
      <c r="I29" s="141"/>
      <c r="J29" s="142">
        <v>0.05</v>
      </c>
      <c r="K29" s="142">
        <v>0.05</v>
      </c>
      <c r="L29" s="144">
        <v>3</v>
      </c>
      <c r="M29" s="248">
        <v>3</v>
      </c>
      <c r="N29" s="141"/>
      <c r="O29" s="142">
        <v>0.05</v>
      </c>
      <c r="P29" s="142">
        <v>0.1</v>
      </c>
      <c r="Q29" s="144">
        <v>3</v>
      </c>
      <c r="R29" s="248">
        <v>3</v>
      </c>
      <c r="S29" s="141"/>
      <c r="T29" s="142">
        <v>0.05</v>
      </c>
      <c r="U29" s="142">
        <v>0</v>
      </c>
      <c r="V29" s="144"/>
      <c r="W29" s="143"/>
      <c r="X29" s="141"/>
      <c r="Y29" s="142">
        <v>0.1</v>
      </c>
      <c r="Z29" s="142">
        <v>0.1</v>
      </c>
      <c r="AA29" s="144">
        <v>3</v>
      </c>
      <c r="AB29" s="248">
        <v>5</v>
      </c>
      <c r="AC29" s="141"/>
      <c r="AD29" s="142">
        <v>0.1</v>
      </c>
      <c r="AE29" s="142">
        <v>0.1</v>
      </c>
      <c r="AF29" s="144">
        <v>3</v>
      </c>
      <c r="AG29" s="248">
        <v>3</v>
      </c>
      <c r="AH29" s="141"/>
      <c r="AI29" s="142">
        <v>0.1</v>
      </c>
      <c r="AJ29" s="142">
        <v>0.1</v>
      </c>
      <c r="AK29" s="144">
        <v>3</v>
      </c>
      <c r="AL29" s="248">
        <v>4</v>
      </c>
      <c r="AM29" s="141"/>
      <c r="AN29" s="142">
        <v>0.1</v>
      </c>
      <c r="AO29" s="142">
        <v>0.1</v>
      </c>
      <c r="AP29" s="144">
        <v>3</v>
      </c>
      <c r="AQ29" s="248">
        <v>3</v>
      </c>
      <c r="AR29" s="141"/>
      <c r="AS29" s="142"/>
      <c r="AT29" s="142"/>
      <c r="AU29" s="144"/>
      <c r="AV29" s="143"/>
      <c r="AW29" s="141"/>
      <c r="AX29" s="142">
        <v>0.05</v>
      </c>
      <c r="AY29" s="142">
        <v>0.05</v>
      </c>
      <c r="AZ29" s="144">
        <v>3</v>
      </c>
      <c r="BA29" s="254">
        <v>3</v>
      </c>
      <c r="BB29" s="141"/>
      <c r="BC29" s="142"/>
      <c r="BD29" s="142"/>
      <c r="BE29" s="144"/>
      <c r="BF29" s="161"/>
      <c r="BG29" s="141"/>
      <c r="BH29" s="142">
        <v>0.1</v>
      </c>
      <c r="BI29" s="142">
        <v>0.1</v>
      </c>
      <c r="BJ29" s="144">
        <v>3</v>
      </c>
      <c r="BK29" s="251">
        <v>3</v>
      </c>
      <c r="BL29" s="141"/>
      <c r="BM29" s="142"/>
      <c r="BN29" s="142"/>
      <c r="BO29" s="144"/>
      <c r="BP29" s="161"/>
      <c r="BQ29" s="141"/>
      <c r="BR29" s="142">
        <v>0.1</v>
      </c>
      <c r="BS29" s="142">
        <v>0.1</v>
      </c>
      <c r="BT29" s="144">
        <v>3</v>
      </c>
      <c r="BU29" s="251">
        <v>5</v>
      </c>
    </row>
    <row r="30" spans="2:73" ht="27" thickBot="1">
      <c r="B30" s="408"/>
      <c r="C30" s="396" t="s">
        <v>34</v>
      </c>
      <c r="D30" s="159" t="s">
        <v>255</v>
      </c>
      <c r="E30" s="70" t="s">
        <v>53</v>
      </c>
      <c r="F30" s="4"/>
      <c r="G30" s="140" t="s">
        <v>266</v>
      </c>
      <c r="H30" s="140"/>
      <c r="I30" s="163"/>
      <c r="J30" s="164"/>
      <c r="K30" s="164"/>
      <c r="L30" s="165"/>
      <c r="M30" s="166"/>
      <c r="N30" s="163"/>
      <c r="O30" s="164">
        <v>0</v>
      </c>
      <c r="P30" s="164">
        <v>0</v>
      </c>
      <c r="Q30" s="167"/>
      <c r="R30" s="168"/>
      <c r="S30" s="163"/>
      <c r="T30" s="164">
        <v>0.05</v>
      </c>
      <c r="U30" s="164">
        <v>0</v>
      </c>
      <c r="V30" s="166"/>
      <c r="W30" s="166"/>
      <c r="X30" s="163"/>
      <c r="Y30" s="164"/>
      <c r="Z30" s="164"/>
      <c r="AA30" s="167"/>
      <c r="AB30" s="168"/>
      <c r="AC30" s="163"/>
      <c r="AD30" s="164"/>
      <c r="AE30" s="164"/>
      <c r="AF30" s="167"/>
      <c r="AG30" s="168"/>
      <c r="AH30" s="163"/>
      <c r="AI30" s="164"/>
      <c r="AJ30" s="164"/>
      <c r="AK30" s="167"/>
      <c r="AL30" s="168"/>
      <c r="AM30" s="163"/>
      <c r="AN30" s="164"/>
      <c r="AO30" s="164"/>
      <c r="AP30" s="167"/>
      <c r="AQ30" s="167"/>
      <c r="AR30" s="163"/>
      <c r="AS30" s="164"/>
      <c r="AT30" s="164"/>
      <c r="AU30" s="167"/>
      <c r="AV30" s="168"/>
      <c r="AW30" s="163"/>
      <c r="AX30" s="164">
        <v>0.05</v>
      </c>
      <c r="AY30" s="164">
        <v>0.05</v>
      </c>
      <c r="AZ30" s="167">
        <v>3</v>
      </c>
      <c r="BA30" s="254">
        <v>4</v>
      </c>
      <c r="BB30" s="163"/>
      <c r="BC30" s="164"/>
      <c r="BD30" s="164"/>
      <c r="BE30" s="167"/>
      <c r="BF30" s="168"/>
      <c r="BG30" s="163"/>
      <c r="BH30" s="164"/>
      <c r="BI30" s="164"/>
      <c r="BJ30" s="167"/>
      <c r="BK30" s="168"/>
      <c r="BL30" s="163"/>
      <c r="BM30" s="164"/>
      <c r="BN30" s="164"/>
      <c r="BO30" s="167"/>
      <c r="BP30" s="168"/>
      <c r="BQ30" s="163"/>
      <c r="BR30" s="164"/>
      <c r="BS30" s="164"/>
      <c r="BT30" s="167"/>
      <c r="BU30" s="168"/>
    </row>
    <row r="31" spans="2:73" ht="40.200000000000003" thickBot="1">
      <c r="B31" s="408"/>
      <c r="C31" s="397"/>
      <c r="D31" s="169" t="s">
        <v>256</v>
      </c>
      <c r="E31" s="70" t="s">
        <v>54</v>
      </c>
      <c r="F31" s="4"/>
      <c r="G31" s="140" t="s">
        <v>267</v>
      </c>
      <c r="H31" s="140"/>
      <c r="I31" s="163"/>
      <c r="J31" s="164"/>
      <c r="K31" s="164"/>
      <c r="L31" s="165"/>
      <c r="M31" s="166"/>
      <c r="N31" s="163"/>
      <c r="O31" s="164">
        <v>0.05</v>
      </c>
      <c r="P31" s="164">
        <v>0</v>
      </c>
      <c r="Q31" s="167"/>
      <c r="R31" s="168"/>
      <c r="S31" s="163"/>
      <c r="T31" s="164">
        <v>0.05</v>
      </c>
      <c r="U31" s="164">
        <v>0.05</v>
      </c>
      <c r="V31" s="166">
        <v>1</v>
      </c>
      <c r="W31" s="252">
        <v>1</v>
      </c>
      <c r="X31" s="163"/>
      <c r="Y31" s="164"/>
      <c r="Z31" s="164"/>
      <c r="AA31" s="167"/>
      <c r="AB31" s="168"/>
      <c r="AC31" s="163"/>
      <c r="AD31" s="164"/>
      <c r="AE31" s="164"/>
      <c r="AF31" s="167"/>
      <c r="AG31" s="168"/>
      <c r="AH31" s="163"/>
      <c r="AI31" s="142"/>
      <c r="AJ31" s="142"/>
      <c r="AK31" s="167"/>
      <c r="AL31" s="168"/>
      <c r="AM31" s="163"/>
      <c r="AN31" s="142"/>
      <c r="AO31" s="142"/>
      <c r="AP31" s="167"/>
      <c r="AQ31" s="168"/>
      <c r="AR31" s="163"/>
      <c r="AS31" s="142"/>
      <c r="AT31" s="142"/>
      <c r="AU31" s="167"/>
      <c r="AV31" s="168"/>
      <c r="AW31" s="163"/>
      <c r="AX31" s="142">
        <v>0.05</v>
      </c>
      <c r="AY31" s="142">
        <v>0.05</v>
      </c>
      <c r="AZ31" s="167">
        <v>3</v>
      </c>
      <c r="BA31" s="254">
        <v>4</v>
      </c>
      <c r="BB31" s="163"/>
      <c r="BC31" s="142">
        <v>0.05</v>
      </c>
      <c r="BD31" s="142">
        <v>0.05</v>
      </c>
      <c r="BE31" s="167">
        <v>3</v>
      </c>
      <c r="BF31" s="256">
        <v>3</v>
      </c>
      <c r="BG31" s="163"/>
      <c r="BH31" s="142">
        <v>0.05</v>
      </c>
      <c r="BI31" s="142">
        <v>0.05</v>
      </c>
      <c r="BJ31" s="167">
        <v>3</v>
      </c>
      <c r="BK31" s="250">
        <v>0</v>
      </c>
      <c r="BL31" s="163"/>
      <c r="BM31" s="142">
        <v>0.03</v>
      </c>
      <c r="BN31" s="142">
        <v>0.03</v>
      </c>
      <c r="BO31" s="167">
        <v>3</v>
      </c>
      <c r="BP31" s="256">
        <v>4</v>
      </c>
      <c r="BQ31" s="163"/>
      <c r="BR31" s="142"/>
      <c r="BS31" s="142"/>
      <c r="BT31" s="167"/>
      <c r="BU31" s="250"/>
    </row>
    <row r="32" spans="2:73" ht="15" thickBot="1">
      <c r="B32" s="408"/>
      <c r="C32" s="397"/>
      <c r="D32" s="169" t="s">
        <v>339</v>
      </c>
      <c r="E32" s="70" t="s">
        <v>358</v>
      </c>
      <c r="F32" s="4"/>
      <c r="G32" s="140"/>
      <c r="H32" s="140"/>
      <c r="I32" s="163"/>
      <c r="J32" s="164">
        <v>0.05</v>
      </c>
      <c r="K32" s="164">
        <v>0.05</v>
      </c>
      <c r="L32" s="165">
        <v>600</v>
      </c>
      <c r="M32" s="166">
        <v>870</v>
      </c>
      <c r="N32" s="163"/>
      <c r="O32" s="164"/>
      <c r="P32" s="164"/>
      <c r="Q32" s="167"/>
      <c r="R32" s="168"/>
      <c r="S32" s="163"/>
      <c r="T32" s="164"/>
      <c r="U32" s="164">
        <v>0.05</v>
      </c>
      <c r="V32" s="252">
        <v>650</v>
      </c>
      <c r="W32" s="252">
        <v>705</v>
      </c>
      <c r="X32" s="163"/>
      <c r="Y32" s="164"/>
      <c r="Z32" s="164"/>
      <c r="AA32" s="167"/>
      <c r="AB32" s="168"/>
      <c r="AC32" s="163"/>
      <c r="AD32" s="164"/>
      <c r="AE32" s="164"/>
      <c r="AF32" s="167"/>
      <c r="AG32" s="168"/>
      <c r="AH32" s="163"/>
      <c r="AI32" s="142"/>
      <c r="AJ32" s="142"/>
      <c r="AK32" s="167"/>
      <c r="AL32" s="168"/>
      <c r="AM32" s="163"/>
      <c r="AN32" s="142"/>
      <c r="AO32" s="142"/>
      <c r="AP32" s="167"/>
      <c r="AQ32" s="168"/>
      <c r="AR32" s="163"/>
      <c r="AS32" s="142"/>
      <c r="AT32" s="142"/>
      <c r="AU32" s="167"/>
      <c r="AV32" s="168"/>
      <c r="AW32" s="163"/>
      <c r="AX32" s="142"/>
      <c r="AY32" s="142"/>
      <c r="AZ32" s="167"/>
      <c r="BA32" s="255"/>
      <c r="BB32" s="163"/>
      <c r="BC32" s="142"/>
      <c r="BD32" s="142"/>
      <c r="BE32" s="167"/>
      <c r="BF32" s="255"/>
      <c r="BG32" s="163"/>
      <c r="BH32" s="142"/>
      <c r="BI32" s="142"/>
      <c r="BJ32" s="167"/>
      <c r="BK32" s="168"/>
      <c r="BL32" s="163"/>
      <c r="BM32" s="142">
        <v>0.04</v>
      </c>
      <c r="BN32" s="142">
        <v>0.04</v>
      </c>
      <c r="BO32" s="167">
        <v>550</v>
      </c>
      <c r="BP32" s="256">
        <v>0</v>
      </c>
      <c r="BQ32" s="163"/>
      <c r="BR32" s="142">
        <v>0.05</v>
      </c>
      <c r="BS32" s="142">
        <v>0.05</v>
      </c>
      <c r="BT32" s="167">
        <v>650</v>
      </c>
      <c r="BU32" s="250">
        <v>675</v>
      </c>
    </row>
    <row r="33" spans="2:73" ht="15" thickBot="1">
      <c r="B33" s="408"/>
      <c r="C33" s="398"/>
      <c r="D33" s="230" t="s">
        <v>298</v>
      </c>
      <c r="E33" s="230" t="s">
        <v>298</v>
      </c>
      <c r="F33" s="4"/>
      <c r="G33" s="140"/>
      <c r="H33" s="140"/>
      <c r="I33" s="163"/>
      <c r="J33" s="164">
        <v>0.05</v>
      </c>
      <c r="K33" s="164">
        <v>0.05</v>
      </c>
      <c r="L33" s="165">
        <v>10</v>
      </c>
      <c r="M33" s="166">
        <v>56.5</v>
      </c>
      <c r="N33" s="163"/>
      <c r="O33" s="164">
        <v>0.05</v>
      </c>
      <c r="P33" s="164">
        <v>0.05</v>
      </c>
      <c r="Q33" s="167">
        <v>10</v>
      </c>
      <c r="R33" s="248">
        <v>96</v>
      </c>
      <c r="S33" s="163"/>
      <c r="T33" s="164"/>
      <c r="U33" s="164"/>
      <c r="V33" s="166"/>
      <c r="W33" s="249"/>
      <c r="X33" s="163"/>
      <c r="Y33" s="164">
        <v>0.06</v>
      </c>
      <c r="Z33" s="164">
        <v>0.06</v>
      </c>
      <c r="AA33" s="167">
        <v>10</v>
      </c>
      <c r="AB33" s="250">
        <v>29.76</v>
      </c>
      <c r="AC33" s="163"/>
      <c r="AD33" s="164">
        <v>0.05</v>
      </c>
      <c r="AE33" s="164">
        <v>0.05</v>
      </c>
      <c r="AF33" s="167">
        <v>10</v>
      </c>
      <c r="AG33" s="250">
        <v>1.3</v>
      </c>
      <c r="AH33" s="163"/>
      <c r="AI33" s="142">
        <v>0.05</v>
      </c>
      <c r="AJ33" s="142">
        <v>0.05</v>
      </c>
      <c r="AK33" s="167">
        <v>10</v>
      </c>
      <c r="AL33" s="250">
        <v>29</v>
      </c>
      <c r="AM33" s="163"/>
      <c r="AN33" s="142">
        <v>0.1</v>
      </c>
      <c r="AO33" s="142">
        <v>0.1</v>
      </c>
      <c r="AP33" s="167">
        <v>10</v>
      </c>
      <c r="AQ33" s="250">
        <v>12</v>
      </c>
      <c r="AR33" s="163"/>
      <c r="AS33" s="142">
        <v>0.1</v>
      </c>
      <c r="AT33" s="142">
        <v>0.1</v>
      </c>
      <c r="AU33" s="167">
        <v>10</v>
      </c>
      <c r="AV33" s="250">
        <v>3.66</v>
      </c>
      <c r="AW33" s="163"/>
      <c r="AX33" s="142">
        <v>0.05</v>
      </c>
      <c r="AY33" s="142">
        <v>0.05</v>
      </c>
      <c r="AZ33" s="144">
        <v>3</v>
      </c>
      <c r="BA33" s="256">
        <v>4</v>
      </c>
      <c r="BB33" s="163"/>
      <c r="BC33" s="142">
        <v>0.05</v>
      </c>
      <c r="BD33" s="142">
        <v>0.05</v>
      </c>
      <c r="BE33" s="167">
        <v>3</v>
      </c>
      <c r="BF33" s="256">
        <v>3</v>
      </c>
      <c r="BG33" s="163"/>
      <c r="BH33" s="142">
        <v>0.05</v>
      </c>
      <c r="BI33" s="142">
        <v>0.05</v>
      </c>
      <c r="BJ33" s="167">
        <v>3</v>
      </c>
      <c r="BK33" s="250">
        <v>3</v>
      </c>
      <c r="BL33" s="163"/>
      <c r="BM33" s="142">
        <v>0.03</v>
      </c>
      <c r="BN33" s="142">
        <v>0.03</v>
      </c>
      <c r="BO33" s="167">
        <v>3</v>
      </c>
      <c r="BP33" s="256" t="s">
        <v>365</v>
      </c>
      <c r="BQ33" s="163"/>
      <c r="BR33" s="142">
        <v>0.05</v>
      </c>
      <c r="BS33" s="142">
        <v>0.05</v>
      </c>
      <c r="BT33" s="167">
        <v>10</v>
      </c>
      <c r="BU33" s="250">
        <v>18</v>
      </c>
    </row>
    <row r="34" spans="2:73" ht="15" thickBot="1">
      <c r="B34" s="408"/>
      <c r="C34" s="409" t="s">
        <v>257</v>
      </c>
      <c r="D34" s="159" t="s">
        <v>258</v>
      </c>
      <c r="E34" s="70" t="s">
        <v>259</v>
      </c>
      <c r="F34" s="4"/>
      <c r="G34" s="140">
        <v>3</v>
      </c>
      <c r="H34" s="140"/>
      <c r="I34" s="163"/>
      <c r="J34" s="164">
        <v>0.03</v>
      </c>
      <c r="K34" s="164">
        <v>0.03</v>
      </c>
      <c r="L34" s="167">
        <v>3</v>
      </c>
      <c r="M34" s="167">
        <v>3</v>
      </c>
      <c r="N34" s="163"/>
      <c r="O34" s="164">
        <v>0.05</v>
      </c>
      <c r="P34" s="164">
        <v>0.05</v>
      </c>
      <c r="Q34" s="167">
        <v>3</v>
      </c>
      <c r="R34" s="167">
        <v>4</v>
      </c>
      <c r="S34" s="163"/>
      <c r="T34" s="164">
        <v>0.05</v>
      </c>
      <c r="U34" s="164">
        <v>0.03</v>
      </c>
      <c r="V34" s="167">
        <v>3</v>
      </c>
      <c r="W34" s="167">
        <v>5</v>
      </c>
      <c r="X34" s="163"/>
      <c r="Y34" s="164">
        <v>0.06</v>
      </c>
      <c r="Z34" s="164">
        <v>0.06</v>
      </c>
      <c r="AA34" s="167">
        <v>3</v>
      </c>
      <c r="AB34" s="250">
        <v>5</v>
      </c>
      <c r="AC34" s="163"/>
      <c r="AD34" s="164">
        <v>0.05</v>
      </c>
      <c r="AE34" s="164">
        <v>0.05</v>
      </c>
      <c r="AF34" s="167">
        <v>3</v>
      </c>
      <c r="AG34" s="167">
        <v>5</v>
      </c>
      <c r="AH34" s="163"/>
      <c r="AI34" s="142">
        <v>0.05</v>
      </c>
      <c r="AJ34" s="142">
        <v>0.05</v>
      </c>
      <c r="AK34" s="167">
        <v>3</v>
      </c>
      <c r="AL34" s="167">
        <v>5</v>
      </c>
      <c r="AM34" s="163"/>
      <c r="AN34" s="142">
        <v>0.03</v>
      </c>
      <c r="AO34" s="142">
        <v>0.03</v>
      </c>
      <c r="AP34" s="167">
        <v>3</v>
      </c>
      <c r="AQ34" s="250">
        <v>3</v>
      </c>
      <c r="AR34" s="163"/>
      <c r="AS34" s="142">
        <v>0.05</v>
      </c>
      <c r="AT34" s="142">
        <v>0.05</v>
      </c>
      <c r="AU34" s="167">
        <v>3</v>
      </c>
      <c r="AV34" s="167">
        <v>5</v>
      </c>
      <c r="AW34" s="163"/>
      <c r="AX34" s="142">
        <v>0.03</v>
      </c>
      <c r="AY34" s="142">
        <v>0.03</v>
      </c>
      <c r="AZ34" s="167">
        <v>3</v>
      </c>
      <c r="BA34" s="254">
        <v>4</v>
      </c>
      <c r="BB34" s="163"/>
      <c r="BC34" s="142">
        <v>0.04</v>
      </c>
      <c r="BD34" s="142">
        <v>0.04</v>
      </c>
      <c r="BE34" s="167">
        <v>3</v>
      </c>
      <c r="BF34" s="256">
        <v>3</v>
      </c>
      <c r="BG34" s="163"/>
      <c r="BH34" s="142">
        <v>0.03</v>
      </c>
      <c r="BI34" s="142">
        <v>0.03</v>
      </c>
      <c r="BJ34" s="167">
        <v>3</v>
      </c>
      <c r="BK34" s="167">
        <v>4</v>
      </c>
      <c r="BL34" s="163"/>
      <c r="BM34" s="142">
        <v>0.03</v>
      </c>
      <c r="BN34" s="142">
        <v>0.03</v>
      </c>
      <c r="BO34" s="167">
        <v>3</v>
      </c>
      <c r="BP34" s="256" t="s">
        <v>364</v>
      </c>
      <c r="BQ34" s="163"/>
      <c r="BR34" s="142">
        <v>0.03</v>
      </c>
      <c r="BS34" s="142">
        <v>0.03</v>
      </c>
      <c r="BT34" s="167">
        <v>3</v>
      </c>
      <c r="BU34" s="167">
        <v>5</v>
      </c>
    </row>
    <row r="35" spans="2:73" ht="15" thickBot="1">
      <c r="B35" s="408"/>
      <c r="C35" s="409"/>
      <c r="D35" s="159" t="s">
        <v>260</v>
      </c>
      <c r="E35" s="70" t="s">
        <v>261</v>
      </c>
      <c r="F35" s="4"/>
      <c r="G35" s="140">
        <v>3</v>
      </c>
      <c r="H35" s="140"/>
      <c r="I35" s="163"/>
      <c r="J35" s="164">
        <v>0.03</v>
      </c>
      <c r="K35" s="164">
        <v>0.03</v>
      </c>
      <c r="L35" s="167">
        <v>3</v>
      </c>
      <c r="M35" s="167">
        <v>3</v>
      </c>
      <c r="N35" s="163"/>
      <c r="O35" s="164">
        <v>0.05</v>
      </c>
      <c r="P35" s="164">
        <v>0.05</v>
      </c>
      <c r="Q35" s="167">
        <v>3</v>
      </c>
      <c r="R35" s="167">
        <v>3</v>
      </c>
      <c r="S35" s="163"/>
      <c r="T35" s="164">
        <v>0.05</v>
      </c>
      <c r="U35" s="164">
        <v>0.03</v>
      </c>
      <c r="V35" s="167">
        <v>3</v>
      </c>
      <c r="W35" s="167">
        <v>4</v>
      </c>
      <c r="X35" s="163"/>
      <c r="Y35" s="164">
        <v>0.04</v>
      </c>
      <c r="Z35" s="164">
        <v>0.04</v>
      </c>
      <c r="AA35" s="167">
        <v>3</v>
      </c>
      <c r="AB35" s="250">
        <v>5</v>
      </c>
      <c r="AC35" s="163"/>
      <c r="AD35" s="164">
        <v>0.05</v>
      </c>
      <c r="AE35" s="164">
        <v>0.05</v>
      </c>
      <c r="AF35" s="167">
        <v>3</v>
      </c>
      <c r="AG35" s="167">
        <v>4</v>
      </c>
      <c r="AH35" s="163"/>
      <c r="AI35" s="142">
        <v>0.05</v>
      </c>
      <c r="AJ35" s="142">
        <v>0.05</v>
      </c>
      <c r="AK35" s="167">
        <v>3</v>
      </c>
      <c r="AL35" s="167">
        <v>4</v>
      </c>
      <c r="AM35" s="163"/>
      <c r="AN35" s="142">
        <v>0.03</v>
      </c>
      <c r="AO35" s="142">
        <v>0.03</v>
      </c>
      <c r="AP35" s="167">
        <v>3</v>
      </c>
      <c r="AQ35" s="250">
        <v>4</v>
      </c>
      <c r="AR35" s="163"/>
      <c r="AS35" s="142">
        <v>0.05</v>
      </c>
      <c r="AT35" s="142">
        <v>0.05</v>
      </c>
      <c r="AU35" s="167">
        <v>3</v>
      </c>
      <c r="AV35" s="167">
        <v>4</v>
      </c>
      <c r="AW35" s="163"/>
      <c r="AX35" s="142">
        <v>0.03</v>
      </c>
      <c r="AY35" s="142">
        <v>0.03</v>
      </c>
      <c r="AZ35" s="167">
        <v>3</v>
      </c>
      <c r="BA35" s="256" t="s">
        <v>363</v>
      </c>
      <c r="BB35" s="163"/>
      <c r="BC35" s="142">
        <v>0.03</v>
      </c>
      <c r="BD35" s="142">
        <v>0.03</v>
      </c>
      <c r="BE35" s="167">
        <v>3</v>
      </c>
      <c r="BF35" s="256">
        <v>3</v>
      </c>
      <c r="BG35" s="163"/>
      <c r="BH35" s="142">
        <v>0.03</v>
      </c>
      <c r="BI35" s="142">
        <v>0.03</v>
      </c>
      <c r="BJ35" s="167">
        <v>3</v>
      </c>
      <c r="BK35" s="167">
        <v>4</v>
      </c>
      <c r="BL35" s="163"/>
      <c r="BM35" s="142">
        <v>0.03</v>
      </c>
      <c r="BN35" s="142">
        <v>0.03</v>
      </c>
      <c r="BO35" s="167">
        <v>3</v>
      </c>
      <c r="BP35" s="256">
        <v>3</v>
      </c>
      <c r="BQ35" s="163"/>
      <c r="BR35" s="142">
        <v>0.03</v>
      </c>
      <c r="BS35" s="142">
        <v>0.03</v>
      </c>
      <c r="BT35" s="167">
        <v>3</v>
      </c>
      <c r="BU35" s="167">
        <v>4</v>
      </c>
    </row>
    <row r="36" spans="2:73" ht="27" thickBot="1">
      <c r="B36" s="408"/>
      <c r="C36" s="409"/>
      <c r="D36" s="159" t="s">
        <v>262</v>
      </c>
      <c r="E36" s="70" t="s">
        <v>263</v>
      </c>
      <c r="F36" s="4"/>
      <c r="G36" s="140">
        <v>3</v>
      </c>
      <c r="H36" s="140"/>
      <c r="I36" s="163"/>
      <c r="J36" s="164">
        <v>0.04</v>
      </c>
      <c r="K36" s="164">
        <v>0.04</v>
      </c>
      <c r="L36" s="167">
        <v>3</v>
      </c>
      <c r="M36" s="167">
        <v>3</v>
      </c>
      <c r="N36" s="163"/>
      <c r="O36" s="164">
        <v>0.1</v>
      </c>
      <c r="P36" s="164">
        <v>0.05</v>
      </c>
      <c r="Q36" s="167">
        <v>3</v>
      </c>
      <c r="R36" s="167">
        <v>3</v>
      </c>
      <c r="S36" s="163"/>
      <c r="T36" s="164">
        <v>0.1</v>
      </c>
      <c r="U36" s="164">
        <v>0.04</v>
      </c>
      <c r="V36" s="167">
        <v>3</v>
      </c>
      <c r="W36" s="167">
        <v>4</v>
      </c>
      <c r="X36" s="163"/>
      <c r="Y36" s="164">
        <v>0.04</v>
      </c>
      <c r="Z36" s="164">
        <v>0.04</v>
      </c>
      <c r="AA36" s="167">
        <v>3</v>
      </c>
      <c r="AB36" s="250">
        <v>5</v>
      </c>
      <c r="AC36" s="163"/>
      <c r="AD36" s="164">
        <v>0.05</v>
      </c>
      <c r="AE36" s="164">
        <v>0.05</v>
      </c>
      <c r="AF36" s="167">
        <v>3</v>
      </c>
      <c r="AG36" s="167">
        <v>4</v>
      </c>
      <c r="AH36" s="163"/>
      <c r="AI36" s="142">
        <v>0.05</v>
      </c>
      <c r="AJ36" s="142">
        <v>0.05</v>
      </c>
      <c r="AK36" s="167">
        <v>3</v>
      </c>
      <c r="AL36" s="167">
        <v>5</v>
      </c>
      <c r="AM36" s="163"/>
      <c r="AN36" s="142">
        <v>0.04</v>
      </c>
      <c r="AO36" s="142">
        <v>0.04</v>
      </c>
      <c r="AP36" s="167">
        <v>3</v>
      </c>
      <c r="AQ36" s="250">
        <v>3</v>
      </c>
      <c r="AR36" s="163"/>
      <c r="AS36" s="142">
        <v>0.05</v>
      </c>
      <c r="AT36" s="142">
        <v>0.05</v>
      </c>
      <c r="AU36" s="167">
        <v>3</v>
      </c>
      <c r="AV36" s="167">
        <v>4</v>
      </c>
      <c r="AW36" s="163"/>
      <c r="AX36" s="142">
        <v>0.04</v>
      </c>
      <c r="AY36" s="142">
        <v>0.04</v>
      </c>
      <c r="AZ36" s="167">
        <v>3</v>
      </c>
      <c r="BA36" s="256" t="s">
        <v>363</v>
      </c>
      <c r="BB36" s="163"/>
      <c r="BC36" s="142">
        <v>0.03</v>
      </c>
      <c r="BD36" s="142">
        <v>0.03</v>
      </c>
      <c r="BE36" s="167">
        <v>3</v>
      </c>
      <c r="BF36" s="256">
        <v>3</v>
      </c>
      <c r="BG36" s="163"/>
      <c r="BH36" s="142">
        <v>0.04</v>
      </c>
      <c r="BI36" s="142">
        <v>0.04</v>
      </c>
      <c r="BJ36" s="167">
        <v>3</v>
      </c>
      <c r="BK36" s="167">
        <v>4</v>
      </c>
      <c r="BL36" s="163"/>
      <c r="BM36" s="142">
        <v>0.04</v>
      </c>
      <c r="BN36" s="142">
        <v>0.04</v>
      </c>
      <c r="BO36" s="167">
        <v>3</v>
      </c>
      <c r="BP36" s="256">
        <v>3</v>
      </c>
      <c r="BQ36" s="163"/>
      <c r="BR36" s="142">
        <v>0.04</v>
      </c>
      <c r="BS36" s="142">
        <v>0.04</v>
      </c>
      <c r="BT36" s="167">
        <v>3</v>
      </c>
      <c r="BU36" s="167">
        <v>5</v>
      </c>
    </row>
    <row r="37" spans="2:73">
      <c r="L37" s="253"/>
      <c r="M37" s="253"/>
      <c r="Q37" s="253"/>
      <c r="R37" s="253"/>
      <c r="V37" s="253"/>
      <c r="W37" s="253"/>
      <c r="X37" s="239">
        <v>0.1</v>
      </c>
      <c r="Y37" s="5" t="s">
        <v>345</v>
      </c>
      <c r="Z37" s="5"/>
      <c r="AF37" s="253"/>
      <c r="AG37" s="253"/>
      <c r="AK37" s="253"/>
      <c r="AL37" s="253"/>
      <c r="AU37" s="253"/>
      <c r="AV37" s="253"/>
      <c r="AZ37" s="253"/>
      <c r="BA37" s="253"/>
      <c r="BE37" s="253"/>
      <c r="BF37" s="253"/>
      <c r="BJ37" s="253"/>
      <c r="BK37" s="253"/>
      <c r="BO37" s="253"/>
      <c r="BP37" s="253"/>
      <c r="BS37" t="s">
        <v>348</v>
      </c>
    </row>
    <row r="38" spans="2:73">
      <c r="X38" s="5"/>
      <c r="Y38" s="5" t="s">
        <v>346</v>
      </c>
      <c r="Z38" s="5"/>
    </row>
  </sheetData>
  <autoFilter ref="B7:AB36"/>
  <mergeCells count="76">
    <mergeCell ref="B5:B6"/>
    <mergeCell ref="B9:B18"/>
    <mergeCell ref="B2:C2"/>
    <mergeCell ref="I2:M2"/>
    <mergeCell ref="N2:R2"/>
    <mergeCell ref="D9:D10"/>
    <mergeCell ref="I5:M5"/>
    <mergeCell ref="N5:R5"/>
    <mergeCell ref="C30:C33"/>
    <mergeCell ref="B19:B28"/>
    <mergeCell ref="D20:D21"/>
    <mergeCell ref="AC6:AG6"/>
    <mergeCell ref="D11:D12"/>
    <mergeCell ref="C5:C6"/>
    <mergeCell ref="D5:D6"/>
    <mergeCell ref="E5:E6"/>
    <mergeCell ref="F5:F7"/>
    <mergeCell ref="G5:G7"/>
    <mergeCell ref="X6:AB6"/>
    <mergeCell ref="B29:B36"/>
    <mergeCell ref="C34:C36"/>
    <mergeCell ref="C9:C12"/>
    <mergeCell ref="D13:D15"/>
    <mergeCell ref="H5:H7"/>
    <mergeCell ref="S5:W5"/>
    <mergeCell ref="S3:W3"/>
    <mergeCell ref="X3:AB3"/>
    <mergeCell ref="AH2:AL2"/>
    <mergeCell ref="AC3:AG3"/>
    <mergeCell ref="AH3:AL3"/>
    <mergeCell ref="AC2:AG2"/>
    <mergeCell ref="C20:C23"/>
    <mergeCell ref="D22:D23"/>
    <mergeCell ref="C24:C25"/>
    <mergeCell ref="D24:D25"/>
    <mergeCell ref="C13:C18"/>
    <mergeCell ref="AH6:AL6"/>
    <mergeCell ref="AH5:AL5"/>
    <mergeCell ref="X5:AB5"/>
    <mergeCell ref="AC5:AG5"/>
    <mergeCell ref="BB2:BF2"/>
    <mergeCell ref="BB3:BF3"/>
    <mergeCell ref="BB5:BF5"/>
    <mergeCell ref="BB6:BF6"/>
    <mergeCell ref="AW2:BA2"/>
    <mergeCell ref="AW3:BA3"/>
    <mergeCell ref="AW5:BA5"/>
    <mergeCell ref="AW6:BA6"/>
    <mergeCell ref="I1:M1"/>
    <mergeCell ref="I6:M6"/>
    <mergeCell ref="N6:R6"/>
    <mergeCell ref="S6:W6"/>
    <mergeCell ref="AR2:AV2"/>
    <mergeCell ref="AR3:AV3"/>
    <mergeCell ref="AR5:AV5"/>
    <mergeCell ref="AR6:AV6"/>
    <mergeCell ref="AM2:AQ2"/>
    <mergeCell ref="AM3:AQ3"/>
    <mergeCell ref="AM5:AQ5"/>
    <mergeCell ref="AM6:AQ6"/>
    <mergeCell ref="S2:W2"/>
    <mergeCell ref="X2:AB2"/>
    <mergeCell ref="I3:M3"/>
    <mergeCell ref="N3:R3"/>
    <mergeCell ref="BQ2:BU2"/>
    <mergeCell ref="BQ3:BU3"/>
    <mergeCell ref="BQ5:BU5"/>
    <mergeCell ref="BQ6:BU6"/>
    <mergeCell ref="BG2:BK2"/>
    <mergeCell ref="BG3:BK3"/>
    <mergeCell ref="BG5:BK5"/>
    <mergeCell ref="BG6:BK6"/>
    <mergeCell ref="BL2:BP2"/>
    <mergeCell ref="BL3:BP3"/>
    <mergeCell ref="BL5:BP5"/>
    <mergeCell ref="BL6:BP6"/>
  </mergeCells>
  <conditionalFormatting sqref="I5 N5 S5 X5">
    <cfRule type="duplicateValues" dxfId="204" priority="233"/>
  </conditionalFormatting>
  <conditionalFormatting sqref="F1:G1">
    <cfRule type="duplicateValues" dxfId="203" priority="232"/>
  </conditionalFormatting>
  <conditionalFormatting sqref="F9:H20 F22:H36">
    <cfRule type="expression" dxfId="202" priority="231">
      <formula>F9=0</formula>
    </cfRule>
  </conditionalFormatting>
  <conditionalFormatting sqref="J9:J20 O9:O20 T19:U20 Y9:Y14 AJ26:AJ30 AJ22:AJ23 AE22:AE36 T22:U36 J22:J36 O22:O26 O27:P36 T9:T18 AE9:AE20 AJ19:AJ20">
    <cfRule type="expression" dxfId="201" priority="230">
      <formula>J9&gt;0</formula>
    </cfRule>
  </conditionalFormatting>
  <conditionalFormatting sqref="AC5">
    <cfRule type="duplicateValues" dxfId="200" priority="229"/>
  </conditionalFormatting>
  <conditionalFormatting sqref="AH5">
    <cfRule type="duplicateValues" dxfId="199" priority="228"/>
  </conditionalFormatting>
  <conditionalFormatting sqref="U19:U20 AE9:AE20 AJ26:AJ30 AJ22:AJ23 AE22:AE36 P27:P36 U22:U36 AO22:AO23 AT22:AT23 AY22:AY23 BD22:BD23 BI22:BI23 BN22:BN23 BS22:BS23 AJ19:AJ20">
    <cfRule type="expression" dxfId="198" priority="227">
      <formula>P9&lt;&gt;O9</formula>
    </cfRule>
  </conditionalFormatting>
  <conditionalFormatting sqref="AE9:AE20 AJ26:AJ30 AJ22:AJ23 AE22:AE36 P27:P36 AO22:AO23 AT22:AT23 AY22:AY23 BD22:BD23 BI22:BI23 BN22:BN23 BS22:BS23 AJ19:AJ20">
    <cfRule type="expression" dxfId="197" priority="226">
      <formula>P9&lt;&gt;O9</formula>
    </cfRule>
  </conditionalFormatting>
  <conditionalFormatting sqref="AO9:AO20 AO26:AO30 AO22:AO23">
    <cfRule type="expression" dxfId="196" priority="219">
      <formula>AO9&gt;0</formula>
    </cfRule>
  </conditionalFormatting>
  <conditionalFormatting sqref="AO9:AO20 AO26:AO30">
    <cfRule type="expression" dxfId="195" priority="217">
      <formula>AO9&lt;&gt;AN9</formula>
    </cfRule>
  </conditionalFormatting>
  <conditionalFormatting sqref="AO9:AO20 AO26:AO30">
    <cfRule type="expression" dxfId="194" priority="216">
      <formula>AO9&lt;&gt;AN9</formula>
    </cfRule>
  </conditionalFormatting>
  <conditionalFormatting sqref="AT9:AT14 AT26:AT30 AT22:AT23 AT18:AT20">
    <cfRule type="expression" dxfId="193" priority="214">
      <formula>AT9&gt;0</formula>
    </cfRule>
  </conditionalFormatting>
  <conditionalFormatting sqref="AT9:AT14 AT26:AT30 AT18:AT20">
    <cfRule type="expression" dxfId="192" priority="212">
      <formula>AT9&lt;&gt;AS9</formula>
    </cfRule>
  </conditionalFormatting>
  <conditionalFormatting sqref="AT9:AT14 AT26:AT30 AT18:AT20">
    <cfRule type="expression" dxfId="191" priority="211">
      <formula>AT9&lt;&gt;AS9</formula>
    </cfRule>
  </conditionalFormatting>
  <conditionalFormatting sqref="AY9:AY20 AY26:AY30 AY22:AY23">
    <cfRule type="expression" dxfId="190" priority="209">
      <formula>AY9&gt;0</formula>
    </cfRule>
  </conditionalFormatting>
  <conditionalFormatting sqref="AY9:AY20 AY26:AY30">
    <cfRule type="expression" dxfId="189" priority="207">
      <formula>AY9&lt;&gt;AX9</formula>
    </cfRule>
  </conditionalFormatting>
  <conditionalFormatting sqref="AY9:AY20 AY26:AY30">
    <cfRule type="expression" dxfId="188" priority="206">
      <formula>AY9&lt;&gt;AX9</formula>
    </cfRule>
  </conditionalFormatting>
  <conditionalFormatting sqref="BD9:BD20 BD26:BD30 BD22:BD23">
    <cfRule type="expression" dxfId="187" priority="204">
      <formula>BD9&gt;0</formula>
    </cfRule>
  </conditionalFormatting>
  <conditionalFormatting sqref="BD9:BD20 BD26:BD30">
    <cfRule type="expression" dxfId="186" priority="202">
      <formula>BD9&lt;&gt;BC9</formula>
    </cfRule>
  </conditionalFormatting>
  <conditionalFormatting sqref="BD9:BD20 BD26:BD30">
    <cfRule type="expression" dxfId="185" priority="201">
      <formula>BD9&lt;&gt;BC9</formula>
    </cfRule>
  </conditionalFormatting>
  <conditionalFormatting sqref="BI9:BI20 BI26:BI30 BI22:BI23">
    <cfRule type="expression" dxfId="184" priority="199">
      <formula>BI9&gt;0</formula>
    </cfRule>
  </conditionalFormatting>
  <conditionalFormatting sqref="BG5">
    <cfRule type="duplicateValues" dxfId="183" priority="198"/>
  </conditionalFormatting>
  <conditionalFormatting sqref="BI9:BI20 BI26:BI30">
    <cfRule type="expression" dxfId="182" priority="197">
      <formula>BI9&lt;&gt;BH9</formula>
    </cfRule>
  </conditionalFormatting>
  <conditionalFormatting sqref="BI9:BI20 BI26:BI30">
    <cfRule type="expression" dxfId="181" priority="196">
      <formula>BI9&lt;&gt;BH9</formula>
    </cfRule>
  </conditionalFormatting>
  <conditionalFormatting sqref="BN9:BN20 BN26:BN30 BN22:BN23">
    <cfRule type="expression" dxfId="180" priority="194">
      <formula>BN9&gt;0</formula>
    </cfRule>
  </conditionalFormatting>
  <conditionalFormatting sqref="BL5">
    <cfRule type="duplicateValues" dxfId="179" priority="193"/>
  </conditionalFormatting>
  <conditionalFormatting sqref="BN9:BN20 BN26:BN30">
    <cfRule type="expression" dxfId="178" priority="192">
      <formula>BN9&lt;&gt;BM9</formula>
    </cfRule>
  </conditionalFormatting>
  <conditionalFormatting sqref="BN9:BN20 BN26:BN30">
    <cfRule type="expression" dxfId="177" priority="191">
      <formula>BN9&lt;&gt;BM9</formula>
    </cfRule>
  </conditionalFormatting>
  <conditionalFormatting sqref="BR9:BS11 BS26:BS30 BS22:BS23 BS12:BS20">
    <cfRule type="expression" dxfId="176" priority="189">
      <formula>BR9&gt;0</formula>
    </cfRule>
  </conditionalFormatting>
  <conditionalFormatting sqref="BQ5">
    <cfRule type="duplicateValues" dxfId="175" priority="188"/>
  </conditionalFormatting>
  <conditionalFormatting sqref="BS9:BS20 BS26:BS30">
    <cfRule type="expression" dxfId="174" priority="187">
      <formula>BS9&lt;&gt;BR9</formula>
    </cfRule>
  </conditionalFormatting>
  <conditionalFormatting sqref="BS9:BS20 BS26:BS30">
    <cfRule type="expression" dxfId="173" priority="186">
      <formula>BS9&lt;&gt;BR9</formula>
    </cfRule>
  </conditionalFormatting>
  <conditionalFormatting sqref="AR5 AM5">
    <cfRule type="duplicateValues" dxfId="172" priority="142"/>
  </conditionalFormatting>
  <conditionalFormatting sqref="AW5 BB5">
    <cfRule type="duplicateValues" dxfId="171" priority="141"/>
  </conditionalFormatting>
  <conditionalFormatting sqref="F21:H21">
    <cfRule type="expression" dxfId="170" priority="140">
      <formula>F21=0</formula>
    </cfRule>
  </conditionalFormatting>
  <conditionalFormatting sqref="AJ21 AE21 T21:U21 O21 J21">
    <cfRule type="expression" dxfId="169" priority="139">
      <formula>J21&gt;0</formula>
    </cfRule>
  </conditionalFormatting>
  <conditionalFormatting sqref="AJ21 AE21 U21">
    <cfRule type="expression" dxfId="168" priority="138">
      <formula>U21&lt;&gt;T21</formula>
    </cfRule>
  </conditionalFormatting>
  <conditionalFormatting sqref="AJ21 AE21">
    <cfRule type="expression" dxfId="167" priority="137">
      <formula>AE21&lt;&gt;AD21</formula>
    </cfRule>
  </conditionalFormatting>
  <conditionalFormatting sqref="AO21">
    <cfRule type="expression" dxfId="166" priority="136">
      <formula>AO21&gt;0</formula>
    </cfRule>
  </conditionalFormatting>
  <conditionalFormatting sqref="AO21">
    <cfRule type="expression" dxfId="165" priority="135">
      <formula>AO21&lt;&gt;AN21</formula>
    </cfRule>
  </conditionalFormatting>
  <conditionalFormatting sqref="AO21">
    <cfRule type="expression" dxfId="164" priority="134">
      <formula>AO21&lt;&gt;AN21</formula>
    </cfRule>
  </conditionalFormatting>
  <conditionalFormatting sqref="AT21">
    <cfRule type="expression" dxfId="163" priority="133">
      <formula>AT21&gt;0</formula>
    </cfRule>
  </conditionalFormatting>
  <conditionalFormatting sqref="AT21">
    <cfRule type="expression" dxfId="162" priority="132">
      <formula>AT21&lt;&gt;AS21</formula>
    </cfRule>
  </conditionalFormatting>
  <conditionalFormatting sqref="AT21">
    <cfRule type="expression" dxfId="161" priority="131">
      <formula>AT21&lt;&gt;AS21</formula>
    </cfRule>
  </conditionalFormatting>
  <conditionalFormatting sqref="AY21">
    <cfRule type="expression" dxfId="160" priority="130">
      <formula>AY21&gt;0</formula>
    </cfRule>
  </conditionalFormatting>
  <conditionalFormatting sqref="AY21">
    <cfRule type="expression" dxfId="159" priority="129">
      <formula>AY21&lt;&gt;AX21</formula>
    </cfRule>
  </conditionalFormatting>
  <conditionalFormatting sqref="AY21">
    <cfRule type="expression" dxfId="158" priority="128">
      <formula>AY21&lt;&gt;AX21</formula>
    </cfRule>
  </conditionalFormatting>
  <conditionalFormatting sqref="BD21">
    <cfRule type="expression" dxfId="157" priority="127">
      <formula>BD21&gt;0</formula>
    </cfRule>
  </conditionalFormatting>
  <conditionalFormatting sqref="BD21">
    <cfRule type="expression" dxfId="156" priority="126">
      <formula>BD21&lt;&gt;BC21</formula>
    </cfRule>
  </conditionalFormatting>
  <conditionalFormatting sqref="BD21">
    <cfRule type="expression" dxfId="155" priority="125">
      <formula>BD21&lt;&gt;BC21</formula>
    </cfRule>
  </conditionalFormatting>
  <conditionalFormatting sqref="BI21">
    <cfRule type="expression" dxfId="154" priority="124">
      <formula>BI21&gt;0</formula>
    </cfRule>
  </conditionalFormatting>
  <conditionalFormatting sqref="BI21">
    <cfRule type="expression" dxfId="153" priority="123">
      <formula>BI21&lt;&gt;BH21</formula>
    </cfRule>
  </conditionalFormatting>
  <conditionalFormatting sqref="BI21">
    <cfRule type="expression" dxfId="152" priority="122">
      <formula>BI21&lt;&gt;BH21</formula>
    </cfRule>
  </conditionalFormatting>
  <conditionalFormatting sqref="BN21">
    <cfRule type="expression" dxfId="151" priority="121">
      <formula>BN21&gt;0</formula>
    </cfRule>
  </conditionalFormatting>
  <conditionalFormatting sqref="BN21">
    <cfRule type="expression" dxfId="150" priority="120">
      <formula>BN21&lt;&gt;BM21</formula>
    </cfRule>
  </conditionalFormatting>
  <conditionalFormatting sqref="BN21">
    <cfRule type="expression" dxfId="149" priority="119">
      <formula>BN21&lt;&gt;BM21</formula>
    </cfRule>
  </conditionalFormatting>
  <conditionalFormatting sqref="BS21">
    <cfRule type="expression" dxfId="148" priority="118">
      <formula>BS21&gt;0</formula>
    </cfRule>
  </conditionalFormatting>
  <conditionalFormatting sqref="BS21">
    <cfRule type="expression" dxfId="147" priority="117">
      <formula>BS21&lt;&gt;BR21</formula>
    </cfRule>
  </conditionalFormatting>
  <conditionalFormatting sqref="BS21">
    <cfRule type="expression" dxfId="146" priority="116">
      <formula>BS21&lt;&gt;BR21</formula>
    </cfRule>
  </conditionalFormatting>
  <conditionalFormatting sqref="K9:K20 K22:K36">
    <cfRule type="expression" dxfId="145" priority="91">
      <formula>K9&gt;0</formula>
    </cfRule>
  </conditionalFormatting>
  <conditionalFormatting sqref="K21">
    <cfRule type="expression" dxfId="144" priority="90">
      <formula>K21&gt;0</formula>
    </cfRule>
  </conditionalFormatting>
  <conditionalFormatting sqref="P9:P20 P22:P26">
    <cfRule type="expression" dxfId="143" priority="89">
      <formula>P9&gt;0</formula>
    </cfRule>
  </conditionalFormatting>
  <conditionalFormatting sqref="P21">
    <cfRule type="expression" dxfId="142" priority="88">
      <formula>P21&gt;0</formula>
    </cfRule>
  </conditionalFormatting>
  <conditionalFormatting sqref="U9:U18">
    <cfRule type="expression" dxfId="141" priority="87">
      <formula>U9&gt;0</formula>
    </cfRule>
  </conditionalFormatting>
  <conditionalFormatting sqref="AJ9:AJ18">
    <cfRule type="expression" dxfId="140" priority="80">
      <formula>AJ9&gt;0</formula>
    </cfRule>
  </conditionalFormatting>
  <conditionalFormatting sqref="AJ9:AJ18">
    <cfRule type="expression" dxfId="139" priority="79">
      <formula>AJ9&lt;&gt;AI9</formula>
    </cfRule>
  </conditionalFormatting>
  <conditionalFormatting sqref="AJ9:AJ18">
    <cfRule type="expression" dxfId="138" priority="78">
      <formula>AJ9&lt;&gt;AI9</formula>
    </cfRule>
  </conditionalFormatting>
  <conditionalFormatting sqref="Z9:Z14 Z22:Z36 Z16:Z20">
    <cfRule type="expression" dxfId="137" priority="77">
      <formula>Z9&gt;0</formula>
    </cfRule>
  </conditionalFormatting>
  <conditionalFormatting sqref="Z21">
    <cfRule type="expression" dxfId="136" priority="76">
      <formula>Z21&gt;0</formula>
    </cfRule>
  </conditionalFormatting>
  <conditionalFormatting sqref="Z15">
    <cfRule type="expression" dxfId="135" priority="75">
      <formula>Z15&gt;0</formula>
    </cfRule>
  </conditionalFormatting>
  <conditionalFormatting sqref="Y22:Y36 Y16:Y20">
    <cfRule type="expression" dxfId="134" priority="74">
      <formula>Y16&gt;0</formula>
    </cfRule>
  </conditionalFormatting>
  <conditionalFormatting sqref="Y21">
    <cfRule type="expression" dxfId="133" priority="73">
      <formula>Y21&gt;0</formula>
    </cfRule>
  </conditionalFormatting>
  <conditionalFormatting sqref="Y15">
    <cfRule type="expression" dxfId="132" priority="72">
      <formula>Y15&gt;0</formula>
    </cfRule>
  </conditionalFormatting>
  <conditionalFormatting sqref="BR22:BR23">
    <cfRule type="expression" dxfId="131" priority="71">
      <formula>BR22&lt;&gt;BQ22</formula>
    </cfRule>
  </conditionalFormatting>
  <conditionalFormatting sqref="BR22:BR23">
    <cfRule type="expression" dxfId="130" priority="70">
      <formula>BR22&lt;&gt;BQ22</formula>
    </cfRule>
  </conditionalFormatting>
  <conditionalFormatting sqref="BR26:BR30 BR22:BR23 BR12:BR20">
    <cfRule type="expression" dxfId="129" priority="69">
      <formula>BR12&gt;0</formula>
    </cfRule>
  </conditionalFormatting>
  <conditionalFormatting sqref="BR12:BR20 BR26:BR30">
    <cfRule type="expression" dxfId="128" priority="68">
      <formula>BR12&lt;&gt;BQ12</formula>
    </cfRule>
  </conditionalFormatting>
  <conditionalFormatting sqref="BR12:BR20 BR26:BR30">
    <cfRule type="expression" dxfId="127" priority="67">
      <formula>BR12&lt;&gt;BQ12</formula>
    </cfRule>
  </conditionalFormatting>
  <conditionalFormatting sqref="BR21">
    <cfRule type="expression" dxfId="126" priority="66">
      <formula>BR21&gt;0</formula>
    </cfRule>
  </conditionalFormatting>
  <conditionalFormatting sqref="BR21">
    <cfRule type="expression" dxfId="125" priority="65">
      <formula>BR21&lt;&gt;BQ21</formula>
    </cfRule>
  </conditionalFormatting>
  <conditionalFormatting sqref="BR21">
    <cfRule type="expression" dxfId="124" priority="64">
      <formula>BR21&lt;&gt;BQ21</formula>
    </cfRule>
  </conditionalFormatting>
  <conditionalFormatting sqref="BH22:BH23">
    <cfRule type="expression" dxfId="123" priority="63">
      <formula>BH22&lt;&gt;BG22</formula>
    </cfRule>
  </conditionalFormatting>
  <conditionalFormatting sqref="BH22:BH23">
    <cfRule type="expression" dxfId="122" priority="62">
      <formula>BH22&lt;&gt;BG22</formula>
    </cfRule>
  </conditionalFormatting>
  <conditionalFormatting sqref="BH9:BH20 BH26:BH30 BH22:BH23">
    <cfRule type="expression" dxfId="121" priority="61">
      <formula>BH9&gt;0</formula>
    </cfRule>
  </conditionalFormatting>
  <conditionalFormatting sqref="BH9:BH20 BH26:BH30">
    <cfRule type="expression" dxfId="120" priority="60">
      <formula>BH9&lt;&gt;BG9</formula>
    </cfRule>
  </conditionalFormatting>
  <conditionalFormatting sqref="BH9:BH20 BH26:BH30">
    <cfRule type="expression" dxfId="119" priority="59">
      <formula>BH9&lt;&gt;BG9</formula>
    </cfRule>
  </conditionalFormatting>
  <conditionalFormatting sqref="BH21">
    <cfRule type="expression" dxfId="118" priority="58">
      <formula>BH21&gt;0</formula>
    </cfRule>
  </conditionalFormatting>
  <conditionalFormatting sqref="BH21">
    <cfRule type="expression" dxfId="117" priority="57">
      <formula>BH21&lt;&gt;BG21</formula>
    </cfRule>
  </conditionalFormatting>
  <conditionalFormatting sqref="BH21">
    <cfRule type="expression" dxfId="116" priority="56">
      <formula>BH21&lt;&gt;BG21</formula>
    </cfRule>
  </conditionalFormatting>
  <conditionalFormatting sqref="BM22:BM23">
    <cfRule type="expression" dxfId="115" priority="55">
      <formula>BM22&lt;&gt;BL22</formula>
    </cfRule>
  </conditionalFormatting>
  <conditionalFormatting sqref="BM22:BM23">
    <cfRule type="expression" dxfId="114" priority="54">
      <formula>BM22&lt;&gt;BL22</formula>
    </cfRule>
  </conditionalFormatting>
  <conditionalFormatting sqref="BM9:BM20 BM26:BM30 BM22:BM23">
    <cfRule type="expression" dxfId="113" priority="53">
      <formula>BM9&gt;0</formula>
    </cfRule>
  </conditionalFormatting>
  <conditionalFormatting sqref="BM9:BM20 BM26:BM30">
    <cfRule type="expression" dxfId="112" priority="52">
      <formula>BM9&lt;&gt;BL9</formula>
    </cfRule>
  </conditionalFormatting>
  <conditionalFormatting sqref="BM9:BM20 BM26:BM30">
    <cfRule type="expression" dxfId="111" priority="51">
      <formula>BM9&lt;&gt;BL9</formula>
    </cfRule>
  </conditionalFormatting>
  <conditionalFormatting sqref="BM21">
    <cfRule type="expression" dxfId="110" priority="50">
      <formula>BM21&gt;0</formula>
    </cfRule>
  </conditionalFormatting>
  <conditionalFormatting sqref="BM21">
    <cfRule type="expression" dxfId="109" priority="49">
      <formula>BM21&lt;&gt;BL21</formula>
    </cfRule>
  </conditionalFormatting>
  <conditionalFormatting sqref="BM21">
    <cfRule type="expression" dxfId="108" priority="48">
      <formula>BM21&lt;&gt;BL21</formula>
    </cfRule>
  </conditionalFormatting>
  <conditionalFormatting sqref="BC22:BC23">
    <cfRule type="expression" dxfId="107" priority="47">
      <formula>BC22&lt;&gt;BB22</formula>
    </cfRule>
  </conditionalFormatting>
  <conditionalFormatting sqref="BC22:BC23">
    <cfRule type="expression" dxfId="106" priority="46">
      <formula>BC22&lt;&gt;BB22</formula>
    </cfRule>
  </conditionalFormatting>
  <conditionalFormatting sqref="BC9:BC20 BC26:BC30 BC22:BC23">
    <cfRule type="expression" dxfId="105" priority="45">
      <formula>BC9&gt;0</formula>
    </cfRule>
  </conditionalFormatting>
  <conditionalFormatting sqref="BC9:BC20 BC26:BC30">
    <cfRule type="expression" dxfId="104" priority="44">
      <formula>BC9&lt;&gt;BB9</formula>
    </cfRule>
  </conditionalFormatting>
  <conditionalFormatting sqref="BC9:BC20 BC26:BC30">
    <cfRule type="expression" dxfId="103" priority="43">
      <formula>BC9&lt;&gt;BB9</formula>
    </cfRule>
  </conditionalFormatting>
  <conditionalFormatting sqref="BC21">
    <cfRule type="expression" dxfId="102" priority="42">
      <formula>BC21&gt;0</formula>
    </cfRule>
  </conditionalFormatting>
  <conditionalFormatting sqref="BC21">
    <cfRule type="expression" dxfId="101" priority="41">
      <formula>BC21&lt;&gt;BB21</formula>
    </cfRule>
  </conditionalFormatting>
  <conditionalFormatting sqref="BC21">
    <cfRule type="expression" dxfId="100" priority="40">
      <formula>BC21&lt;&gt;BB21</formula>
    </cfRule>
  </conditionalFormatting>
  <conditionalFormatting sqref="AX22:AX23">
    <cfRule type="expression" dxfId="99" priority="39">
      <formula>AX22&lt;&gt;AW22</formula>
    </cfRule>
  </conditionalFormatting>
  <conditionalFormatting sqref="AX22:AX23">
    <cfRule type="expression" dxfId="98" priority="38">
      <formula>AX22&lt;&gt;AW22</formula>
    </cfRule>
  </conditionalFormatting>
  <conditionalFormatting sqref="AX9:AX20 AX26:AX30 AX22:AX23">
    <cfRule type="expression" dxfId="97" priority="37">
      <formula>AX9&gt;0</formula>
    </cfRule>
  </conditionalFormatting>
  <conditionalFormatting sqref="AX9:AX20 AX26:AX30">
    <cfRule type="expression" dxfId="96" priority="36">
      <formula>AX9&lt;&gt;AW9</formula>
    </cfRule>
  </conditionalFormatting>
  <conditionalFormatting sqref="AX9:AX20 AX26:AX30">
    <cfRule type="expression" dxfId="95" priority="35">
      <formula>AX9&lt;&gt;AW9</formula>
    </cfRule>
  </conditionalFormatting>
  <conditionalFormatting sqref="AX21">
    <cfRule type="expression" dxfId="94" priority="34">
      <formula>AX21&gt;0</formula>
    </cfRule>
  </conditionalFormatting>
  <conditionalFormatting sqref="AX21">
    <cfRule type="expression" dxfId="93" priority="33">
      <formula>AX21&lt;&gt;AW21</formula>
    </cfRule>
  </conditionalFormatting>
  <conditionalFormatting sqref="AX21">
    <cfRule type="expression" dxfId="92" priority="32">
      <formula>AX21&lt;&gt;AW21</formula>
    </cfRule>
  </conditionalFormatting>
  <conditionalFormatting sqref="AS22:AS23">
    <cfRule type="expression" dxfId="91" priority="31">
      <formula>AS22&lt;&gt;AR22</formula>
    </cfRule>
  </conditionalFormatting>
  <conditionalFormatting sqref="AS22:AS23">
    <cfRule type="expression" dxfId="90" priority="30">
      <formula>AS22&lt;&gt;AR22</formula>
    </cfRule>
  </conditionalFormatting>
  <conditionalFormatting sqref="AS9:AS14 AS26:AS30 AS22:AS23 AS18:AS20">
    <cfRule type="expression" dxfId="89" priority="29">
      <formula>AS9&gt;0</formula>
    </cfRule>
  </conditionalFormatting>
  <conditionalFormatting sqref="AS9:AS14 AS26:AS30 AS18:AS20">
    <cfRule type="expression" dxfId="88" priority="28">
      <formula>AS9&lt;&gt;AR9</formula>
    </cfRule>
  </conditionalFormatting>
  <conditionalFormatting sqref="AS9:AS14 AS26:AS30 AS18:AS20">
    <cfRule type="expression" dxfId="87" priority="27">
      <formula>AS9&lt;&gt;AR9</formula>
    </cfRule>
  </conditionalFormatting>
  <conditionalFormatting sqref="AS21">
    <cfRule type="expression" dxfId="86" priority="26">
      <formula>AS21&gt;0</formula>
    </cfRule>
  </conditionalFormatting>
  <conditionalFormatting sqref="AS21">
    <cfRule type="expression" dxfId="85" priority="25">
      <formula>AS21&lt;&gt;AR21</formula>
    </cfRule>
  </conditionalFormatting>
  <conditionalFormatting sqref="AS21">
    <cfRule type="expression" dxfId="84" priority="24">
      <formula>AS21&lt;&gt;AR21</formula>
    </cfRule>
  </conditionalFormatting>
  <conditionalFormatting sqref="AN22:AN23">
    <cfRule type="expression" dxfId="83" priority="23">
      <formula>AN22&lt;&gt;AM22</formula>
    </cfRule>
  </conditionalFormatting>
  <conditionalFormatting sqref="AN22:AN23">
    <cfRule type="expression" dxfId="82" priority="22">
      <formula>AN22&lt;&gt;AM22</formula>
    </cfRule>
  </conditionalFormatting>
  <conditionalFormatting sqref="AN9:AN20 AN26:AN30 AN22:AN23">
    <cfRule type="expression" dxfId="81" priority="21">
      <formula>AN9&gt;0</formula>
    </cfRule>
  </conditionalFormatting>
  <conditionalFormatting sqref="AN9:AN20 AN26:AN30">
    <cfRule type="expression" dxfId="80" priority="20">
      <formula>AN9&lt;&gt;AM9</formula>
    </cfRule>
  </conditionalFormatting>
  <conditionalFormatting sqref="AN9:AN20 AN26:AN30">
    <cfRule type="expression" dxfId="79" priority="19">
      <formula>AN9&lt;&gt;AM9</formula>
    </cfRule>
  </conditionalFormatting>
  <conditionalFormatting sqref="AN21">
    <cfRule type="expression" dxfId="78" priority="18">
      <formula>AN21&gt;0</formula>
    </cfRule>
  </conditionalFormatting>
  <conditionalFormatting sqref="AN21">
    <cfRule type="expression" dxfId="77" priority="17">
      <formula>AN21&lt;&gt;AM21</formula>
    </cfRule>
  </conditionalFormatting>
  <conditionalFormatting sqref="AN21">
    <cfRule type="expression" dxfId="76" priority="16">
      <formula>AN21&lt;&gt;AM21</formula>
    </cfRule>
  </conditionalFormatting>
  <conditionalFormatting sqref="AI26:AI30 AI22:AI23 AI19:AI20">
    <cfRule type="expression" dxfId="75" priority="15">
      <formula>AI19&gt;0</formula>
    </cfRule>
  </conditionalFormatting>
  <conditionalFormatting sqref="AI26:AI30 AI22:AI23 AI19:AI20">
    <cfRule type="expression" dxfId="74" priority="14">
      <formula>AI19&lt;&gt;AH19</formula>
    </cfRule>
  </conditionalFormatting>
  <conditionalFormatting sqref="AI26:AI30 AI22:AI23 AI19:AI20">
    <cfRule type="expression" dxfId="73" priority="13">
      <formula>AI19&lt;&gt;AH19</formula>
    </cfRule>
  </conditionalFormatting>
  <conditionalFormatting sqref="AI21">
    <cfRule type="expression" dxfId="72" priority="12">
      <formula>AI21&gt;0</formula>
    </cfRule>
  </conditionalFormatting>
  <conditionalFormatting sqref="AI21">
    <cfRule type="expression" dxfId="71" priority="11">
      <formula>AI21&lt;&gt;AH21</formula>
    </cfRule>
  </conditionalFormatting>
  <conditionalFormatting sqref="AI21">
    <cfRule type="expression" dxfId="70" priority="10">
      <formula>AI21&lt;&gt;AH21</formula>
    </cfRule>
  </conditionalFormatting>
  <conditionalFormatting sqref="AI9:AI18">
    <cfRule type="expression" dxfId="69" priority="9">
      <formula>AI9&gt;0</formula>
    </cfRule>
  </conditionalFormatting>
  <conditionalFormatting sqref="AI9:AI18">
    <cfRule type="expression" dxfId="68" priority="8">
      <formula>AI9&lt;&gt;AH9</formula>
    </cfRule>
  </conditionalFormatting>
  <conditionalFormatting sqref="AI9:AI18">
    <cfRule type="expression" dxfId="67" priority="7">
      <formula>AI9&lt;&gt;AH9</formula>
    </cfRule>
  </conditionalFormatting>
  <conditionalFormatting sqref="AD22:AD36 AD9:AD20">
    <cfRule type="expression" dxfId="66" priority="6">
      <formula>AD9&gt;0</formula>
    </cfRule>
  </conditionalFormatting>
  <conditionalFormatting sqref="AD9:AD20 AD22:AD36">
    <cfRule type="expression" dxfId="65" priority="5">
      <formula>AD9&lt;&gt;AC9</formula>
    </cfRule>
  </conditionalFormatting>
  <conditionalFormatting sqref="AD9:AD20 AD22:AD36">
    <cfRule type="expression" dxfId="64" priority="4">
      <formula>AD9&lt;&gt;AC9</formula>
    </cfRule>
  </conditionalFormatting>
  <conditionalFormatting sqref="AD21">
    <cfRule type="expression" dxfId="63" priority="3">
      <formula>AD21&gt;0</formula>
    </cfRule>
  </conditionalFormatting>
  <conditionalFormatting sqref="AD21">
    <cfRule type="expression" dxfId="62" priority="2">
      <formula>AD21&lt;&gt;AC21</formula>
    </cfRule>
  </conditionalFormatting>
  <conditionalFormatting sqref="AD21">
    <cfRule type="expression" dxfId="61" priority="1">
      <formula>AD21&lt;&gt;AC21</formula>
    </cfRule>
  </conditionalFormatting>
  <conditionalFormatting sqref="F37:H1048576 H1 F2:H3 F4 H4 J4 L4 N4 P4 R4 T4 V4 X4 Z4 AB4 AD4 AF4 AH4 AJ4 AL4:AM4 AO4 AT4 AY4 BD4 BI4 BN4 BS4 AQ4:AR4 AV4:AW4 BA4:BB4 BF4:BG4 BK4:BL4 BP4:BQ4 BU4">
    <cfRule type="duplicateValues" dxfId="60" priority="1523"/>
  </conditionalFormatting>
  <dataValidations count="2">
    <dataValidation type="list" allowBlank="1" showInputMessage="1" showErrorMessage="1" sqref="I3:BU3">
      <formula1>"Junior,Senior,Test Leader"</formula1>
    </dataValidation>
    <dataValidation type="list" allowBlank="1" showInputMessage="1" showErrorMessage="1" sqref="E2">
      <formula1>"FIT AVN,FIT Telematic,ST AVN,ST Telematic,SWT AVN"</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[3]Reference!#REF!</xm:f>
          </x14:formula1>
          <xm:sqref>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G39"/>
  <sheetViews>
    <sheetView showGridLines="0" zoomScale="90" zoomScaleNormal="90" workbookViewId="0">
      <pane xSplit="5" ySplit="8" topLeftCell="I9" activePane="bottomRight" state="frozen"/>
      <selection activeCell="BC10" sqref="BC10"/>
      <selection pane="topRight" activeCell="BC10" sqref="BC10"/>
      <selection pane="bottomLeft" activeCell="BC10" sqref="BC10"/>
      <selection pane="bottomRight" activeCell="M37" sqref="M37"/>
    </sheetView>
  </sheetViews>
  <sheetFormatPr defaultRowHeight="14.4"/>
  <cols>
    <col min="1" max="1" width="3.88671875" customWidth="1"/>
    <col min="2" max="2" width="9.5546875" customWidth="1"/>
    <col min="3" max="3" width="16.88671875" customWidth="1"/>
    <col min="4" max="4" width="27.88671875" customWidth="1"/>
    <col min="5" max="5" width="40.21875" bestFit="1" customWidth="1"/>
    <col min="6" max="6" width="8.88671875" customWidth="1"/>
    <col min="7" max="8" width="11.44140625" customWidth="1"/>
    <col min="9" max="33" width="8" customWidth="1"/>
  </cols>
  <sheetData>
    <row r="1" spans="2:33">
      <c r="E1" s="132" t="s">
        <v>19</v>
      </c>
      <c r="F1" s="132">
        <v>6</v>
      </c>
      <c r="G1" s="132">
        <v>7</v>
      </c>
      <c r="I1" s="381"/>
      <c r="J1" s="381"/>
      <c r="K1" s="381"/>
      <c r="L1" s="381"/>
      <c r="M1" s="381"/>
    </row>
    <row r="2" spans="2:33" ht="15.6">
      <c r="B2" s="413" t="s">
        <v>216</v>
      </c>
      <c r="C2" s="413"/>
      <c r="E2" s="132" t="s">
        <v>322</v>
      </c>
      <c r="F2" s="132">
        <v>4</v>
      </c>
      <c r="I2" s="381">
        <v>3</v>
      </c>
      <c r="J2" s="381"/>
      <c r="K2" s="381"/>
      <c r="L2" s="381"/>
      <c r="M2" s="381"/>
      <c r="N2" s="381">
        <v>4</v>
      </c>
      <c r="O2" s="381"/>
      <c r="P2" s="381"/>
      <c r="Q2" s="381"/>
      <c r="R2" s="381"/>
      <c r="S2" s="381">
        <v>4</v>
      </c>
      <c r="T2" s="381"/>
      <c r="U2" s="381"/>
      <c r="V2" s="381"/>
      <c r="W2" s="381"/>
      <c r="X2" s="381">
        <f>VLOOKUP(X$3,[3]KPI_ST_Indexes!$B$35:$C$37,2,0)</f>
        <v>4</v>
      </c>
      <c r="Y2" s="381"/>
      <c r="Z2" s="381"/>
      <c r="AA2" s="381"/>
      <c r="AB2" s="381"/>
      <c r="AC2" s="381">
        <v>4</v>
      </c>
      <c r="AD2" s="381"/>
      <c r="AE2" s="381"/>
      <c r="AF2" s="381"/>
      <c r="AG2" s="381"/>
    </row>
    <row r="3" spans="2:33">
      <c r="I3" s="381" t="s">
        <v>141</v>
      </c>
      <c r="J3" s="381"/>
      <c r="K3" s="381"/>
      <c r="L3" s="381"/>
      <c r="M3" s="381"/>
      <c r="N3" s="381" t="s">
        <v>141</v>
      </c>
      <c r="O3" s="381"/>
      <c r="P3" s="381"/>
      <c r="Q3" s="381"/>
      <c r="R3" s="381"/>
      <c r="S3" s="381" t="s">
        <v>219</v>
      </c>
      <c r="T3" s="381"/>
      <c r="U3" s="381"/>
      <c r="V3" s="381"/>
      <c r="W3" s="381"/>
      <c r="X3" s="381" t="s">
        <v>219</v>
      </c>
      <c r="Y3" s="381"/>
      <c r="Z3" s="381"/>
      <c r="AA3" s="381"/>
      <c r="AB3" s="381"/>
      <c r="AC3" s="381" t="s">
        <v>219</v>
      </c>
      <c r="AD3" s="381"/>
      <c r="AE3" s="381"/>
      <c r="AF3" s="381"/>
      <c r="AG3" s="381"/>
    </row>
    <row r="4" spans="2:33">
      <c r="E4">
        <v>1</v>
      </c>
      <c r="F4">
        <v>2</v>
      </c>
      <c r="G4">
        <v>3</v>
      </c>
      <c r="H4">
        <v>4</v>
      </c>
      <c r="I4">
        <v>5</v>
      </c>
      <c r="J4">
        <v>6</v>
      </c>
      <c r="K4">
        <v>7</v>
      </c>
      <c r="L4">
        <v>8</v>
      </c>
      <c r="M4">
        <v>9</v>
      </c>
      <c r="N4">
        <v>10</v>
      </c>
      <c r="O4">
        <v>11</v>
      </c>
      <c r="P4">
        <v>12</v>
      </c>
      <c r="Q4">
        <v>13</v>
      </c>
      <c r="R4">
        <v>14</v>
      </c>
      <c r="S4">
        <v>15</v>
      </c>
      <c r="T4">
        <v>16</v>
      </c>
      <c r="U4">
        <v>17</v>
      </c>
      <c r="V4">
        <v>18</v>
      </c>
      <c r="W4">
        <v>19</v>
      </c>
      <c r="X4">
        <v>20</v>
      </c>
      <c r="Y4">
        <v>21</v>
      </c>
      <c r="Z4">
        <v>22</v>
      </c>
      <c r="AA4">
        <v>23</v>
      </c>
      <c r="AB4">
        <v>24</v>
      </c>
      <c r="AC4">
        <v>25</v>
      </c>
      <c r="AD4">
        <v>26</v>
      </c>
      <c r="AE4">
        <v>27</v>
      </c>
      <c r="AF4">
        <v>28</v>
      </c>
      <c r="AG4">
        <v>29</v>
      </c>
    </row>
    <row r="5" spans="2:33" ht="25.5" customHeight="1">
      <c r="B5" s="404" t="s">
        <v>220</v>
      </c>
      <c r="C5" s="404" t="s">
        <v>221</v>
      </c>
      <c r="D5" s="404" t="s">
        <v>222</v>
      </c>
      <c r="E5" s="404" t="s">
        <v>223</v>
      </c>
      <c r="F5" s="405" t="s">
        <v>325</v>
      </c>
      <c r="G5" s="405" t="s">
        <v>324</v>
      </c>
      <c r="H5" s="405" t="s">
        <v>323</v>
      </c>
      <c r="I5" s="382" t="s">
        <v>329</v>
      </c>
      <c r="J5" s="383"/>
      <c r="K5" s="383"/>
      <c r="L5" s="383"/>
      <c r="M5" s="384"/>
      <c r="N5" s="382" t="s">
        <v>332</v>
      </c>
      <c r="O5" s="383"/>
      <c r="P5" s="383"/>
      <c r="Q5" s="383"/>
      <c r="R5" s="384"/>
      <c r="S5" s="382" t="s">
        <v>333</v>
      </c>
      <c r="T5" s="383"/>
      <c r="U5" s="383"/>
      <c r="V5" s="383"/>
      <c r="W5" s="384"/>
      <c r="X5" s="382" t="s">
        <v>334</v>
      </c>
      <c r="Y5" s="383"/>
      <c r="Z5" s="383"/>
      <c r="AA5" s="383"/>
      <c r="AB5" s="384"/>
      <c r="AC5" s="382" t="s">
        <v>335</v>
      </c>
      <c r="AD5" s="383"/>
      <c r="AE5" s="383"/>
      <c r="AF5" s="383"/>
      <c r="AG5" s="384"/>
    </row>
    <row r="6" spans="2:33">
      <c r="B6" s="404"/>
      <c r="C6" s="404"/>
      <c r="D6" s="404"/>
      <c r="E6" s="404"/>
      <c r="F6" s="406"/>
      <c r="G6" s="406"/>
      <c r="H6" s="406"/>
      <c r="I6" s="385">
        <v>1</v>
      </c>
      <c r="J6" s="386"/>
      <c r="K6" s="386"/>
      <c r="L6" s="386"/>
      <c r="M6" s="387"/>
      <c r="N6" s="385">
        <v>2</v>
      </c>
      <c r="O6" s="386"/>
      <c r="P6" s="386"/>
      <c r="Q6" s="386"/>
      <c r="R6" s="387"/>
      <c r="S6" s="385">
        <v>3</v>
      </c>
      <c r="T6" s="386"/>
      <c r="U6" s="386"/>
      <c r="V6" s="386"/>
      <c r="W6" s="387"/>
      <c r="X6" s="385">
        <v>4</v>
      </c>
      <c r="Y6" s="386"/>
      <c r="Z6" s="386"/>
      <c r="AA6" s="386"/>
      <c r="AB6" s="387"/>
      <c r="AC6" s="385">
        <v>5</v>
      </c>
      <c r="AD6" s="386"/>
      <c r="AE6" s="386"/>
      <c r="AF6" s="386"/>
      <c r="AG6" s="387"/>
    </row>
    <row r="7" spans="2:33" ht="20.399999999999999">
      <c r="B7" s="133"/>
      <c r="C7" s="133"/>
      <c r="D7" s="133"/>
      <c r="E7" s="133"/>
      <c r="F7" s="407"/>
      <c r="G7" s="407"/>
      <c r="H7" s="407"/>
      <c r="I7" s="134">
        <v>2018</v>
      </c>
      <c r="J7" s="134" t="s">
        <v>227</v>
      </c>
      <c r="K7" s="135" t="s">
        <v>228</v>
      </c>
      <c r="L7" s="135" t="s">
        <v>229</v>
      </c>
      <c r="M7" s="135" t="s">
        <v>230</v>
      </c>
      <c r="N7" s="134">
        <v>2018</v>
      </c>
      <c r="O7" s="134" t="s">
        <v>227</v>
      </c>
      <c r="P7" s="135" t="s">
        <v>228</v>
      </c>
      <c r="Q7" s="135" t="s">
        <v>229</v>
      </c>
      <c r="R7" s="135" t="s">
        <v>230</v>
      </c>
      <c r="S7" s="134">
        <v>2018</v>
      </c>
      <c r="T7" s="134" t="s">
        <v>227</v>
      </c>
      <c r="U7" s="135" t="s">
        <v>228</v>
      </c>
      <c r="V7" s="135" t="s">
        <v>229</v>
      </c>
      <c r="W7" s="135" t="s">
        <v>230</v>
      </c>
      <c r="X7" s="134">
        <v>2018</v>
      </c>
      <c r="Y7" s="134" t="s">
        <v>227</v>
      </c>
      <c r="Z7" s="135" t="s">
        <v>228</v>
      </c>
      <c r="AA7" s="135" t="s">
        <v>229</v>
      </c>
      <c r="AB7" s="135" t="s">
        <v>230</v>
      </c>
      <c r="AC7" s="134">
        <v>2018</v>
      </c>
      <c r="AD7" s="134" t="s">
        <v>227</v>
      </c>
      <c r="AE7" s="135" t="s">
        <v>228</v>
      </c>
      <c r="AF7" s="135" t="s">
        <v>229</v>
      </c>
      <c r="AG7" s="135" t="s">
        <v>230</v>
      </c>
    </row>
    <row r="8" spans="2:33">
      <c r="B8" s="173"/>
      <c r="C8" s="173"/>
      <c r="D8" s="173"/>
      <c r="E8" s="173"/>
      <c r="F8" s="137"/>
      <c r="G8" s="137"/>
      <c r="H8" s="137"/>
      <c r="I8" s="57" t="s">
        <v>342</v>
      </c>
      <c r="J8" s="138">
        <f>SUM(J9:J34)</f>
        <v>0.3</v>
      </c>
      <c r="K8" s="139">
        <f>SUM(K9:K34)</f>
        <v>0.3</v>
      </c>
      <c r="L8" s="138"/>
      <c r="M8" s="57"/>
      <c r="N8" s="57" t="s">
        <v>343</v>
      </c>
      <c r="O8" s="138">
        <f>SUM(O9:O34)</f>
        <v>0.16999999999999998</v>
      </c>
      <c r="P8" s="138">
        <f>SUM(P9:P34)</f>
        <v>0.16999999999999998</v>
      </c>
      <c r="Q8" s="138"/>
      <c r="R8" s="57"/>
      <c r="S8" s="57"/>
      <c r="T8" s="138">
        <f>SUM(T9:T34)</f>
        <v>0</v>
      </c>
      <c r="U8" s="138">
        <f>SUM(U9:U34)</f>
        <v>0.30000000000000004</v>
      </c>
      <c r="V8" s="138"/>
      <c r="W8" s="57"/>
      <c r="X8" s="57"/>
      <c r="Y8" s="138">
        <f>SUM(Y9:Y34)</f>
        <v>0</v>
      </c>
      <c r="Z8" s="138">
        <f>SUM(Z9:Z34)</f>
        <v>0.30000000000000004</v>
      </c>
      <c r="AA8" s="138"/>
      <c r="AB8" s="57"/>
      <c r="AC8" s="57"/>
      <c r="AD8" s="138">
        <f>SUM(AD9:AD34)</f>
        <v>0</v>
      </c>
      <c r="AE8" s="138">
        <f>SUM(AE9:AE34)</f>
        <v>0.1</v>
      </c>
      <c r="AF8" s="138"/>
      <c r="AG8" s="57"/>
    </row>
    <row r="9" spans="2:33">
      <c r="B9" s="402" t="s">
        <v>231</v>
      </c>
      <c r="C9" s="410" t="s">
        <v>35</v>
      </c>
      <c r="D9" s="414" t="s">
        <v>232</v>
      </c>
      <c r="E9" s="124" t="s">
        <v>23</v>
      </c>
      <c r="F9" s="4"/>
      <c r="G9" s="140"/>
      <c r="H9" s="140"/>
      <c r="I9" s="141"/>
      <c r="J9" s="142"/>
      <c r="K9" s="142"/>
      <c r="L9" s="143"/>
      <c r="M9" s="143"/>
      <c r="N9" s="141"/>
      <c r="O9" s="142"/>
      <c r="P9" s="142"/>
      <c r="Q9" s="144"/>
      <c r="R9" s="143"/>
      <c r="S9" s="141"/>
      <c r="T9" s="142"/>
      <c r="U9" s="142"/>
      <c r="V9" s="143"/>
      <c r="W9" s="143"/>
      <c r="X9" s="141"/>
      <c r="Y9" s="142"/>
      <c r="Z9" s="142"/>
      <c r="AA9" s="144"/>
      <c r="AB9" s="143"/>
      <c r="AC9" s="141"/>
      <c r="AD9" s="142"/>
      <c r="AE9" s="142"/>
      <c r="AF9" s="144"/>
      <c r="AG9" s="143"/>
    </row>
    <row r="10" spans="2:33">
      <c r="B10" s="412"/>
      <c r="C10" s="410"/>
      <c r="D10" s="415"/>
      <c r="E10" s="222" t="s">
        <v>293</v>
      </c>
      <c r="F10" s="4"/>
      <c r="G10" s="140"/>
      <c r="H10" s="140"/>
      <c r="I10" s="141"/>
      <c r="J10" s="142"/>
      <c r="K10" s="142"/>
      <c r="L10" s="143"/>
      <c r="M10" s="143"/>
      <c r="N10" s="141"/>
      <c r="O10" s="142"/>
      <c r="P10" s="142"/>
      <c r="Q10" s="143"/>
      <c r="R10" s="143"/>
      <c r="S10" s="141"/>
      <c r="T10" s="142"/>
      <c r="U10" s="142"/>
      <c r="V10" s="143"/>
      <c r="W10" s="143"/>
      <c r="X10" s="141"/>
      <c r="Y10" s="142"/>
      <c r="Z10" s="142"/>
      <c r="AA10" s="143"/>
      <c r="AB10" s="143"/>
      <c r="AC10" s="141"/>
      <c r="AD10" s="142"/>
      <c r="AE10" s="142"/>
      <c r="AF10" s="143"/>
      <c r="AG10" s="143"/>
    </row>
    <row r="11" spans="2:33">
      <c r="B11" s="412"/>
      <c r="C11" s="410"/>
      <c r="D11" s="414" t="s">
        <v>233</v>
      </c>
      <c r="E11" s="222" t="s">
        <v>292</v>
      </c>
      <c r="F11" s="4"/>
      <c r="G11" s="140"/>
      <c r="H11" s="140"/>
      <c r="I11" s="141"/>
      <c r="J11" s="142"/>
      <c r="K11" s="142"/>
      <c r="L11" s="143"/>
      <c r="M11" s="143"/>
      <c r="N11" s="141"/>
      <c r="O11" s="142"/>
      <c r="P11" s="142"/>
      <c r="Q11" s="143"/>
      <c r="R11" s="143"/>
      <c r="S11" s="141"/>
      <c r="T11" s="142"/>
      <c r="U11" s="142">
        <v>0.05</v>
      </c>
      <c r="V11" s="143">
        <v>16</v>
      </c>
      <c r="W11" s="143">
        <v>17</v>
      </c>
      <c r="X11" s="141"/>
      <c r="Y11" s="142"/>
      <c r="Z11" s="142">
        <v>0.1</v>
      </c>
      <c r="AA11" s="143">
        <v>29</v>
      </c>
      <c r="AB11" s="143">
        <v>29</v>
      </c>
      <c r="AC11" s="141"/>
      <c r="AD11" s="142"/>
      <c r="AE11" s="142"/>
      <c r="AF11" s="143"/>
      <c r="AG11" s="143"/>
    </row>
    <row r="12" spans="2:33">
      <c r="B12" s="412"/>
      <c r="C12" s="410"/>
      <c r="D12" s="415"/>
      <c r="E12" s="124" t="s">
        <v>20</v>
      </c>
      <c r="F12" s="4"/>
      <c r="G12" s="140"/>
      <c r="H12" s="140"/>
      <c r="I12" s="141"/>
      <c r="J12" s="142"/>
      <c r="K12" s="142"/>
      <c r="L12" s="143"/>
      <c r="M12" s="143"/>
      <c r="N12" s="141"/>
      <c r="O12" s="142"/>
      <c r="P12" s="142"/>
      <c r="Q12" s="143"/>
      <c r="R12" s="143"/>
      <c r="S12" s="141"/>
      <c r="T12" s="142"/>
      <c r="U12" s="142">
        <v>0.1</v>
      </c>
      <c r="V12" s="143">
        <v>49</v>
      </c>
      <c r="W12" s="143">
        <v>50</v>
      </c>
      <c r="X12" s="141"/>
      <c r="Y12" s="142"/>
      <c r="Z12" s="142">
        <v>0.1</v>
      </c>
      <c r="AA12" s="143">
        <v>49</v>
      </c>
      <c r="AB12" s="143">
        <v>49</v>
      </c>
      <c r="AC12" s="141"/>
      <c r="AD12" s="142"/>
      <c r="AE12" s="142"/>
      <c r="AF12" s="143"/>
      <c r="AG12" s="147"/>
    </row>
    <row r="13" spans="2:33">
      <c r="B13" s="412"/>
      <c r="C13" s="393" t="s">
        <v>146</v>
      </c>
      <c r="D13" s="411" t="s">
        <v>234</v>
      </c>
      <c r="E13" s="146" t="s">
        <v>38</v>
      </c>
      <c r="F13" s="4"/>
      <c r="G13" s="140"/>
      <c r="H13" s="140"/>
      <c r="I13" s="142"/>
      <c r="J13" s="142"/>
      <c r="K13" s="142"/>
      <c r="L13" s="147"/>
      <c r="M13" s="147"/>
      <c r="N13" s="142"/>
      <c r="O13" s="142"/>
      <c r="P13" s="142"/>
      <c r="Q13" s="147"/>
      <c r="R13" s="147"/>
      <c r="S13" s="142"/>
      <c r="T13" s="142"/>
      <c r="U13" s="142"/>
      <c r="V13" s="147"/>
      <c r="W13" s="147"/>
      <c r="X13" s="142"/>
      <c r="Y13" s="142"/>
      <c r="Z13" s="142"/>
      <c r="AA13" s="147"/>
      <c r="AB13" s="147"/>
      <c r="AC13" s="142"/>
      <c r="AD13" s="142"/>
      <c r="AE13" s="142"/>
      <c r="AF13" s="147"/>
      <c r="AG13" s="147"/>
    </row>
    <row r="14" spans="2:33">
      <c r="B14" s="412"/>
      <c r="C14" s="394"/>
      <c r="D14" s="411"/>
      <c r="E14" s="175" t="s">
        <v>40</v>
      </c>
      <c r="F14" s="4"/>
      <c r="G14" s="140"/>
      <c r="H14" s="140"/>
      <c r="I14" s="142"/>
      <c r="J14" s="142"/>
      <c r="K14" s="142"/>
      <c r="L14" s="147"/>
      <c r="M14" s="147"/>
      <c r="N14" s="142"/>
      <c r="O14" s="142"/>
      <c r="P14" s="142"/>
      <c r="Q14" s="147"/>
      <c r="R14" s="147"/>
      <c r="S14" s="142"/>
      <c r="T14" s="142"/>
      <c r="U14" s="142"/>
      <c r="V14" s="147"/>
      <c r="W14" s="147"/>
      <c r="X14" s="142"/>
      <c r="Y14" s="142"/>
      <c r="Z14" s="142"/>
      <c r="AA14" s="147"/>
      <c r="AB14" s="147"/>
      <c r="AC14" s="142"/>
      <c r="AD14" s="142"/>
      <c r="AE14" s="142"/>
      <c r="AF14" s="147"/>
      <c r="AG14" s="147"/>
    </row>
    <row r="15" spans="2:33">
      <c r="B15" s="412"/>
      <c r="C15" s="394"/>
      <c r="D15" s="411"/>
      <c r="E15" s="175" t="s">
        <v>235</v>
      </c>
      <c r="F15" s="4"/>
      <c r="G15" s="140"/>
      <c r="H15" s="140"/>
      <c r="I15" s="142"/>
      <c r="J15" s="142">
        <v>0.04</v>
      </c>
      <c r="K15" s="142">
        <v>0.04</v>
      </c>
      <c r="L15" s="147">
        <v>0.2</v>
      </c>
      <c r="M15" s="147">
        <v>0.2</v>
      </c>
      <c r="N15" s="142"/>
      <c r="O15" s="142">
        <v>0.03</v>
      </c>
      <c r="P15" s="142">
        <v>0.04</v>
      </c>
      <c r="Q15" s="147">
        <v>0.3</v>
      </c>
      <c r="R15" s="147">
        <v>0.31</v>
      </c>
      <c r="S15" s="142"/>
      <c r="T15" s="142"/>
      <c r="U15" s="142"/>
      <c r="V15" s="147"/>
      <c r="W15" s="147"/>
      <c r="X15" s="142"/>
      <c r="Y15" s="142"/>
      <c r="Z15" s="142"/>
      <c r="AA15" s="147"/>
      <c r="AB15" s="147"/>
      <c r="AC15" s="142"/>
      <c r="AD15" s="142"/>
      <c r="AE15" s="142">
        <v>0.1</v>
      </c>
      <c r="AF15" s="147">
        <v>0.3</v>
      </c>
      <c r="AG15" s="147">
        <v>0.31</v>
      </c>
    </row>
    <row r="16" spans="2:33">
      <c r="B16" s="412"/>
      <c r="C16" s="394"/>
      <c r="D16" s="148" t="s">
        <v>236</v>
      </c>
      <c r="E16" s="149" t="s">
        <v>237</v>
      </c>
      <c r="F16" s="4"/>
      <c r="G16" s="140"/>
      <c r="H16" s="140"/>
      <c r="I16" s="142"/>
      <c r="J16" s="142"/>
      <c r="K16" s="142"/>
      <c r="L16" s="147"/>
      <c r="M16" s="147"/>
      <c r="N16" s="142"/>
      <c r="O16" s="142"/>
      <c r="P16" s="142"/>
      <c r="Q16" s="147"/>
      <c r="R16" s="147"/>
      <c r="S16" s="142"/>
      <c r="T16" s="142"/>
      <c r="U16" s="142">
        <v>0.15</v>
      </c>
      <c r="V16" s="147">
        <v>0.95</v>
      </c>
      <c r="W16" s="147">
        <v>0.98</v>
      </c>
      <c r="X16" s="142"/>
      <c r="Y16" s="142"/>
      <c r="Z16" s="142">
        <v>0.1</v>
      </c>
      <c r="AA16" s="147">
        <v>0.95</v>
      </c>
      <c r="AB16" s="147">
        <v>0.96</v>
      </c>
      <c r="AC16" s="142"/>
      <c r="AD16" s="142"/>
      <c r="AE16" s="142"/>
      <c r="AF16" s="147"/>
      <c r="AG16" s="147"/>
    </row>
    <row r="17" spans="2:33">
      <c r="B17" s="412"/>
      <c r="C17" s="394"/>
      <c r="D17" s="148"/>
      <c r="E17" s="180" t="s">
        <v>269</v>
      </c>
      <c r="F17" s="4"/>
      <c r="G17" s="140"/>
      <c r="H17" s="140"/>
      <c r="I17" s="142"/>
      <c r="J17" s="142"/>
      <c r="K17" s="142"/>
      <c r="L17" s="147"/>
      <c r="M17" s="147"/>
      <c r="N17" s="142"/>
      <c r="O17" s="142"/>
      <c r="P17" s="142"/>
      <c r="Q17" s="147"/>
      <c r="R17" s="147"/>
      <c r="S17" s="142"/>
      <c r="T17" s="142"/>
      <c r="U17" s="142"/>
      <c r="V17" s="147"/>
      <c r="W17" s="147"/>
      <c r="X17" s="142"/>
      <c r="Y17" s="142"/>
      <c r="Z17" s="142"/>
      <c r="AA17" s="147"/>
      <c r="AB17" s="147"/>
      <c r="AC17" s="142"/>
      <c r="AD17" s="142"/>
      <c r="AE17" s="142"/>
      <c r="AF17" s="147"/>
      <c r="AG17" s="147"/>
    </row>
    <row r="18" spans="2:33">
      <c r="B18" s="403"/>
      <c r="C18" s="395"/>
      <c r="D18" s="148"/>
      <c r="E18" s="180" t="s">
        <v>42</v>
      </c>
      <c r="F18" s="4"/>
      <c r="G18" s="140"/>
      <c r="H18" s="140"/>
      <c r="I18" s="142"/>
      <c r="J18" s="142"/>
      <c r="K18" s="142"/>
      <c r="L18" s="147"/>
      <c r="M18" s="147"/>
      <c r="N18" s="142"/>
      <c r="O18" s="142"/>
      <c r="P18" s="142"/>
      <c r="Q18" s="147"/>
      <c r="R18" s="147"/>
      <c r="S18" s="142"/>
      <c r="T18" s="142"/>
      <c r="U18" s="142"/>
      <c r="V18" s="147"/>
      <c r="W18" s="147"/>
      <c r="X18" s="142"/>
      <c r="Y18" s="142"/>
      <c r="Z18" s="142"/>
      <c r="AA18" s="147"/>
      <c r="AB18" s="147"/>
      <c r="AC18" s="142"/>
      <c r="AD18" s="142"/>
      <c r="AE18" s="142"/>
      <c r="AF18" s="147"/>
      <c r="AG18" s="147"/>
    </row>
    <row r="19" spans="2:33">
      <c r="B19" s="399" t="s">
        <v>238</v>
      </c>
      <c r="C19" s="150" t="s">
        <v>239</v>
      </c>
      <c r="D19" s="151" t="s">
        <v>240</v>
      </c>
      <c r="E19" s="14" t="s">
        <v>48</v>
      </c>
      <c r="F19" s="4"/>
      <c r="G19" s="140"/>
      <c r="H19" s="140"/>
      <c r="I19" s="142"/>
      <c r="J19" s="142">
        <v>0.05</v>
      </c>
      <c r="K19" s="142">
        <v>0.05</v>
      </c>
      <c r="L19" s="147">
        <v>1</v>
      </c>
      <c r="M19" s="147">
        <v>1</v>
      </c>
      <c r="N19" s="142"/>
      <c r="O19" s="152">
        <v>0.03</v>
      </c>
      <c r="P19" s="152">
        <v>0.04</v>
      </c>
      <c r="Q19" s="147"/>
      <c r="R19" s="147"/>
      <c r="S19" s="142"/>
      <c r="T19" s="142"/>
      <c r="U19" s="152"/>
      <c r="V19" s="153"/>
      <c r="W19" s="147"/>
      <c r="X19" s="142"/>
      <c r="Y19" s="142"/>
      <c r="Z19" s="152"/>
      <c r="AA19" s="147"/>
      <c r="AB19" s="147"/>
      <c r="AC19" s="142"/>
      <c r="AD19" s="142"/>
      <c r="AE19" s="152"/>
      <c r="AF19" s="147"/>
      <c r="AG19" s="143"/>
    </row>
    <row r="20" spans="2:33">
      <c r="B20" s="400"/>
      <c r="C20" s="388" t="s">
        <v>35</v>
      </c>
      <c r="D20" s="391" t="s">
        <v>241</v>
      </c>
      <c r="E20" s="14" t="s">
        <v>242</v>
      </c>
      <c r="F20" s="4"/>
      <c r="G20" s="140"/>
      <c r="H20" s="140">
        <v>40</v>
      </c>
      <c r="I20" s="141"/>
      <c r="J20" s="142">
        <v>0.04</v>
      </c>
      <c r="K20" s="142">
        <v>0.04</v>
      </c>
      <c r="L20" s="248">
        <v>40</v>
      </c>
      <c r="M20" s="143">
        <v>61.6</v>
      </c>
      <c r="N20" s="141"/>
      <c r="O20" s="152">
        <v>0.03</v>
      </c>
      <c r="P20" s="152">
        <v>0.04</v>
      </c>
      <c r="Q20" s="143">
        <v>37</v>
      </c>
      <c r="R20" s="143">
        <v>40.619999999999997</v>
      </c>
      <c r="S20" s="141"/>
      <c r="T20" s="142"/>
      <c r="U20" s="152"/>
      <c r="V20" s="154"/>
      <c r="W20" s="143"/>
      <c r="X20" s="141"/>
      <c r="Y20" s="142"/>
      <c r="Z20" s="152"/>
      <c r="AA20" s="143"/>
      <c r="AB20" s="143"/>
      <c r="AC20" s="141"/>
      <c r="AD20" s="142"/>
      <c r="AE20" s="152"/>
      <c r="AF20" s="143"/>
      <c r="AG20" s="143"/>
    </row>
    <row r="21" spans="2:33">
      <c r="B21" s="400"/>
      <c r="C21" s="389"/>
      <c r="D21" s="392"/>
      <c r="E21" s="224" t="s">
        <v>301</v>
      </c>
      <c r="F21" s="4"/>
      <c r="G21" s="140"/>
      <c r="H21" s="140"/>
      <c r="I21" s="141"/>
      <c r="J21" s="142">
        <v>0.04</v>
      </c>
      <c r="K21" s="142">
        <v>0.04</v>
      </c>
      <c r="L21" s="248">
        <v>8</v>
      </c>
      <c r="M21" s="143">
        <v>14.75</v>
      </c>
      <c r="N21" s="141"/>
      <c r="O21" s="152">
        <v>0.02</v>
      </c>
      <c r="P21" s="152">
        <v>0.05</v>
      </c>
      <c r="Q21" s="143">
        <v>8</v>
      </c>
      <c r="R21" s="143">
        <v>12.79</v>
      </c>
      <c r="S21" s="141"/>
      <c r="T21" s="142"/>
      <c r="U21" s="152"/>
      <c r="V21" s="154"/>
      <c r="W21" s="143"/>
      <c r="X21" s="141"/>
      <c r="Y21" s="142"/>
      <c r="Z21" s="152"/>
      <c r="AA21" s="143"/>
      <c r="AB21" s="143"/>
      <c r="AC21" s="141"/>
      <c r="AD21" s="142"/>
      <c r="AE21" s="152"/>
      <c r="AF21" s="143"/>
      <c r="AG21" s="143"/>
    </row>
    <row r="22" spans="2:33">
      <c r="B22" s="400"/>
      <c r="C22" s="389"/>
      <c r="D22" s="391" t="s">
        <v>243</v>
      </c>
      <c r="E22" s="14" t="s">
        <v>244</v>
      </c>
      <c r="F22" s="4"/>
      <c r="G22" s="140"/>
      <c r="H22" s="140"/>
      <c r="I22" s="141"/>
      <c r="J22" s="142">
        <v>0.04</v>
      </c>
      <c r="K22" s="142">
        <v>0.04</v>
      </c>
      <c r="L22" s="248">
        <v>60</v>
      </c>
      <c r="M22" s="143">
        <v>62.11</v>
      </c>
      <c r="N22" s="141"/>
      <c r="O22" s="152">
        <v>0.02</v>
      </c>
      <c r="P22" s="152">
        <v>0</v>
      </c>
      <c r="Q22" s="143"/>
      <c r="R22" s="143"/>
      <c r="S22" s="141"/>
      <c r="T22" s="142"/>
      <c r="U22" s="152"/>
      <c r="V22" s="187"/>
      <c r="W22" s="143"/>
      <c r="X22" s="141"/>
      <c r="Y22" s="142"/>
      <c r="Z22" s="152"/>
      <c r="AA22" s="143"/>
      <c r="AB22" s="143"/>
      <c r="AC22" s="141"/>
      <c r="AD22" s="142"/>
      <c r="AE22" s="152"/>
      <c r="AF22" s="143"/>
      <c r="AG22" s="143"/>
    </row>
    <row r="23" spans="2:33">
      <c r="B23" s="400"/>
      <c r="C23" s="390"/>
      <c r="D23" s="392"/>
      <c r="E23" s="225" t="s">
        <v>294</v>
      </c>
      <c r="F23" s="156"/>
      <c r="G23" s="157"/>
      <c r="H23" s="140"/>
      <c r="I23" s="142"/>
      <c r="J23" s="142">
        <v>0.04</v>
      </c>
      <c r="K23" s="142">
        <v>0.04</v>
      </c>
      <c r="L23" s="258">
        <v>40</v>
      </c>
      <c r="M23" s="143">
        <v>38.35</v>
      </c>
      <c r="N23" s="142"/>
      <c r="O23" s="152">
        <v>0.02</v>
      </c>
      <c r="P23" s="152">
        <v>0</v>
      </c>
      <c r="Q23" s="143"/>
      <c r="R23" s="147"/>
      <c r="S23" s="142"/>
      <c r="T23" s="142"/>
      <c r="U23" s="152"/>
      <c r="V23" s="188"/>
      <c r="W23" s="147"/>
      <c r="X23" s="142"/>
      <c r="Y23" s="142"/>
      <c r="Z23" s="152"/>
      <c r="AA23" s="147"/>
      <c r="AB23" s="147"/>
      <c r="AC23" s="142"/>
      <c r="AD23" s="142"/>
      <c r="AE23" s="152"/>
      <c r="AF23" s="147"/>
      <c r="AG23" s="147"/>
    </row>
    <row r="24" spans="2:33">
      <c r="B24" s="400"/>
      <c r="C24" s="388" t="s">
        <v>146</v>
      </c>
      <c r="D24" s="391" t="s">
        <v>245</v>
      </c>
      <c r="E24" s="155" t="s">
        <v>246</v>
      </c>
      <c r="F24" s="156"/>
      <c r="G24" s="157"/>
      <c r="H24" s="140"/>
      <c r="I24" s="142"/>
      <c r="J24" s="142">
        <v>0</v>
      </c>
      <c r="K24" s="142">
        <v>0</v>
      </c>
      <c r="L24" s="147"/>
      <c r="M24" s="147"/>
      <c r="N24" s="142"/>
      <c r="O24" s="142"/>
      <c r="P24" s="142"/>
      <c r="Q24" s="147"/>
      <c r="R24" s="147"/>
      <c r="S24" s="142"/>
      <c r="T24" s="142"/>
      <c r="U24" s="152"/>
      <c r="V24" s="153"/>
      <c r="W24" s="147"/>
      <c r="X24" s="142"/>
      <c r="Y24" s="142"/>
      <c r="Z24" s="152"/>
      <c r="AA24" s="147"/>
      <c r="AB24" s="147"/>
      <c r="AC24" s="142"/>
      <c r="AD24" s="142"/>
      <c r="AE24" s="152"/>
      <c r="AF24" s="147"/>
      <c r="AG24" s="147"/>
    </row>
    <row r="25" spans="2:33">
      <c r="B25" s="400"/>
      <c r="C25" s="390"/>
      <c r="D25" s="392"/>
      <c r="E25" s="155" t="s">
        <v>247</v>
      </c>
      <c r="F25" s="156"/>
      <c r="G25" s="157"/>
      <c r="H25" s="140"/>
      <c r="I25" s="142"/>
      <c r="J25" s="142">
        <v>0.05</v>
      </c>
      <c r="K25" s="142">
        <v>0.05</v>
      </c>
      <c r="L25" s="147">
        <v>0.05</v>
      </c>
      <c r="M25" s="147">
        <v>0.04</v>
      </c>
      <c r="N25" s="142"/>
      <c r="O25" s="142">
        <v>0.02</v>
      </c>
      <c r="P25" s="142">
        <v>0</v>
      </c>
      <c r="Q25" s="147"/>
      <c r="R25" s="147"/>
      <c r="S25" s="142"/>
      <c r="T25" s="142"/>
      <c r="U25" s="142"/>
      <c r="V25" s="147"/>
      <c r="W25" s="147"/>
      <c r="X25" s="142"/>
      <c r="Y25" s="142"/>
      <c r="Z25" s="142"/>
      <c r="AA25" s="147"/>
      <c r="AB25" s="147"/>
      <c r="AC25" s="142"/>
      <c r="AD25" s="142"/>
      <c r="AE25" s="142"/>
      <c r="AF25" s="147"/>
      <c r="AG25" s="147"/>
    </row>
    <row r="26" spans="2:33">
      <c r="B26" s="400"/>
      <c r="C26" s="220"/>
      <c r="D26" s="221"/>
      <c r="E26" s="224" t="s">
        <v>295</v>
      </c>
      <c r="F26" s="156"/>
      <c r="G26" s="157"/>
      <c r="H26" s="140"/>
      <c r="I26" s="142"/>
      <c r="J26" s="142">
        <v>0</v>
      </c>
      <c r="K26" s="142">
        <v>0</v>
      </c>
      <c r="L26" s="147"/>
      <c r="M26" s="147"/>
      <c r="N26" s="142"/>
      <c r="O26" s="142"/>
      <c r="P26" s="142"/>
      <c r="Q26" s="147"/>
      <c r="R26" s="147"/>
      <c r="S26" s="142"/>
      <c r="T26" s="142"/>
      <c r="U26" s="142"/>
      <c r="V26" s="147"/>
      <c r="W26" s="147"/>
      <c r="X26" s="142"/>
      <c r="Y26" s="142"/>
      <c r="Z26" s="142"/>
      <c r="AA26" s="147"/>
      <c r="AB26" s="147"/>
      <c r="AC26" s="142"/>
      <c r="AD26" s="142"/>
      <c r="AE26" s="142"/>
      <c r="AF26" s="147"/>
      <c r="AG26" s="147"/>
    </row>
    <row r="27" spans="2:33">
      <c r="B27" s="400"/>
      <c r="C27" s="220"/>
      <c r="D27" s="221"/>
      <c r="E27" s="224" t="s">
        <v>297</v>
      </c>
      <c r="F27" s="156"/>
      <c r="G27" s="157"/>
      <c r="H27" s="140"/>
      <c r="I27" s="142"/>
      <c r="J27" s="142"/>
      <c r="K27" s="142"/>
      <c r="L27" s="147"/>
      <c r="M27" s="147"/>
      <c r="N27" s="142"/>
      <c r="O27" s="142"/>
      <c r="P27" s="142"/>
      <c r="Q27" s="147"/>
      <c r="R27" s="147"/>
      <c r="S27" s="142"/>
      <c r="T27" s="142"/>
      <c r="U27" s="142"/>
      <c r="V27" s="147"/>
      <c r="W27" s="147"/>
      <c r="X27" s="142"/>
      <c r="Y27" s="142"/>
      <c r="Z27" s="142"/>
      <c r="AA27" s="147"/>
      <c r="AB27" s="147"/>
      <c r="AC27" s="142"/>
      <c r="AD27" s="142"/>
      <c r="AE27" s="142"/>
      <c r="AF27" s="147"/>
      <c r="AG27" s="147"/>
    </row>
    <row r="28" spans="2:33">
      <c r="B28" s="401"/>
      <c r="C28" s="150" t="s">
        <v>248</v>
      </c>
      <c r="D28" s="151" t="s">
        <v>249</v>
      </c>
      <c r="E28" s="151" t="s">
        <v>250</v>
      </c>
      <c r="F28" s="156"/>
      <c r="G28" s="157"/>
      <c r="H28" s="140"/>
      <c r="I28" s="142"/>
      <c r="J28" s="142"/>
      <c r="K28" s="142"/>
      <c r="L28" s="147"/>
      <c r="M28" s="147"/>
      <c r="N28" s="142"/>
      <c r="O28" s="142"/>
      <c r="P28" s="142"/>
      <c r="Q28" s="147"/>
      <c r="R28" s="147"/>
      <c r="S28" s="142"/>
      <c r="T28" s="142"/>
      <c r="U28" s="142"/>
      <c r="V28" s="147"/>
      <c r="W28" s="147"/>
      <c r="X28" s="142"/>
      <c r="Y28" s="142"/>
      <c r="Z28" s="142"/>
      <c r="AA28" s="147"/>
      <c r="AB28" s="147"/>
      <c r="AC28" s="142"/>
      <c r="AD28" s="142"/>
      <c r="AE28" s="142"/>
      <c r="AF28" s="147"/>
      <c r="AG28" s="147"/>
    </row>
    <row r="29" spans="2:33" ht="66" hidden="1">
      <c r="B29" s="408" t="s">
        <v>251</v>
      </c>
      <c r="C29" s="174" t="s">
        <v>252</v>
      </c>
      <c r="D29" s="159" t="s">
        <v>253</v>
      </c>
      <c r="E29" s="160" t="s">
        <v>254</v>
      </c>
      <c r="F29" s="4"/>
      <c r="G29" s="140" t="s">
        <v>265</v>
      </c>
      <c r="H29" s="140"/>
      <c r="I29" s="141"/>
      <c r="J29" s="142"/>
      <c r="K29" s="142"/>
      <c r="L29" s="144"/>
      <c r="M29" s="143"/>
      <c r="N29" s="141"/>
      <c r="O29" s="142"/>
      <c r="P29" s="142"/>
      <c r="Q29" s="161"/>
      <c r="R29" s="161"/>
      <c r="S29" s="141"/>
      <c r="T29" s="142"/>
      <c r="U29" s="142"/>
      <c r="V29" s="144"/>
      <c r="W29" s="143"/>
      <c r="X29" s="141"/>
      <c r="Y29" s="142"/>
      <c r="Z29" s="142"/>
      <c r="AA29" s="144"/>
      <c r="AB29" s="161"/>
      <c r="AC29" s="141"/>
      <c r="AD29" s="142"/>
      <c r="AE29" s="142"/>
      <c r="AF29" s="144"/>
      <c r="AG29" s="162"/>
    </row>
    <row r="30" spans="2:33" ht="26.4" hidden="1">
      <c r="B30" s="408"/>
      <c r="C30" s="409" t="s">
        <v>34</v>
      </c>
      <c r="D30" s="159" t="s">
        <v>255</v>
      </c>
      <c r="E30" s="70" t="s">
        <v>53</v>
      </c>
      <c r="F30" s="4"/>
      <c r="G30" s="140" t="s">
        <v>266</v>
      </c>
      <c r="H30" s="140"/>
      <c r="I30" s="163"/>
      <c r="J30" s="164"/>
      <c r="K30" s="164"/>
      <c r="L30" s="165"/>
      <c r="M30" s="166"/>
      <c r="N30" s="163"/>
      <c r="O30" s="164"/>
      <c r="P30" s="164"/>
      <c r="Q30" s="167"/>
      <c r="R30" s="168"/>
      <c r="S30" s="163"/>
      <c r="T30" s="164"/>
      <c r="U30" s="164"/>
      <c r="V30" s="166"/>
      <c r="W30" s="166"/>
      <c r="X30" s="163"/>
      <c r="Y30" s="164"/>
      <c r="Z30" s="164"/>
      <c r="AA30" s="167"/>
      <c r="AB30" s="168"/>
      <c r="AC30" s="163"/>
      <c r="AD30" s="164"/>
      <c r="AE30" s="164"/>
      <c r="AF30" s="167"/>
      <c r="AG30" s="168"/>
    </row>
    <row r="31" spans="2:33" ht="39.6" hidden="1">
      <c r="B31" s="408"/>
      <c r="C31" s="409"/>
      <c r="D31" s="169" t="s">
        <v>256</v>
      </c>
      <c r="E31" s="70" t="s">
        <v>54</v>
      </c>
      <c r="F31" s="4"/>
      <c r="G31" s="140" t="s">
        <v>267</v>
      </c>
      <c r="H31" s="140"/>
      <c r="I31" s="163"/>
      <c r="J31" s="164"/>
      <c r="K31" s="164"/>
      <c r="L31" s="165"/>
      <c r="M31" s="166"/>
      <c r="N31" s="163"/>
      <c r="O31" s="164"/>
      <c r="P31" s="164"/>
      <c r="Q31" s="167"/>
      <c r="R31" s="168"/>
      <c r="S31" s="163"/>
      <c r="T31" s="164"/>
      <c r="U31" s="164"/>
      <c r="V31" s="166"/>
      <c r="W31" s="166"/>
      <c r="X31" s="163"/>
      <c r="Y31" s="164"/>
      <c r="Z31" s="164"/>
      <c r="AA31" s="167"/>
      <c r="AB31" s="168"/>
      <c r="AC31" s="163"/>
      <c r="AD31" s="164"/>
      <c r="AE31" s="164"/>
      <c r="AF31" s="167"/>
      <c r="AG31" s="168"/>
    </row>
    <row r="32" spans="2:33" hidden="1">
      <c r="B32" s="408"/>
      <c r="C32" s="409" t="s">
        <v>257</v>
      </c>
      <c r="D32" s="159" t="s">
        <v>258</v>
      </c>
      <c r="E32" s="70" t="s">
        <v>259</v>
      </c>
      <c r="F32" s="4"/>
      <c r="G32" s="140">
        <v>3</v>
      </c>
      <c r="H32" s="140"/>
      <c r="I32" s="163"/>
      <c r="J32" s="164"/>
      <c r="K32" s="164"/>
      <c r="L32" s="167"/>
      <c r="M32" s="166"/>
      <c r="N32" s="163"/>
      <c r="O32" s="164"/>
      <c r="P32" s="164"/>
      <c r="Q32" s="167"/>
      <c r="R32" s="168"/>
      <c r="S32" s="163"/>
      <c r="T32" s="164"/>
      <c r="U32" s="164"/>
      <c r="V32" s="166"/>
      <c r="W32" s="166"/>
      <c r="X32" s="163"/>
      <c r="Y32" s="164"/>
      <c r="Z32" s="164"/>
      <c r="AA32" s="167"/>
      <c r="AB32" s="168"/>
      <c r="AC32" s="163"/>
      <c r="AD32" s="164"/>
      <c r="AE32" s="164"/>
      <c r="AF32" s="167"/>
      <c r="AG32" s="168"/>
    </row>
    <row r="33" spans="2:33" hidden="1">
      <c r="B33" s="408"/>
      <c r="C33" s="409"/>
      <c r="D33" s="159" t="s">
        <v>260</v>
      </c>
      <c r="E33" s="70" t="s">
        <v>261</v>
      </c>
      <c r="F33" s="4"/>
      <c r="G33" s="140">
        <v>3</v>
      </c>
      <c r="H33" s="140"/>
      <c r="I33" s="163"/>
      <c r="J33" s="164"/>
      <c r="K33" s="164"/>
      <c r="L33" s="165"/>
      <c r="M33" s="166"/>
      <c r="N33" s="163"/>
      <c r="O33" s="164"/>
      <c r="P33" s="164"/>
      <c r="Q33" s="167"/>
      <c r="R33" s="168"/>
      <c r="S33" s="163"/>
      <c r="T33" s="164"/>
      <c r="U33" s="164"/>
      <c r="V33" s="166"/>
      <c r="W33" s="166"/>
      <c r="X33" s="163"/>
      <c r="Y33" s="164"/>
      <c r="Z33" s="164"/>
      <c r="AA33" s="167"/>
      <c r="AB33" s="168"/>
      <c r="AC33" s="163"/>
      <c r="AD33" s="164"/>
      <c r="AE33" s="164"/>
      <c r="AF33" s="167"/>
      <c r="AG33" s="168"/>
    </row>
    <row r="34" spans="2:33" ht="26.4" hidden="1">
      <c r="B34" s="408"/>
      <c r="C34" s="409"/>
      <c r="D34" s="159" t="s">
        <v>262</v>
      </c>
      <c r="E34" s="70" t="s">
        <v>263</v>
      </c>
      <c r="F34" s="4"/>
      <c r="G34" s="140">
        <v>3</v>
      </c>
      <c r="H34" s="140"/>
      <c r="I34" s="163"/>
      <c r="J34" s="164"/>
      <c r="K34" s="164"/>
      <c r="L34" s="167"/>
      <c r="M34" s="166"/>
      <c r="N34" s="163"/>
      <c r="O34" s="164"/>
      <c r="P34" s="164"/>
      <c r="Q34" s="167"/>
      <c r="R34" s="168"/>
      <c r="S34" s="163"/>
      <c r="T34" s="164"/>
      <c r="U34" s="164"/>
      <c r="V34" s="166"/>
      <c r="W34" s="166"/>
      <c r="X34" s="163"/>
      <c r="Y34" s="164"/>
      <c r="Z34" s="164"/>
      <c r="AA34" s="167"/>
      <c r="AB34" s="168"/>
      <c r="AC34" s="163"/>
      <c r="AD34" s="164"/>
      <c r="AE34" s="164"/>
      <c r="AF34" s="167"/>
      <c r="AG34" s="168"/>
    </row>
    <row r="36" spans="2:33">
      <c r="J36" t="s">
        <v>362</v>
      </c>
      <c r="K36">
        <v>40</v>
      </c>
    </row>
    <row r="37" spans="2:33">
      <c r="K37">
        <v>8</v>
      </c>
    </row>
    <row r="38" spans="2:33">
      <c r="J38" t="s">
        <v>361</v>
      </c>
      <c r="K38">
        <v>60</v>
      </c>
    </row>
    <row r="39" spans="2:33">
      <c r="K39">
        <v>40</v>
      </c>
    </row>
  </sheetData>
  <autoFilter ref="B7:AB34"/>
  <mergeCells count="44">
    <mergeCell ref="S2:W2"/>
    <mergeCell ref="X2:AB2"/>
    <mergeCell ref="N6:R6"/>
    <mergeCell ref="S6:W6"/>
    <mergeCell ref="X6:AB6"/>
    <mergeCell ref="N3:R3"/>
    <mergeCell ref="S3:W3"/>
    <mergeCell ref="X3:AB3"/>
    <mergeCell ref="B9:B18"/>
    <mergeCell ref="I1:M1"/>
    <mergeCell ref="B2:C2"/>
    <mergeCell ref="I2:M2"/>
    <mergeCell ref="N2:R2"/>
    <mergeCell ref="I3:M3"/>
    <mergeCell ref="H5:H7"/>
    <mergeCell ref="D9:D10"/>
    <mergeCell ref="D11:D12"/>
    <mergeCell ref="AC3:AG3"/>
    <mergeCell ref="AC2:AG2"/>
    <mergeCell ref="B29:B34"/>
    <mergeCell ref="C30:C31"/>
    <mergeCell ref="C32:C34"/>
    <mergeCell ref="B5:B6"/>
    <mergeCell ref="C5:C6"/>
    <mergeCell ref="D5:D6"/>
    <mergeCell ref="E5:E6"/>
    <mergeCell ref="F5:F7"/>
    <mergeCell ref="G5:G7"/>
    <mergeCell ref="C9:C12"/>
    <mergeCell ref="C13:C18"/>
    <mergeCell ref="D13:D15"/>
    <mergeCell ref="N5:R5"/>
    <mergeCell ref="I6:M6"/>
    <mergeCell ref="AC6:AG6"/>
    <mergeCell ref="I5:M5"/>
    <mergeCell ref="S5:W5"/>
    <mergeCell ref="X5:AB5"/>
    <mergeCell ref="AC5:AG5"/>
    <mergeCell ref="B19:B28"/>
    <mergeCell ref="C20:C23"/>
    <mergeCell ref="D22:D23"/>
    <mergeCell ref="C24:C25"/>
    <mergeCell ref="D24:D25"/>
    <mergeCell ref="D20:D21"/>
  </mergeCells>
  <conditionalFormatting sqref="I5 N5 S5 X5">
    <cfRule type="duplicateValues" dxfId="59" priority="147"/>
  </conditionalFormatting>
  <conditionalFormatting sqref="F1:G1">
    <cfRule type="duplicateValues" dxfId="58" priority="146"/>
  </conditionalFormatting>
  <conditionalFormatting sqref="F9:H34">
    <cfRule type="expression" dxfId="57" priority="145">
      <formula>F9=0</formula>
    </cfRule>
  </conditionalFormatting>
  <conditionalFormatting sqref="J29:K34 O29:P34 T29:U34 AD29:AE34 Y29:Z34">
    <cfRule type="expression" dxfId="56" priority="144">
      <formula>J29&gt;0</formula>
    </cfRule>
  </conditionalFormatting>
  <conditionalFormatting sqref="AC5">
    <cfRule type="duplicateValues" dxfId="55" priority="143"/>
  </conditionalFormatting>
  <conditionalFormatting sqref="U29:U34 P29:P34 K29:K34 AE29:AE34 Z29:Z34">
    <cfRule type="expression" dxfId="54" priority="141">
      <formula>K29&lt;&gt;J29</formula>
    </cfRule>
  </conditionalFormatting>
  <conditionalFormatting sqref="P29:P34 K29:K34 AE29:AE34 Z29:Z34">
    <cfRule type="expression" dxfId="53" priority="140">
      <formula>K29&lt;&gt;J29</formula>
    </cfRule>
  </conditionalFormatting>
  <conditionalFormatting sqref="T9:U28 Y9:Z10 AD9:AE28 Y13:Z28 Z11:Z12 O9:O13 O26:O28">
    <cfRule type="expression" dxfId="52" priority="40">
      <formula>O9&gt;0</formula>
    </cfRule>
  </conditionalFormatting>
  <conditionalFormatting sqref="U9:U28 Z9:Z10 AE9:AE28 Z13:Z28">
    <cfRule type="expression" dxfId="51" priority="39">
      <formula>U9&lt;&gt;T9</formula>
    </cfRule>
  </conditionalFormatting>
  <conditionalFormatting sqref="Z9:Z10 AE9:AE28 Z13:Z28">
    <cfRule type="expression" dxfId="50" priority="38">
      <formula>Z9&lt;&gt;Y9</formula>
    </cfRule>
  </conditionalFormatting>
  <conditionalFormatting sqref="Y11:Y12">
    <cfRule type="expression" dxfId="49" priority="37">
      <formula>Y11&gt;0</formula>
    </cfRule>
  </conditionalFormatting>
  <conditionalFormatting sqref="J9:J14 J27:J28">
    <cfRule type="expression" dxfId="48" priority="36">
      <formula>J9&gt;0</formula>
    </cfRule>
  </conditionalFormatting>
  <conditionalFormatting sqref="K9:K14 K22:K28 K16:K20">
    <cfRule type="expression" dxfId="47" priority="34">
      <formula>K9&gt;0</formula>
    </cfRule>
  </conditionalFormatting>
  <conditionalFormatting sqref="K21">
    <cfRule type="expression" dxfId="46" priority="33">
      <formula>K21&gt;0</formula>
    </cfRule>
  </conditionalFormatting>
  <conditionalFormatting sqref="K15">
    <cfRule type="expression" dxfId="45" priority="32">
      <formula>K15&gt;0</formula>
    </cfRule>
  </conditionalFormatting>
  <conditionalFormatting sqref="P22:P23">
    <cfRule type="expression" dxfId="44" priority="31">
      <formula>P22&lt;&gt;O22</formula>
    </cfRule>
  </conditionalFormatting>
  <conditionalFormatting sqref="P22:P23">
    <cfRule type="expression" dxfId="43" priority="30">
      <formula>P22&lt;&gt;O22</formula>
    </cfRule>
  </conditionalFormatting>
  <conditionalFormatting sqref="P9:P20 P26:P28 P22:P23">
    <cfRule type="expression" dxfId="42" priority="29">
      <formula>P9&gt;0</formula>
    </cfRule>
  </conditionalFormatting>
  <conditionalFormatting sqref="P9:P20 P26:P28">
    <cfRule type="expression" dxfId="41" priority="28">
      <formula>P9&lt;&gt;O9</formula>
    </cfRule>
  </conditionalFormatting>
  <conditionalFormatting sqref="P9:P20 P26:P28">
    <cfRule type="expression" dxfId="40" priority="27">
      <formula>P9&lt;&gt;O9</formula>
    </cfRule>
  </conditionalFormatting>
  <conditionalFormatting sqref="P21">
    <cfRule type="expression" dxfId="39" priority="26">
      <formula>P21&gt;0</formula>
    </cfRule>
  </conditionalFormatting>
  <conditionalFormatting sqref="P21">
    <cfRule type="expression" dxfId="38" priority="25">
      <formula>P21&lt;&gt;O21</formula>
    </cfRule>
  </conditionalFormatting>
  <conditionalFormatting sqref="P21">
    <cfRule type="expression" dxfId="37" priority="24">
      <formula>P21&lt;&gt;O21</formula>
    </cfRule>
  </conditionalFormatting>
  <conditionalFormatting sqref="J22:J26 J16:J20">
    <cfRule type="expression" dxfId="36" priority="23">
      <formula>J16&gt;0</formula>
    </cfRule>
  </conditionalFormatting>
  <conditionalFormatting sqref="J21">
    <cfRule type="expression" dxfId="35" priority="22">
      <formula>J21&gt;0</formula>
    </cfRule>
  </conditionalFormatting>
  <conditionalFormatting sqref="J15">
    <cfRule type="expression" dxfId="34" priority="21">
      <formula>J15&gt;0</formula>
    </cfRule>
  </conditionalFormatting>
  <conditionalFormatting sqref="O22:O23">
    <cfRule type="expression" dxfId="33" priority="20">
      <formula>O22&lt;&gt;N22</formula>
    </cfRule>
  </conditionalFormatting>
  <conditionalFormatting sqref="O22:O23">
    <cfRule type="expression" dxfId="32" priority="19">
      <formula>O22&lt;&gt;N22</formula>
    </cfRule>
  </conditionalFormatting>
  <conditionalFormatting sqref="O14:O20 O22:O23">
    <cfRule type="expression" dxfId="31" priority="18">
      <formula>O14&gt;0</formula>
    </cfRule>
  </conditionalFormatting>
  <conditionalFormatting sqref="O14:O20">
    <cfRule type="expression" dxfId="30" priority="17">
      <formula>O14&lt;&gt;N14</formula>
    </cfRule>
  </conditionalFormatting>
  <conditionalFormatting sqref="O14:O20">
    <cfRule type="expression" dxfId="29" priority="16">
      <formula>O14&lt;&gt;N14</formula>
    </cfRule>
  </conditionalFormatting>
  <conditionalFormatting sqref="O21">
    <cfRule type="expression" dxfId="28" priority="15">
      <formula>O21&gt;0</formula>
    </cfRule>
  </conditionalFormatting>
  <conditionalFormatting sqref="O21">
    <cfRule type="expression" dxfId="27" priority="14">
      <formula>O21&lt;&gt;N21</formula>
    </cfRule>
  </conditionalFormatting>
  <conditionalFormatting sqref="O21">
    <cfRule type="expression" dxfId="26" priority="13">
      <formula>O21&lt;&gt;N21</formula>
    </cfRule>
  </conditionalFormatting>
  <conditionalFormatting sqref="F35:H1048576 H1 F2:H3 F4 H4 J4 L4 N4 P4 R4 T4 V4 X4 Z4 AB4 AD4 AF4">
    <cfRule type="duplicateValues" dxfId="25" priority="1518"/>
  </conditionalFormatting>
  <dataValidations count="2">
    <dataValidation type="list" allowBlank="1" showInputMessage="1" showErrorMessage="1" sqref="E2">
      <formula1>"FIT AVN,FIT Telematic,ST AVN,ST Telematic,SWT AVN"</formula1>
    </dataValidation>
    <dataValidation type="list" allowBlank="1" showInputMessage="1" showErrorMessage="1" sqref="I3:AG3">
      <formula1>"Junior,Senior,Test Leader"</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[3]Reference!#REF!</xm:f>
          </x14:formula1>
          <xm:sqref>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M34"/>
  <sheetViews>
    <sheetView showGridLines="0" zoomScale="90" zoomScaleNormal="90" workbookViewId="0">
      <pane xSplit="5" ySplit="8" topLeftCell="F9" activePane="bottomRight" state="frozen"/>
      <selection activeCell="BC10" sqref="BC10"/>
      <selection pane="topRight" activeCell="BC10" sqref="BC10"/>
      <selection pane="bottomLeft" activeCell="BC10" sqref="BC10"/>
      <selection pane="bottomRight" activeCell="P22" sqref="P22"/>
    </sheetView>
  </sheetViews>
  <sheetFormatPr defaultRowHeight="14.4"/>
  <cols>
    <col min="1" max="1" width="3.88671875" customWidth="1"/>
    <col min="2" max="2" width="9.5546875" customWidth="1"/>
    <col min="3" max="3" width="16.88671875" customWidth="1"/>
    <col min="4" max="4" width="27.88671875" customWidth="1"/>
    <col min="5" max="5" width="40.21875" bestFit="1" customWidth="1"/>
    <col min="6" max="6" width="8.88671875" customWidth="1"/>
    <col min="7" max="8" width="11.44140625" customWidth="1"/>
    <col min="9" max="13" width="8" customWidth="1"/>
  </cols>
  <sheetData>
    <row r="1" spans="2:13">
      <c r="E1" s="132" t="s">
        <v>19</v>
      </c>
      <c r="F1" s="132">
        <v>6</v>
      </c>
      <c r="G1" s="132">
        <v>7</v>
      </c>
      <c r="I1" s="381"/>
      <c r="J1" s="381"/>
      <c r="K1" s="381"/>
      <c r="L1" s="381"/>
      <c r="M1" s="381"/>
    </row>
    <row r="2" spans="2:13" ht="15.6">
      <c r="B2" s="413" t="s">
        <v>216</v>
      </c>
      <c r="C2" s="413"/>
      <c r="E2" s="132" t="s">
        <v>217</v>
      </c>
      <c r="F2" s="132">
        <v>4</v>
      </c>
      <c r="I2" s="381">
        <v>3</v>
      </c>
      <c r="J2" s="381"/>
      <c r="K2" s="381"/>
      <c r="L2" s="381"/>
      <c r="M2" s="381"/>
    </row>
    <row r="3" spans="2:13">
      <c r="I3" s="381" t="s">
        <v>141</v>
      </c>
      <c r="J3" s="381"/>
      <c r="K3" s="381"/>
      <c r="L3" s="381"/>
      <c r="M3" s="381"/>
    </row>
    <row r="4" spans="2:13">
      <c r="E4">
        <v>1</v>
      </c>
      <c r="F4">
        <v>2</v>
      </c>
      <c r="G4">
        <v>3</v>
      </c>
      <c r="H4">
        <v>4</v>
      </c>
      <c r="I4">
        <v>5</v>
      </c>
      <c r="J4">
        <v>6</v>
      </c>
      <c r="K4">
        <v>7</v>
      </c>
      <c r="L4">
        <v>8</v>
      </c>
      <c r="M4">
        <v>9</v>
      </c>
    </row>
    <row r="5" spans="2:13" ht="25.5" customHeight="1">
      <c r="B5" s="404" t="s">
        <v>220</v>
      </c>
      <c r="C5" s="404" t="s">
        <v>221</v>
      </c>
      <c r="D5" s="404" t="s">
        <v>222</v>
      </c>
      <c r="E5" s="404" t="s">
        <v>223</v>
      </c>
      <c r="F5" s="405" t="s">
        <v>325</v>
      </c>
      <c r="G5" s="405" t="s">
        <v>324</v>
      </c>
      <c r="H5" s="405" t="s">
        <v>323</v>
      </c>
      <c r="I5" s="382" t="s">
        <v>332</v>
      </c>
      <c r="J5" s="383"/>
      <c r="K5" s="383"/>
      <c r="L5" s="383"/>
      <c r="M5" s="384"/>
    </row>
    <row r="6" spans="2:13">
      <c r="B6" s="404"/>
      <c r="C6" s="404"/>
      <c r="D6" s="404"/>
      <c r="E6" s="404"/>
      <c r="F6" s="406"/>
      <c r="G6" s="406"/>
      <c r="H6" s="406"/>
      <c r="I6" s="385">
        <v>1</v>
      </c>
      <c r="J6" s="386"/>
      <c r="K6" s="386"/>
      <c r="L6" s="386"/>
      <c r="M6" s="387"/>
    </row>
    <row r="7" spans="2:13" ht="20.399999999999999">
      <c r="B7" s="133"/>
      <c r="C7" s="133"/>
      <c r="D7" s="133"/>
      <c r="E7" s="133"/>
      <c r="F7" s="407"/>
      <c r="G7" s="407"/>
      <c r="H7" s="407"/>
      <c r="I7" s="134">
        <v>2018</v>
      </c>
      <c r="J7" s="134" t="s">
        <v>227</v>
      </c>
      <c r="K7" s="135" t="s">
        <v>228</v>
      </c>
      <c r="L7" s="135" t="s">
        <v>229</v>
      </c>
      <c r="M7" s="135" t="s">
        <v>230</v>
      </c>
    </row>
    <row r="8" spans="2:13">
      <c r="B8" s="231"/>
      <c r="C8" s="231"/>
      <c r="D8" s="231"/>
      <c r="E8" s="231"/>
      <c r="F8" s="137"/>
      <c r="G8" s="137"/>
      <c r="H8" s="137"/>
      <c r="I8" s="57" t="s">
        <v>344</v>
      </c>
      <c r="J8" s="138">
        <f>SUM(J9:J34)</f>
        <v>0.16</v>
      </c>
      <c r="K8" s="139">
        <f>SUM(K9:K34)</f>
        <v>0.17</v>
      </c>
      <c r="L8" s="138"/>
      <c r="M8" s="57"/>
    </row>
    <row r="9" spans="2:13">
      <c r="B9" s="402" t="s">
        <v>231</v>
      </c>
      <c r="C9" s="410" t="s">
        <v>35</v>
      </c>
      <c r="D9" s="411" t="s">
        <v>232</v>
      </c>
      <c r="E9" s="124" t="s">
        <v>23</v>
      </c>
      <c r="F9" s="4"/>
      <c r="G9" s="140">
        <v>28</v>
      </c>
      <c r="H9" s="140"/>
      <c r="I9" s="141"/>
      <c r="J9" s="142"/>
      <c r="K9" s="142"/>
      <c r="L9" s="144"/>
      <c r="M9" s="143"/>
    </row>
    <row r="10" spans="2:13">
      <c r="B10" s="412"/>
      <c r="C10" s="410"/>
      <c r="D10" s="411"/>
      <c r="E10" s="222" t="s">
        <v>293</v>
      </c>
      <c r="F10" s="4"/>
      <c r="G10" s="140">
        <v>0</v>
      </c>
      <c r="H10" s="140"/>
      <c r="I10" s="141"/>
      <c r="J10" s="142"/>
      <c r="K10" s="142"/>
      <c r="L10" s="143"/>
      <c r="M10" s="143"/>
    </row>
    <row r="11" spans="2:13">
      <c r="B11" s="412"/>
      <c r="C11" s="410"/>
      <c r="D11" s="411"/>
      <c r="E11" s="222" t="s">
        <v>292</v>
      </c>
      <c r="F11" s="4"/>
      <c r="G11" s="140" t="s">
        <v>264</v>
      </c>
      <c r="H11" s="140"/>
      <c r="I11" s="141"/>
      <c r="J11" s="142"/>
      <c r="K11" s="142"/>
      <c r="L11" s="143"/>
      <c r="M11" s="143"/>
    </row>
    <row r="12" spans="2:13">
      <c r="B12" s="412"/>
      <c r="C12" s="410"/>
      <c r="D12" s="233" t="s">
        <v>233</v>
      </c>
      <c r="E12" s="124" t="s">
        <v>20</v>
      </c>
      <c r="F12" s="4"/>
      <c r="G12" s="140">
        <v>55</v>
      </c>
      <c r="H12" s="140"/>
      <c r="I12" s="141"/>
      <c r="J12" s="142"/>
      <c r="K12" s="142"/>
      <c r="L12" s="143"/>
      <c r="M12" s="143"/>
    </row>
    <row r="13" spans="2:13">
      <c r="B13" s="412"/>
      <c r="C13" s="393" t="s">
        <v>146</v>
      </c>
      <c r="D13" s="411" t="s">
        <v>234</v>
      </c>
      <c r="E13" s="146" t="s">
        <v>38</v>
      </c>
      <c r="F13" s="4"/>
      <c r="G13" s="140">
        <v>0</v>
      </c>
      <c r="H13" s="140"/>
      <c r="I13" s="142"/>
      <c r="J13" s="142"/>
      <c r="K13" s="142"/>
      <c r="L13" s="147"/>
      <c r="M13" s="147"/>
    </row>
    <row r="14" spans="2:13">
      <c r="B14" s="412"/>
      <c r="C14" s="394"/>
      <c r="D14" s="411"/>
      <c r="E14" s="233" t="s">
        <v>40</v>
      </c>
      <c r="F14" s="4"/>
      <c r="G14" s="140">
        <v>0</v>
      </c>
      <c r="H14" s="140"/>
      <c r="I14" s="142"/>
      <c r="J14" s="142"/>
      <c r="K14" s="142"/>
      <c r="L14" s="147"/>
      <c r="M14" s="147"/>
    </row>
    <row r="15" spans="2:13">
      <c r="B15" s="412"/>
      <c r="C15" s="394"/>
      <c r="D15" s="411"/>
      <c r="E15" s="233" t="s">
        <v>235</v>
      </c>
      <c r="F15" s="4"/>
      <c r="G15" s="140">
        <v>0</v>
      </c>
      <c r="H15" s="140"/>
      <c r="I15" s="142"/>
      <c r="J15" s="142">
        <v>0.02</v>
      </c>
      <c r="K15" s="142">
        <v>0</v>
      </c>
      <c r="L15" s="147"/>
      <c r="M15" s="147"/>
    </row>
    <row r="16" spans="2:13">
      <c r="B16" s="412"/>
      <c r="C16" s="394"/>
      <c r="D16" s="148" t="s">
        <v>236</v>
      </c>
      <c r="E16" s="149" t="s">
        <v>237</v>
      </c>
      <c r="F16" s="4"/>
      <c r="G16" s="140">
        <v>0.95</v>
      </c>
      <c r="H16" s="140"/>
      <c r="I16" s="142"/>
      <c r="J16" s="142"/>
      <c r="K16" s="142"/>
      <c r="L16" s="147"/>
      <c r="M16" s="147"/>
    </row>
    <row r="17" spans="2:13">
      <c r="B17" s="412"/>
      <c r="C17" s="394"/>
      <c r="D17" s="148"/>
      <c r="E17" s="180" t="s">
        <v>269</v>
      </c>
      <c r="F17" s="4"/>
      <c r="G17" s="140"/>
      <c r="H17" s="140"/>
      <c r="I17" s="142"/>
      <c r="J17" s="142"/>
      <c r="K17" s="142"/>
      <c r="L17" s="147"/>
      <c r="M17" s="147"/>
    </row>
    <row r="18" spans="2:13">
      <c r="B18" s="403"/>
      <c r="C18" s="395"/>
      <c r="D18" s="148"/>
      <c r="E18" s="180" t="s">
        <v>42</v>
      </c>
      <c r="F18" s="4"/>
      <c r="G18" s="140"/>
      <c r="H18" s="140"/>
      <c r="I18" s="142"/>
      <c r="J18" s="142"/>
      <c r="K18" s="142"/>
      <c r="L18" s="147"/>
      <c r="M18" s="147"/>
    </row>
    <row r="19" spans="2:13">
      <c r="B19" s="399" t="s">
        <v>238</v>
      </c>
      <c r="C19" s="150" t="s">
        <v>239</v>
      </c>
      <c r="D19" s="151" t="s">
        <v>240</v>
      </c>
      <c r="E19" s="14" t="s">
        <v>48</v>
      </c>
      <c r="F19" s="4"/>
      <c r="G19" s="140">
        <v>0.95</v>
      </c>
      <c r="H19" s="140"/>
      <c r="I19" s="142"/>
      <c r="J19" s="142">
        <v>0.02</v>
      </c>
      <c r="K19" s="142">
        <v>0.03</v>
      </c>
      <c r="L19" s="147">
        <v>0.9</v>
      </c>
      <c r="M19" s="147">
        <v>1</v>
      </c>
    </row>
    <row r="20" spans="2:13">
      <c r="B20" s="400"/>
      <c r="C20" s="388" t="s">
        <v>35</v>
      </c>
      <c r="D20" s="391" t="s">
        <v>241</v>
      </c>
      <c r="E20" s="14" t="s">
        <v>242</v>
      </c>
      <c r="F20" s="4"/>
      <c r="G20" s="140">
        <v>28</v>
      </c>
      <c r="H20" s="140"/>
      <c r="I20" s="141"/>
      <c r="J20" s="142">
        <v>0.02</v>
      </c>
      <c r="K20" s="142">
        <v>0</v>
      </c>
      <c r="L20" s="143"/>
      <c r="M20" s="143"/>
    </row>
    <row r="21" spans="2:13">
      <c r="B21" s="400"/>
      <c r="C21" s="389"/>
      <c r="D21" s="392"/>
      <c r="E21" s="224" t="s">
        <v>301</v>
      </c>
      <c r="F21" s="4"/>
      <c r="G21" s="140"/>
      <c r="H21" s="140"/>
      <c r="I21" s="141"/>
      <c r="J21" s="142">
        <v>0.02</v>
      </c>
      <c r="K21" s="142">
        <v>0</v>
      </c>
      <c r="L21" s="143"/>
      <c r="M21" s="143"/>
    </row>
    <row r="22" spans="2:13">
      <c r="B22" s="400"/>
      <c r="C22" s="389"/>
      <c r="D22" s="391" t="s">
        <v>243</v>
      </c>
      <c r="E22" s="14" t="s">
        <v>244</v>
      </c>
      <c r="F22" s="4"/>
      <c r="G22" s="140">
        <v>55</v>
      </c>
      <c r="H22" s="140"/>
      <c r="I22" s="141"/>
      <c r="J22" s="142">
        <v>0.02</v>
      </c>
      <c r="K22" s="142">
        <v>0.05</v>
      </c>
      <c r="L22" s="143">
        <v>6</v>
      </c>
      <c r="M22" s="143">
        <v>6.81</v>
      </c>
    </row>
    <row r="23" spans="2:13">
      <c r="B23" s="400"/>
      <c r="C23" s="390"/>
      <c r="D23" s="392"/>
      <c r="E23" s="225" t="s">
        <v>294</v>
      </c>
      <c r="F23" s="156"/>
      <c r="G23" s="157">
        <v>0.95</v>
      </c>
      <c r="H23" s="140"/>
      <c r="I23" s="142"/>
      <c r="J23" s="142">
        <v>0.03</v>
      </c>
      <c r="K23" s="142">
        <v>0.05</v>
      </c>
      <c r="L23" s="143">
        <v>4</v>
      </c>
      <c r="M23" s="143">
        <v>5.15</v>
      </c>
    </row>
    <row r="24" spans="2:13">
      <c r="B24" s="400"/>
      <c r="C24" s="388" t="s">
        <v>146</v>
      </c>
      <c r="D24" s="391" t="s">
        <v>245</v>
      </c>
      <c r="E24" s="155" t="s">
        <v>246</v>
      </c>
      <c r="F24" s="156"/>
      <c r="G24" s="157">
        <v>0.95</v>
      </c>
      <c r="H24" s="140"/>
      <c r="I24" s="142"/>
      <c r="J24" s="142"/>
      <c r="K24" s="142"/>
      <c r="L24" s="147"/>
      <c r="M24" s="147"/>
    </row>
    <row r="25" spans="2:13">
      <c r="B25" s="400"/>
      <c r="C25" s="390"/>
      <c r="D25" s="392"/>
      <c r="E25" s="155" t="s">
        <v>247</v>
      </c>
      <c r="F25" s="156"/>
      <c r="G25" s="157">
        <v>0</v>
      </c>
      <c r="H25" s="140"/>
      <c r="I25" s="142"/>
      <c r="J25" s="142">
        <v>0.03</v>
      </c>
      <c r="K25" s="142">
        <v>0.04</v>
      </c>
      <c r="L25" s="147">
        <v>0.05</v>
      </c>
      <c r="M25" s="147">
        <v>0</v>
      </c>
    </row>
    <row r="26" spans="2:13">
      <c r="B26" s="400"/>
      <c r="C26" s="234"/>
      <c r="D26" s="235"/>
      <c r="E26" s="224" t="s">
        <v>295</v>
      </c>
      <c r="F26" s="156"/>
      <c r="G26" s="157"/>
      <c r="H26" s="140"/>
      <c r="I26" s="142"/>
      <c r="J26" s="142"/>
      <c r="K26" s="142"/>
      <c r="L26" s="147"/>
      <c r="M26" s="147"/>
    </row>
    <row r="27" spans="2:13">
      <c r="B27" s="400"/>
      <c r="C27" s="234"/>
      <c r="D27" s="235"/>
      <c r="E27" s="224" t="s">
        <v>297</v>
      </c>
      <c r="F27" s="156"/>
      <c r="G27" s="157"/>
      <c r="H27" s="140"/>
      <c r="I27" s="142"/>
      <c r="J27" s="142"/>
      <c r="K27" s="142"/>
      <c r="L27" s="147"/>
      <c r="M27" s="147"/>
    </row>
    <row r="28" spans="2:13">
      <c r="B28" s="401"/>
      <c r="C28" s="150" t="s">
        <v>248</v>
      </c>
      <c r="D28" s="151" t="s">
        <v>249</v>
      </c>
      <c r="E28" s="151" t="s">
        <v>250</v>
      </c>
      <c r="F28" s="156"/>
      <c r="G28" s="157">
        <v>0.7</v>
      </c>
      <c r="H28" s="140"/>
      <c r="I28" s="142"/>
      <c r="J28" s="142"/>
      <c r="K28" s="142"/>
      <c r="L28" s="147"/>
      <c r="M28" s="147"/>
    </row>
    <row r="29" spans="2:13" ht="66" hidden="1">
      <c r="B29" s="408" t="s">
        <v>251</v>
      </c>
      <c r="C29" s="232" t="s">
        <v>252</v>
      </c>
      <c r="D29" s="159" t="s">
        <v>253</v>
      </c>
      <c r="E29" s="160" t="s">
        <v>254</v>
      </c>
      <c r="F29" s="4"/>
      <c r="G29" s="140" t="s">
        <v>265</v>
      </c>
      <c r="H29" s="140"/>
      <c r="I29" s="141"/>
      <c r="J29" s="142"/>
      <c r="K29" s="142"/>
      <c r="L29" s="144"/>
      <c r="M29" s="143"/>
    </row>
    <row r="30" spans="2:13" ht="26.4" hidden="1">
      <c r="B30" s="408"/>
      <c r="C30" s="409" t="s">
        <v>34</v>
      </c>
      <c r="D30" s="159" t="s">
        <v>255</v>
      </c>
      <c r="E30" s="70" t="s">
        <v>53</v>
      </c>
      <c r="F30" s="4"/>
      <c r="G30" s="140" t="s">
        <v>266</v>
      </c>
      <c r="H30" s="140"/>
      <c r="I30" s="163"/>
      <c r="J30" s="164"/>
      <c r="K30" s="164"/>
      <c r="L30" s="165"/>
      <c r="M30" s="166"/>
    </row>
    <row r="31" spans="2:13" ht="39.6" hidden="1">
      <c r="B31" s="408"/>
      <c r="C31" s="409"/>
      <c r="D31" s="169" t="s">
        <v>256</v>
      </c>
      <c r="E31" s="70" t="s">
        <v>54</v>
      </c>
      <c r="F31" s="4"/>
      <c r="G31" s="140" t="s">
        <v>267</v>
      </c>
      <c r="H31" s="140"/>
      <c r="I31" s="163"/>
      <c r="J31" s="164"/>
      <c r="K31" s="164"/>
      <c r="L31" s="165"/>
      <c r="M31" s="166"/>
    </row>
    <row r="32" spans="2:13" hidden="1">
      <c r="B32" s="408"/>
      <c r="C32" s="409" t="s">
        <v>257</v>
      </c>
      <c r="D32" s="159" t="s">
        <v>258</v>
      </c>
      <c r="E32" s="70" t="s">
        <v>259</v>
      </c>
      <c r="F32" s="4"/>
      <c r="G32" s="140">
        <v>3</v>
      </c>
      <c r="H32" s="140"/>
      <c r="I32" s="163"/>
      <c r="J32" s="164"/>
      <c r="K32" s="164"/>
      <c r="L32" s="167"/>
      <c r="M32" s="166"/>
    </row>
    <row r="33" spans="2:13" hidden="1">
      <c r="B33" s="408"/>
      <c r="C33" s="409"/>
      <c r="D33" s="159" t="s">
        <v>260</v>
      </c>
      <c r="E33" s="70" t="s">
        <v>261</v>
      </c>
      <c r="F33" s="4"/>
      <c r="G33" s="140">
        <v>3</v>
      </c>
      <c r="H33" s="140"/>
      <c r="I33" s="163"/>
      <c r="J33" s="164"/>
      <c r="K33" s="164"/>
      <c r="L33" s="165"/>
      <c r="M33" s="166"/>
    </row>
    <row r="34" spans="2:13" ht="26.4" hidden="1">
      <c r="B34" s="408"/>
      <c r="C34" s="409"/>
      <c r="D34" s="159" t="s">
        <v>262</v>
      </c>
      <c r="E34" s="70" t="s">
        <v>263</v>
      </c>
      <c r="F34" s="4"/>
      <c r="G34" s="140">
        <v>3</v>
      </c>
      <c r="H34" s="140"/>
      <c r="I34" s="163"/>
      <c r="J34" s="164"/>
      <c r="K34" s="164"/>
      <c r="L34" s="167"/>
      <c r="M34" s="166"/>
    </row>
  </sheetData>
  <autoFilter ref="B7:M34"/>
  <mergeCells count="27">
    <mergeCell ref="I1:M1"/>
    <mergeCell ref="B2:C2"/>
    <mergeCell ref="I2:M2"/>
    <mergeCell ref="I3:M3"/>
    <mergeCell ref="B5:B6"/>
    <mergeCell ref="C5:C6"/>
    <mergeCell ref="D5:D6"/>
    <mergeCell ref="E5:E6"/>
    <mergeCell ref="F5:F7"/>
    <mergeCell ref="G5:G7"/>
    <mergeCell ref="I6:M6"/>
    <mergeCell ref="I5:M5"/>
    <mergeCell ref="H5:H7"/>
    <mergeCell ref="B9:B18"/>
    <mergeCell ref="C9:C12"/>
    <mergeCell ref="D9:D11"/>
    <mergeCell ref="C13:C18"/>
    <mergeCell ref="D13:D15"/>
    <mergeCell ref="D20:D21"/>
    <mergeCell ref="D22:D23"/>
    <mergeCell ref="C24:C25"/>
    <mergeCell ref="D24:D25"/>
    <mergeCell ref="B29:B34"/>
    <mergeCell ref="C30:C31"/>
    <mergeCell ref="C32:C34"/>
    <mergeCell ref="B19:B28"/>
    <mergeCell ref="C20:C23"/>
  </mergeCells>
  <conditionalFormatting sqref="F1:G1">
    <cfRule type="duplicateValues" dxfId="24" priority="108"/>
  </conditionalFormatting>
  <conditionalFormatting sqref="F9:H34">
    <cfRule type="expression" dxfId="23" priority="107">
      <formula>F9=0</formula>
    </cfRule>
  </conditionalFormatting>
  <conditionalFormatting sqref="J29:K34 J9:J28">
    <cfRule type="expression" dxfId="22" priority="106">
      <formula>J9&gt;0</formula>
    </cfRule>
  </conditionalFormatting>
  <conditionalFormatting sqref="K29:K34">
    <cfRule type="expression" dxfId="21" priority="103">
      <formula>K29&lt;&gt;J29</formula>
    </cfRule>
  </conditionalFormatting>
  <conditionalFormatting sqref="K29:K34">
    <cfRule type="expression" dxfId="20" priority="102">
      <formula>K29&lt;&gt;J29</formula>
    </cfRule>
  </conditionalFormatting>
  <conditionalFormatting sqref="K9:K14 K26:K28">
    <cfRule type="expression" dxfId="19" priority="7">
      <formula>K9&gt;0</formula>
    </cfRule>
  </conditionalFormatting>
  <conditionalFormatting sqref="K9:K14 K26:K28">
    <cfRule type="expression" dxfId="18" priority="6">
      <formula>K9&lt;&gt;J9</formula>
    </cfRule>
  </conditionalFormatting>
  <conditionalFormatting sqref="K9:K14 K26:K28">
    <cfRule type="expression" dxfId="17" priority="5">
      <formula>K9&lt;&gt;J9</formula>
    </cfRule>
  </conditionalFormatting>
  <conditionalFormatting sqref="K15:K25">
    <cfRule type="expression" dxfId="16" priority="1">
      <formula>K15&gt;0</formula>
    </cfRule>
  </conditionalFormatting>
  <conditionalFormatting sqref="I5">
    <cfRule type="duplicateValues" dxfId="15" priority="1519"/>
  </conditionalFormatting>
  <conditionalFormatting sqref="F35:H1048576 H1 F2:H3 F4 H4 J4 L4">
    <cfRule type="duplicateValues" dxfId="14" priority="1520"/>
  </conditionalFormatting>
  <dataValidations count="2">
    <dataValidation type="list" allowBlank="1" showInputMessage="1" showErrorMessage="1" sqref="I3:M3">
      <formula1>"Junior,Senior,Test Leader"</formula1>
    </dataValidation>
    <dataValidation type="list" allowBlank="1" showInputMessage="1" showErrorMessage="1" sqref="E2">
      <formula1>"FIT AVN,FIT Telematic,ST AVN,ST Telematic,SWT AVN"</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[3]Reference!#REF!</xm:f>
          </x14:formula1>
          <xm:sqref>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M34"/>
  <sheetViews>
    <sheetView showGridLines="0" zoomScale="90" zoomScaleNormal="90" workbookViewId="0">
      <pane xSplit="5" ySplit="8" topLeftCell="F9" activePane="bottomRight" state="frozen"/>
      <selection activeCell="BC10" sqref="BC10"/>
      <selection pane="topRight" activeCell="BC10" sqref="BC10"/>
      <selection pane="bottomLeft" activeCell="BC10" sqref="BC10"/>
      <selection pane="bottomRight" activeCell="J44" sqref="J44"/>
    </sheetView>
  </sheetViews>
  <sheetFormatPr defaultRowHeight="14.4"/>
  <cols>
    <col min="1" max="1" width="3.88671875" customWidth="1"/>
    <col min="2" max="2" width="9.5546875" customWidth="1"/>
    <col min="3" max="3" width="16.88671875" customWidth="1"/>
    <col min="4" max="4" width="27.88671875" customWidth="1"/>
    <col min="5" max="5" width="40.21875" bestFit="1" customWidth="1"/>
    <col min="6" max="6" width="8.88671875" customWidth="1"/>
    <col min="7" max="8" width="11.44140625" customWidth="1"/>
    <col min="9" max="13" width="8" customWidth="1"/>
  </cols>
  <sheetData>
    <row r="1" spans="2:13">
      <c r="E1" s="132" t="s">
        <v>19</v>
      </c>
      <c r="F1" s="132">
        <v>6</v>
      </c>
      <c r="G1" s="132">
        <v>7</v>
      </c>
      <c r="I1" s="381"/>
      <c r="J1" s="381"/>
      <c r="K1" s="381"/>
      <c r="L1" s="381"/>
      <c r="M1" s="381"/>
    </row>
    <row r="2" spans="2:13" ht="15.6">
      <c r="B2" s="413" t="s">
        <v>216</v>
      </c>
      <c r="C2" s="413"/>
      <c r="E2" s="132" t="s">
        <v>217</v>
      </c>
      <c r="F2" s="132">
        <v>4</v>
      </c>
      <c r="I2" s="381">
        <v>3</v>
      </c>
      <c r="J2" s="381"/>
      <c r="K2" s="381"/>
      <c r="L2" s="381"/>
      <c r="M2" s="381"/>
    </row>
    <row r="3" spans="2:13">
      <c r="I3" s="381" t="s">
        <v>219</v>
      </c>
      <c r="J3" s="381"/>
      <c r="K3" s="381"/>
      <c r="L3" s="381"/>
      <c r="M3" s="381"/>
    </row>
    <row r="4" spans="2:13">
      <c r="E4">
        <v>1</v>
      </c>
      <c r="F4">
        <v>2</v>
      </c>
      <c r="G4">
        <v>3</v>
      </c>
      <c r="H4">
        <v>4</v>
      </c>
      <c r="I4">
        <v>5</v>
      </c>
      <c r="J4">
        <v>6</v>
      </c>
      <c r="K4">
        <v>7</v>
      </c>
      <c r="L4">
        <v>8</v>
      </c>
      <c r="M4">
        <v>9</v>
      </c>
    </row>
    <row r="5" spans="2:13" ht="25.5" customHeight="1">
      <c r="B5" s="404" t="s">
        <v>220</v>
      </c>
      <c r="C5" s="404" t="s">
        <v>221</v>
      </c>
      <c r="D5" s="404" t="s">
        <v>222</v>
      </c>
      <c r="E5" s="404" t="s">
        <v>223</v>
      </c>
      <c r="F5" s="405" t="s">
        <v>224</v>
      </c>
      <c r="G5" s="405" t="s">
        <v>225</v>
      </c>
      <c r="H5" s="405" t="s">
        <v>226</v>
      </c>
      <c r="I5" s="382" t="s">
        <v>347</v>
      </c>
      <c r="J5" s="383"/>
      <c r="K5" s="383"/>
      <c r="L5" s="383"/>
      <c r="M5" s="384"/>
    </row>
    <row r="6" spans="2:13">
      <c r="B6" s="404"/>
      <c r="C6" s="404"/>
      <c r="D6" s="404"/>
      <c r="E6" s="404"/>
      <c r="F6" s="406"/>
      <c r="G6" s="406"/>
      <c r="H6" s="406"/>
      <c r="I6" s="385">
        <v>1</v>
      </c>
      <c r="J6" s="386"/>
      <c r="K6" s="386"/>
      <c r="L6" s="386"/>
      <c r="M6" s="387"/>
    </row>
    <row r="7" spans="2:13" ht="20.399999999999999">
      <c r="B7" s="133"/>
      <c r="C7" s="133"/>
      <c r="D7" s="133"/>
      <c r="E7" s="133"/>
      <c r="F7" s="407"/>
      <c r="G7" s="407"/>
      <c r="H7" s="407"/>
      <c r="I7" s="134">
        <v>2018</v>
      </c>
      <c r="J7" s="134" t="s">
        <v>227</v>
      </c>
      <c r="K7" s="135" t="s">
        <v>228</v>
      </c>
      <c r="L7" s="135" t="s">
        <v>229</v>
      </c>
      <c r="M7" s="135" t="s">
        <v>230</v>
      </c>
    </row>
    <row r="8" spans="2:13">
      <c r="B8" s="231"/>
      <c r="C8" s="231"/>
      <c r="D8" s="231"/>
      <c r="E8" s="231"/>
      <c r="F8" s="137"/>
      <c r="G8" s="137"/>
      <c r="H8" s="137"/>
      <c r="I8" s="57"/>
      <c r="J8" s="138">
        <f>SUM(J9:J34)</f>
        <v>0.2</v>
      </c>
      <c r="K8" s="139">
        <f>SUM(K9:K34)</f>
        <v>0.2</v>
      </c>
      <c r="L8" s="138"/>
      <c r="M8" s="57"/>
    </row>
    <row r="9" spans="2:13">
      <c r="B9" s="402" t="s">
        <v>231</v>
      </c>
      <c r="C9" s="410" t="s">
        <v>35</v>
      </c>
      <c r="D9" s="411" t="s">
        <v>232</v>
      </c>
      <c r="E9" s="124" t="s">
        <v>23</v>
      </c>
      <c r="F9" s="4"/>
      <c r="G9" s="140">
        <v>28</v>
      </c>
      <c r="H9" s="140"/>
      <c r="I9" s="141"/>
      <c r="J9" s="142">
        <v>2.5000000000000001E-2</v>
      </c>
      <c r="K9" s="142">
        <v>2.5000000000000001E-2</v>
      </c>
      <c r="L9" s="143">
        <v>40</v>
      </c>
      <c r="M9" s="143">
        <v>46.32</v>
      </c>
    </row>
    <row r="10" spans="2:13">
      <c r="B10" s="412"/>
      <c r="C10" s="410"/>
      <c r="D10" s="411"/>
      <c r="E10" s="222" t="s">
        <v>293</v>
      </c>
      <c r="F10" s="4"/>
      <c r="G10" s="140">
        <v>0</v>
      </c>
      <c r="H10" s="140"/>
      <c r="I10" s="141"/>
      <c r="J10" s="142">
        <v>2.5000000000000001E-2</v>
      </c>
      <c r="K10" s="142">
        <v>2.5000000000000001E-2</v>
      </c>
      <c r="L10" s="143">
        <v>4</v>
      </c>
      <c r="M10" s="143">
        <v>12.71</v>
      </c>
    </row>
    <row r="11" spans="2:13">
      <c r="B11" s="412"/>
      <c r="C11" s="410"/>
      <c r="D11" s="411"/>
      <c r="E11" s="222" t="s">
        <v>292</v>
      </c>
      <c r="F11" s="4"/>
      <c r="G11" s="140" t="s">
        <v>264</v>
      </c>
      <c r="H11" s="140"/>
      <c r="I11" s="141"/>
      <c r="J11" s="142">
        <v>2.5000000000000001E-2</v>
      </c>
      <c r="K11" s="142">
        <v>2.5000000000000001E-2</v>
      </c>
      <c r="L11" s="143">
        <v>20</v>
      </c>
      <c r="M11" s="143">
        <v>32.39</v>
      </c>
    </row>
    <row r="12" spans="2:13">
      <c r="B12" s="412"/>
      <c r="C12" s="410"/>
      <c r="D12" s="233" t="s">
        <v>233</v>
      </c>
      <c r="E12" s="124" t="s">
        <v>20</v>
      </c>
      <c r="F12" s="4"/>
      <c r="G12" s="140">
        <v>55</v>
      </c>
      <c r="H12" s="140"/>
      <c r="I12" s="141"/>
      <c r="J12" s="142">
        <v>2.5000000000000001E-2</v>
      </c>
      <c r="K12" s="142">
        <v>2.5000000000000001E-2</v>
      </c>
      <c r="L12" s="143">
        <v>40</v>
      </c>
      <c r="M12" s="143">
        <v>56.6</v>
      </c>
    </row>
    <row r="13" spans="2:13">
      <c r="B13" s="412"/>
      <c r="C13" s="393" t="s">
        <v>146</v>
      </c>
      <c r="D13" s="411" t="s">
        <v>234</v>
      </c>
      <c r="E13" s="146" t="s">
        <v>38</v>
      </c>
      <c r="F13" s="4"/>
      <c r="G13" s="140">
        <v>0</v>
      </c>
      <c r="H13" s="140"/>
      <c r="I13" s="142"/>
      <c r="J13" s="142">
        <v>2.5000000000000001E-2</v>
      </c>
      <c r="K13" s="142">
        <v>2.5000000000000001E-2</v>
      </c>
      <c r="L13" s="147">
        <v>0.25</v>
      </c>
      <c r="M13" s="147">
        <v>0</v>
      </c>
    </row>
    <row r="14" spans="2:13">
      <c r="B14" s="412"/>
      <c r="C14" s="394"/>
      <c r="D14" s="411"/>
      <c r="E14" s="233" t="s">
        <v>40</v>
      </c>
      <c r="F14" s="4"/>
      <c r="G14" s="140">
        <v>0</v>
      </c>
      <c r="H14" s="140"/>
      <c r="I14" s="142"/>
      <c r="J14" s="142">
        <v>2.5000000000000001E-2</v>
      </c>
      <c r="K14" s="142">
        <v>2.5000000000000001E-2</v>
      </c>
      <c r="L14" s="147">
        <v>0.18</v>
      </c>
      <c r="M14" s="147">
        <v>0</v>
      </c>
    </row>
    <row r="15" spans="2:13">
      <c r="B15" s="412"/>
      <c r="C15" s="394"/>
      <c r="D15" s="411"/>
      <c r="E15" s="233" t="s">
        <v>235</v>
      </c>
      <c r="F15" s="4"/>
      <c r="G15" s="140">
        <v>0</v>
      </c>
      <c r="H15" s="140"/>
      <c r="I15" s="142"/>
      <c r="J15" s="142"/>
      <c r="K15" s="142"/>
      <c r="L15" s="147"/>
      <c r="M15" s="147"/>
    </row>
    <row r="16" spans="2:13">
      <c r="B16" s="412"/>
      <c r="C16" s="394"/>
      <c r="D16" s="148" t="s">
        <v>236</v>
      </c>
      <c r="E16" s="149" t="s">
        <v>237</v>
      </c>
      <c r="F16" s="4"/>
      <c r="G16" s="140">
        <v>0.95</v>
      </c>
      <c r="H16" s="140"/>
      <c r="I16" s="142"/>
      <c r="J16" s="142"/>
      <c r="K16" s="142"/>
      <c r="L16" s="147"/>
      <c r="M16" s="147"/>
    </row>
    <row r="17" spans="2:13">
      <c r="B17" s="412"/>
      <c r="C17" s="394"/>
      <c r="D17" s="148"/>
      <c r="E17" s="180" t="s">
        <v>269</v>
      </c>
      <c r="F17" s="4"/>
      <c r="G17" s="140"/>
      <c r="H17" s="140"/>
      <c r="I17" s="142"/>
      <c r="J17" s="142"/>
      <c r="K17" s="142"/>
      <c r="L17" s="147"/>
      <c r="M17" s="147"/>
    </row>
    <row r="18" spans="2:13">
      <c r="B18" s="403"/>
      <c r="C18" s="395"/>
      <c r="D18" s="148"/>
      <c r="E18" s="180" t="s">
        <v>42</v>
      </c>
      <c r="F18" s="4"/>
      <c r="G18" s="140"/>
      <c r="H18" s="140"/>
      <c r="I18" s="142"/>
      <c r="J18" s="142">
        <v>0.05</v>
      </c>
      <c r="K18" s="142">
        <v>0.05</v>
      </c>
      <c r="L18" s="147">
        <v>0.05</v>
      </c>
      <c r="M18" s="147">
        <v>0</v>
      </c>
    </row>
    <row r="19" spans="2:13">
      <c r="B19" s="399" t="s">
        <v>238</v>
      </c>
      <c r="C19" s="150" t="s">
        <v>239</v>
      </c>
      <c r="D19" s="151" t="s">
        <v>240</v>
      </c>
      <c r="E19" s="14" t="s">
        <v>48</v>
      </c>
      <c r="F19" s="4"/>
      <c r="G19" s="140">
        <v>0.95</v>
      </c>
      <c r="H19" s="140"/>
      <c r="I19" s="142"/>
      <c r="J19" s="142"/>
      <c r="K19" s="152"/>
      <c r="L19" s="147"/>
      <c r="M19" s="147"/>
    </row>
    <row r="20" spans="2:13">
      <c r="B20" s="400"/>
      <c r="C20" s="388" t="s">
        <v>35</v>
      </c>
      <c r="D20" s="391" t="s">
        <v>241</v>
      </c>
      <c r="E20" s="14" t="s">
        <v>242</v>
      </c>
      <c r="F20" s="4"/>
      <c r="G20" s="140">
        <v>28</v>
      </c>
      <c r="H20" s="140"/>
      <c r="I20" s="141"/>
      <c r="J20" s="142"/>
      <c r="K20" s="152"/>
      <c r="L20" s="143"/>
      <c r="M20" s="143"/>
    </row>
    <row r="21" spans="2:13">
      <c r="B21" s="400"/>
      <c r="C21" s="389"/>
      <c r="D21" s="392"/>
      <c r="E21" s="224" t="s">
        <v>301</v>
      </c>
      <c r="F21" s="4"/>
      <c r="G21" s="140"/>
      <c r="H21" s="140"/>
      <c r="I21" s="141"/>
      <c r="J21" s="142"/>
      <c r="K21" s="152"/>
      <c r="L21" s="143"/>
      <c r="M21" s="143"/>
    </row>
    <row r="22" spans="2:13">
      <c r="B22" s="400"/>
      <c r="C22" s="389"/>
      <c r="D22" s="391" t="s">
        <v>243</v>
      </c>
      <c r="E22" s="14" t="s">
        <v>244</v>
      </c>
      <c r="F22" s="4"/>
      <c r="G22" s="140">
        <v>55</v>
      </c>
      <c r="H22" s="140"/>
      <c r="I22" s="141"/>
      <c r="J22" s="142"/>
      <c r="K22" s="152"/>
      <c r="L22" s="143"/>
      <c r="M22" s="143"/>
    </row>
    <row r="23" spans="2:13">
      <c r="B23" s="400"/>
      <c r="C23" s="390"/>
      <c r="D23" s="392"/>
      <c r="E23" s="225" t="s">
        <v>294</v>
      </c>
      <c r="F23" s="156"/>
      <c r="G23" s="157">
        <v>0.95</v>
      </c>
      <c r="H23" s="140"/>
      <c r="I23" s="142"/>
      <c r="J23" s="142"/>
      <c r="K23" s="152"/>
      <c r="L23" s="147"/>
      <c r="M23" s="147"/>
    </row>
    <row r="24" spans="2:13">
      <c r="B24" s="400"/>
      <c r="C24" s="388" t="s">
        <v>146</v>
      </c>
      <c r="D24" s="391" t="s">
        <v>245</v>
      </c>
      <c r="E24" s="155" t="s">
        <v>246</v>
      </c>
      <c r="F24" s="156"/>
      <c r="G24" s="157">
        <v>0.95</v>
      </c>
      <c r="H24" s="140"/>
      <c r="I24" s="142"/>
      <c r="J24" s="142"/>
      <c r="K24" s="152"/>
      <c r="L24" s="147"/>
      <c r="M24" s="147"/>
    </row>
    <row r="25" spans="2:13">
      <c r="B25" s="400"/>
      <c r="C25" s="390"/>
      <c r="D25" s="392"/>
      <c r="E25" s="155" t="s">
        <v>247</v>
      </c>
      <c r="F25" s="156"/>
      <c r="G25" s="157">
        <v>0</v>
      </c>
      <c r="H25" s="140"/>
      <c r="I25" s="142"/>
      <c r="J25" s="142"/>
      <c r="K25" s="142"/>
      <c r="L25" s="147"/>
      <c r="M25" s="147"/>
    </row>
    <row r="26" spans="2:13">
      <c r="B26" s="400"/>
      <c r="C26" s="234"/>
      <c r="D26" s="235"/>
      <c r="E26" s="224" t="s">
        <v>295</v>
      </c>
      <c r="F26" s="156"/>
      <c r="G26" s="157"/>
      <c r="H26" s="140"/>
      <c r="I26" s="142"/>
      <c r="J26" s="142"/>
      <c r="K26" s="142"/>
      <c r="L26" s="147"/>
      <c r="M26" s="147"/>
    </row>
    <row r="27" spans="2:13">
      <c r="B27" s="400"/>
      <c r="C27" s="234"/>
      <c r="D27" s="235"/>
      <c r="E27" s="224" t="s">
        <v>297</v>
      </c>
      <c r="F27" s="156"/>
      <c r="G27" s="157"/>
      <c r="H27" s="140"/>
      <c r="I27" s="142"/>
      <c r="J27" s="142"/>
      <c r="K27" s="142"/>
      <c r="L27" s="147"/>
      <c r="M27" s="147"/>
    </row>
    <row r="28" spans="2:13">
      <c r="B28" s="401"/>
      <c r="C28" s="150" t="s">
        <v>248</v>
      </c>
      <c r="D28" s="151" t="s">
        <v>249</v>
      </c>
      <c r="E28" s="151" t="s">
        <v>250</v>
      </c>
      <c r="F28" s="156"/>
      <c r="G28" s="157">
        <v>0.7</v>
      </c>
      <c r="H28" s="140"/>
      <c r="I28" s="142"/>
      <c r="J28" s="142"/>
      <c r="K28" s="142"/>
      <c r="L28" s="147"/>
      <c r="M28" s="147"/>
    </row>
    <row r="29" spans="2:13" ht="66" hidden="1">
      <c r="B29" s="408" t="s">
        <v>251</v>
      </c>
      <c r="C29" s="232" t="s">
        <v>252</v>
      </c>
      <c r="D29" s="159" t="s">
        <v>253</v>
      </c>
      <c r="E29" s="160" t="s">
        <v>254</v>
      </c>
      <c r="F29" s="4"/>
      <c r="G29" s="140" t="s">
        <v>265</v>
      </c>
      <c r="H29" s="140"/>
      <c r="I29" s="141"/>
      <c r="J29" s="142"/>
      <c r="K29" s="142"/>
      <c r="L29" s="144"/>
      <c r="M29" s="143"/>
    </row>
    <row r="30" spans="2:13" ht="26.4" hidden="1">
      <c r="B30" s="408"/>
      <c r="C30" s="409" t="s">
        <v>34</v>
      </c>
      <c r="D30" s="159" t="s">
        <v>255</v>
      </c>
      <c r="E30" s="70" t="s">
        <v>53</v>
      </c>
      <c r="F30" s="4"/>
      <c r="G30" s="140" t="s">
        <v>266</v>
      </c>
      <c r="H30" s="140"/>
      <c r="I30" s="163"/>
      <c r="J30" s="164"/>
      <c r="K30" s="164"/>
      <c r="L30" s="165"/>
      <c r="M30" s="166"/>
    </row>
    <row r="31" spans="2:13" ht="39.6" hidden="1">
      <c r="B31" s="408"/>
      <c r="C31" s="409"/>
      <c r="D31" s="169" t="s">
        <v>256</v>
      </c>
      <c r="E31" s="70" t="s">
        <v>54</v>
      </c>
      <c r="F31" s="4"/>
      <c r="G31" s="140" t="s">
        <v>267</v>
      </c>
      <c r="H31" s="140"/>
      <c r="I31" s="163"/>
      <c r="J31" s="164"/>
      <c r="K31" s="164"/>
      <c r="L31" s="165"/>
      <c r="M31" s="166"/>
    </row>
    <row r="32" spans="2:13" hidden="1">
      <c r="B32" s="408"/>
      <c r="C32" s="409" t="s">
        <v>257</v>
      </c>
      <c r="D32" s="159" t="s">
        <v>258</v>
      </c>
      <c r="E32" s="70" t="s">
        <v>259</v>
      </c>
      <c r="F32" s="4"/>
      <c r="G32" s="140">
        <v>3</v>
      </c>
      <c r="H32" s="140"/>
      <c r="I32" s="163"/>
      <c r="J32" s="164"/>
      <c r="K32" s="164"/>
      <c r="L32" s="167"/>
      <c r="M32" s="166"/>
    </row>
    <row r="33" spans="2:13" hidden="1">
      <c r="B33" s="408"/>
      <c r="C33" s="409"/>
      <c r="D33" s="159" t="s">
        <v>260</v>
      </c>
      <c r="E33" s="70" t="s">
        <v>261</v>
      </c>
      <c r="F33" s="4"/>
      <c r="G33" s="140">
        <v>3</v>
      </c>
      <c r="H33" s="140"/>
      <c r="I33" s="163"/>
      <c r="J33" s="164"/>
      <c r="K33" s="164"/>
      <c r="L33" s="165"/>
      <c r="M33" s="166"/>
    </row>
    <row r="34" spans="2:13" ht="26.4" hidden="1">
      <c r="B34" s="408"/>
      <c r="C34" s="409"/>
      <c r="D34" s="159" t="s">
        <v>262</v>
      </c>
      <c r="E34" s="70" t="s">
        <v>263</v>
      </c>
      <c r="F34" s="4"/>
      <c r="G34" s="140">
        <v>3</v>
      </c>
      <c r="H34" s="140"/>
      <c r="I34" s="163"/>
      <c r="J34" s="164"/>
      <c r="K34" s="164"/>
      <c r="L34" s="167"/>
      <c r="M34" s="166"/>
    </row>
  </sheetData>
  <autoFilter ref="B7:M34"/>
  <mergeCells count="27">
    <mergeCell ref="I1:M1"/>
    <mergeCell ref="B2:C2"/>
    <mergeCell ref="I2:M2"/>
    <mergeCell ref="I3:M3"/>
    <mergeCell ref="B5:B6"/>
    <mergeCell ref="C5:C6"/>
    <mergeCell ref="D5:D6"/>
    <mergeCell ref="E5:E6"/>
    <mergeCell ref="F5:F7"/>
    <mergeCell ref="G5:G7"/>
    <mergeCell ref="I6:M6"/>
    <mergeCell ref="I5:M5"/>
    <mergeCell ref="H5:H7"/>
    <mergeCell ref="B9:B18"/>
    <mergeCell ref="C9:C12"/>
    <mergeCell ref="D9:D11"/>
    <mergeCell ref="C13:C18"/>
    <mergeCell ref="D13:D15"/>
    <mergeCell ref="D20:D21"/>
    <mergeCell ref="D22:D23"/>
    <mergeCell ref="C24:C25"/>
    <mergeCell ref="D24:D25"/>
    <mergeCell ref="B29:B34"/>
    <mergeCell ref="C30:C31"/>
    <mergeCell ref="C32:C34"/>
    <mergeCell ref="B19:B28"/>
    <mergeCell ref="C20:C23"/>
  </mergeCells>
  <conditionalFormatting sqref="F1:G1">
    <cfRule type="duplicateValues" dxfId="13" priority="89"/>
  </conditionalFormatting>
  <conditionalFormatting sqref="F9:H34">
    <cfRule type="expression" dxfId="12" priority="88">
      <formula>F9=0</formula>
    </cfRule>
  </conditionalFormatting>
  <conditionalFormatting sqref="J29:K34 J19:J28">
    <cfRule type="expression" dxfId="11" priority="87">
      <formula>J19&gt;0</formula>
    </cfRule>
  </conditionalFormatting>
  <conditionalFormatting sqref="K29:K34">
    <cfRule type="expression" dxfId="10" priority="84">
      <formula>K29&lt;&gt;J29</formula>
    </cfRule>
  </conditionalFormatting>
  <conditionalFormatting sqref="K29:K34">
    <cfRule type="expression" dxfId="9" priority="83">
      <formula>K29&lt;&gt;J29</formula>
    </cfRule>
  </conditionalFormatting>
  <conditionalFormatting sqref="K9:K28">
    <cfRule type="expression" dxfId="8" priority="6">
      <formula>K9&gt;0</formula>
    </cfRule>
  </conditionalFormatting>
  <conditionalFormatting sqref="K9:K28">
    <cfRule type="expression" dxfId="7" priority="5">
      <formula>K9&lt;&gt;J9</formula>
    </cfRule>
  </conditionalFormatting>
  <conditionalFormatting sqref="K9:K28">
    <cfRule type="expression" dxfId="6" priority="4">
      <formula>K9&lt;&gt;J9</formula>
    </cfRule>
  </conditionalFormatting>
  <conditionalFormatting sqref="J9:J18">
    <cfRule type="expression" dxfId="5" priority="3">
      <formula>J9&gt;0</formula>
    </cfRule>
  </conditionalFormatting>
  <conditionalFormatting sqref="J9:J18">
    <cfRule type="expression" dxfId="4" priority="2">
      <formula>J9&lt;&gt;I9</formula>
    </cfRule>
  </conditionalFormatting>
  <conditionalFormatting sqref="J9:J18">
    <cfRule type="expression" dxfId="3" priority="1">
      <formula>J9&lt;&gt;I9</formula>
    </cfRule>
  </conditionalFormatting>
  <conditionalFormatting sqref="I5">
    <cfRule type="duplicateValues" dxfId="2" priority="1521"/>
  </conditionalFormatting>
  <conditionalFormatting sqref="F35:H1048576 H1 F2:H3 F4 H4 J4 L4">
    <cfRule type="duplicateValues" dxfId="1" priority="1522"/>
  </conditionalFormatting>
  <dataValidations count="2">
    <dataValidation type="list" allowBlank="1" showInputMessage="1" showErrorMessage="1" sqref="E2">
      <formula1>"FIT AVN,FIT Telematic,ST AVN,ST Telematic,SWT AVN"</formula1>
    </dataValidation>
    <dataValidation type="list" allowBlank="1" showInputMessage="1" showErrorMessage="1" sqref="I3:M3">
      <formula1>"Junior,Senior,Test Leader"</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[3]Reference!#REF!</xm:f>
          </x14:formula1>
          <xm:sqref>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15"/>
  <sheetViews>
    <sheetView showGridLines="0" zoomScale="80" zoomScaleNormal="80" workbookViewId="0">
      <selection activeCell="B9" sqref="B9"/>
    </sheetView>
  </sheetViews>
  <sheetFormatPr defaultRowHeight="14.4"/>
  <cols>
    <col min="1" max="1" width="48" customWidth="1"/>
    <col min="2" max="4" width="7" customWidth="1"/>
    <col min="5" max="5" width="25.109375" customWidth="1"/>
    <col min="6" max="11" width="17.109375" customWidth="1"/>
    <col min="12" max="12" width="9" customWidth="1"/>
    <col min="13" max="15" width="22.44140625" customWidth="1"/>
    <col min="16" max="16" width="9" customWidth="1"/>
    <col min="17" max="22" width="23.44140625" customWidth="1"/>
    <col min="23" max="23" width="14.33203125" customWidth="1"/>
    <col min="24" max="24" width="9" customWidth="1"/>
  </cols>
  <sheetData>
    <row r="1" spans="1:26" ht="17.399999999999999">
      <c r="A1" s="99"/>
      <c r="B1" s="419" t="s">
        <v>200</v>
      </c>
      <c r="C1" s="419"/>
      <c r="D1" s="419"/>
      <c r="E1" s="420"/>
      <c r="F1" s="416" t="s">
        <v>201</v>
      </c>
      <c r="G1" s="416"/>
      <c r="H1" s="416"/>
      <c r="I1" s="416"/>
      <c r="J1" s="416"/>
      <c r="K1" s="416"/>
      <c r="L1" s="416"/>
      <c r="M1" s="416"/>
      <c r="N1" s="417" t="s">
        <v>202</v>
      </c>
      <c r="O1" s="417"/>
      <c r="P1" s="417"/>
      <c r="Q1" s="417"/>
      <c r="R1" s="417"/>
      <c r="S1" s="418" t="s">
        <v>203</v>
      </c>
      <c r="T1" s="418"/>
      <c r="U1" s="418"/>
      <c r="V1" s="418"/>
      <c r="W1" s="418"/>
      <c r="X1" s="418"/>
      <c r="Y1" s="418"/>
      <c r="Z1" s="418"/>
    </row>
    <row r="2" spans="1:26" ht="99.6" customHeight="1">
      <c r="A2" s="99" t="s">
        <v>366</v>
      </c>
      <c r="B2" s="99" t="s">
        <v>1</v>
      </c>
      <c r="C2" s="99" t="s">
        <v>145</v>
      </c>
      <c r="D2" s="99" t="s">
        <v>204</v>
      </c>
      <c r="E2" s="100" t="s">
        <v>2</v>
      </c>
      <c r="F2" s="101" t="s">
        <v>205</v>
      </c>
      <c r="G2" s="101" t="s">
        <v>206</v>
      </c>
      <c r="H2" s="101" t="s">
        <v>207</v>
      </c>
      <c r="I2" s="101" t="s">
        <v>208</v>
      </c>
      <c r="J2" s="101" t="s">
        <v>209</v>
      </c>
      <c r="K2" s="101" t="s">
        <v>210</v>
      </c>
      <c r="L2" s="102" t="s">
        <v>367</v>
      </c>
      <c r="M2" s="102" t="s">
        <v>211</v>
      </c>
      <c r="N2" s="421" t="s">
        <v>368</v>
      </c>
      <c r="O2" s="103" t="s">
        <v>369</v>
      </c>
      <c r="P2" s="103" t="s">
        <v>370</v>
      </c>
      <c r="Q2" s="104" t="s">
        <v>367</v>
      </c>
      <c r="R2" s="104" t="s">
        <v>371</v>
      </c>
      <c r="S2" s="105" t="s">
        <v>372</v>
      </c>
      <c r="T2" s="105" t="s">
        <v>373</v>
      </c>
      <c r="U2" s="105" t="s">
        <v>374</v>
      </c>
      <c r="V2" s="105" t="s">
        <v>375</v>
      </c>
      <c r="W2" s="105" t="s">
        <v>376</v>
      </c>
      <c r="X2" s="105" t="s">
        <v>377</v>
      </c>
      <c r="Y2" s="422" t="s">
        <v>367</v>
      </c>
      <c r="Z2" s="106" t="s">
        <v>211</v>
      </c>
    </row>
    <row r="3" spans="1:26">
      <c r="A3" s="5" t="s">
        <v>380</v>
      </c>
      <c r="B3" s="423" t="e">
        <f>COUNTIF('[4]Survey list'!$B$2:$B$211,'[4]Summary 2020'!A5)</f>
        <v>#VALUE!</v>
      </c>
      <c r="C3" s="107" t="e">
        <f>COUNTIFS('[4]Survey raw data_2020HoanThanh'!$B:$B,'[4]Summary 2020'!A5)</f>
        <v>#VALUE!</v>
      </c>
      <c r="D3" s="107" t="e">
        <f t="shared" ref="D3:D15" si="0">C3-B3</f>
        <v>#VALUE!</v>
      </c>
      <c r="E3" s="108"/>
      <c r="F3" s="109" t="str">
        <f>IFERROR(AVERAGEIF('[4]Survey raw data_2020HoanThanh'!$B$2:$B$296,'[4]Summary 2020'!A5,'[4]Survey raw data_2020HoanThanh'!$E$2:$E$296),"")</f>
        <v/>
      </c>
      <c r="G3" s="109" t="str">
        <f>IFERROR(AVERAGEIF('[4]Survey raw data_2020HoanThanh'!$B$2:$B$296,'[4]Summary 2020'!A5,'[4]Survey raw data_2020HoanThanh'!$F$2:$F$296),"")</f>
        <v/>
      </c>
      <c r="H3" s="109" t="str">
        <f>IFERROR(AVERAGEIF('[4]Survey raw data_2020HoanThanh'!$B$2:$B$296,'[4]Summary 2020'!A5,'[4]Survey raw data_2020HoanThanh'!$G$2:$G$296),"")</f>
        <v/>
      </c>
      <c r="I3" s="7" t="str">
        <f>IFERROR(AVERAGEIF('[4]Survey raw data_2020HoanThanh'!$B$2:$B$296,'[4]Summary 2020'!A5,'[4]Survey raw data_2020HoanThanh'!$H$2:$H$195),"")</f>
        <v/>
      </c>
      <c r="J3" s="7" t="str">
        <f>IFERROR(AVERAGEIF('[4]Survey raw data_2020HoanThanh'!$B$2:$B$296,'[4]Summary 2020'!A5,'[4]Survey raw data_2020HoanThanh'!$I$2:$I$296),"")</f>
        <v/>
      </c>
      <c r="K3" s="109" t="str">
        <f>IFERROR(AVERAGEIF('[4]Survey raw data_2020HoanThanh'!$B$2:$B$296,'[4]Summary 2020'!A5,'[4]Survey raw data_2020HoanThanh'!$J$2:$J$296),"")</f>
        <v/>
      </c>
      <c r="L3" s="424"/>
      <c r="M3" s="110" t="str">
        <f t="shared" ref="M3:M15" si="1">IFERROR(AVERAGE(F3:K3),"Check")</f>
        <v>Check</v>
      </c>
      <c r="N3" s="109" t="str">
        <f>IFERROR(AVERAGEIF('[4]Survey raw data_2020HoanThanh'!$B$2:$B$296,'[4]Summary 2020'!A5,'[4]Survey raw data_2020HoanThanh'!$P$2:$P$296),"")</f>
        <v/>
      </c>
      <c r="O3" s="109" t="str">
        <f>IFERROR(AVERAGEIF('[4]Survey raw data_2020HoanThanh'!$B$2:$B$296,'[4]Summary 2020'!A5,'[4]Survey raw data_2020HoanThanh'!$Q$2:$Q$296),"")</f>
        <v/>
      </c>
      <c r="P3" s="109" t="str">
        <f>IFERROR(AVERAGEIF('[4]Survey raw data_2020HoanThanh'!$B$2:$B$296,'[4]Summary 2020'!A5,'[4]Survey raw data_2020HoanThanh'!$R$2:RT$296),"")</f>
        <v/>
      </c>
      <c r="Q3" s="425"/>
      <c r="R3" s="111" t="str">
        <f t="shared" ref="R3:R15" si="2">IFERROR(AVERAGE(N3:P3),"Check")</f>
        <v>Check</v>
      </c>
      <c r="S3" s="109" t="str">
        <f>IFERROR(AVERAGEIF('[4]Survey raw data_2020HoanThanh'!$B$2:$B$296,'[4]Summary 2020'!A5,'[4]Survey raw data_2020HoanThanh'!$Z$2:$Z$296),"")</f>
        <v/>
      </c>
      <c r="T3" s="109" t="str">
        <f>IFERROR(AVERAGEIF('[4]Survey raw data_2020HoanThanh'!$B$2:$B$291,'[4]Summary 2020'!A5,'[4]Survey raw data_2020HoanThanh'!$AA$2:$AA$291),"")</f>
        <v/>
      </c>
      <c r="U3" s="109" t="str">
        <f>IFERROR(AVERAGEIF('[4]Survey raw data_2020HoanThanh'!$B$2:$B$296,'[4]Summary 2020'!A5,'[4]Survey raw data_2020HoanThanh'!$AB$2:$AB$296),"")</f>
        <v/>
      </c>
      <c r="V3" s="109" t="str">
        <f>IFERROR(AVERAGEIF('[4]Survey raw data_2020HoanThanh'!$B$2:$B$291,'[4]Summary 2020'!A5,'[4]Survey raw data_2020HoanThanh'!$AC$2:$AC$291),"")</f>
        <v/>
      </c>
      <c r="W3" s="109" t="str">
        <f>IFERROR(AVERAGEIF('[4]Survey raw data_2020HoanThanh'!$B$2:$B$291,'[4]Summary 2020'!A5,'[4]Survey raw data_2020HoanThanh'!$AD$2:$AD$291),"")</f>
        <v/>
      </c>
      <c r="X3" s="109" t="str">
        <f>IFERROR(AVERAGEIF('[4]Survey raw data_2020HoanThanh'!$B$2:$B$291,'[4]Summary 2020'!A5,'[4]Survey raw data_2020HoanThanh'!$AE$2:$AE$291),"")</f>
        <v/>
      </c>
      <c r="Y3" s="112"/>
      <c r="Z3" s="112" t="str">
        <f t="shared" ref="Z3:Z15" si="3">IFERROR(AVERAGE(S3:X3),"Check")</f>
        <v>Check</v>
      </c>
    </row>
    <row r="4" spans="1:26">
      <c r="A4" s="5" t="s">
        <v>385</v>
      </c>
      <c r="B4" s="423" t="e">
        <f>COUNTIF('[4]Survey list'!$B$2:$B$211,'[4]Summary 2020'!A11)</f>
        <v>#VALUE!</v>
      </c>
      <c r="C4" s="107" t="e">
        <f>COUNTIFS('[4]Survey raw data_2020HoanThanh'!$B:$B,'[4]Summary 2020'!A11)</f>
        <v>#VALUE!</v>
      </c>
      <c r="D4" s="107" t="e">
        <f t="shared" si="0"/>
        <v>#VALUE!</v>
      </c>
      <c r="E4" s="108"/>
      <c r="F4" s="109" t="str">
        <f>IFERROR(AVERAGEIF('[4]Survey raw data_2020HoanThanh'!$B$2:$B$296,'[4]Summary 2020'!A11,'[4]Survey raw data_2020HoanThanh'!$E$2:$E$296),"")</f>
        <v/>
      </c>
      <c r="G4" s="109" t="str">
        <f>IFERROR(AVERAGEIF('[4]Survey raw data_2020HoanThanh'!$B$2:$B$296,'[4]Summary 2020'!A11,'[4]Survey raw data_2020HoanThanh'!$F$2:$F$296),"")</f>
        <v/>
      </c>
      <c r="H4" s="109" t="str">
        <f>IFERROR(AVERAGEIF('[4]Survey raw data_2020HoanThanh'!$B$2:$B$296,'[4]Summary 2020'!A11,'[4]Survey raw data_2020HoanThanh'!$G$2:$G$296),"")</f>
        <v/>
      </c>
      <c r="I4" s="7" t="str">
        <f>IFERROR(AVERAGEIF('[4]Survey raw data_2020HoanThanh'!$B$2:$B$296,'[4]Summary 2020'!A11,'[4]Survey raw data_2020HoanThanh'!$H$2:$H$195),"")</f>
        <v/>
      </c>
      <c r="J4" s="7" t="str">
        <f>IFERROR(AVERAGEIF('[4]Survey raw data_2020HoanThanh'!$B$2:$B$296,'[4]Summary 2020'!A11,'[4]Survey raw data_2020HoanThanh'!$I$2:$I$296),"")</f>
        <v/>
      </c>
      <c r="K4" s="109" t="str">
        <f>IFERROR(AVERAGEIF('[4]Survey raw data_2020HoanThanh'!$B$2:$B$296,'[4]Summary 2020'!A11,'[4]Survey raw data_2020HoanThanh'!$J$2:$J$296),"")</f>
        <v/>
      </c>
      <c r="L4" s="424"/>
      <c r="M4" s="110" t="str">
        <f t="shared" si="1"/>
        <v>Check</v>
      </c>
      <c r="N4" s="109" t="str">
        <f>IFERROR(AVERAGEIF('[4]Survey raw data_2020HoanThanh'!$B$2:$B$296,'[4]Summary 2020'!A11,'[4]Survey raw data_2020HoanThanh'!$P$2:$P$296),"")</f>
        <v/>
      </c>
      <c r="O4" s="109" t="str">
        <f>IFERROR(AVERAGEIF('[4]Survey raw data_2020HoanThanh'!$B$2:$B$296,'[4]Summary 2020'!A11,'[4]Survey raw data_2020HoanThanh'!$Q$2:$Q$296),"")</f>
        <v/>
      </c>
      <c r="P4" s="109" t="str">
        <f>IFERROR(AVERAGEIF('[4]Survey raw data_2020HoanThanh'!$B$2:$B$296,'[4]Summary 2020'!A11,'[4]Survey raw data_2020HoanThanh'!$R$2:RT$296),"")</f>
        <v/>
      </c>
      <c r="Q4" s="425"/>
      <c r="R4" s="111" t="str">
        <f t="shared" si="2"/>
        <v>Check</v>
      </c>
      <c r="S4" s="109" t="str">
        <f>IFERROR(AVERAGEIF('[4]Survey raw data_2020HoanThanh'!$B$2:$B$296,'[4]Summary 2020'!A11,'[4]Survey raw data_2020HoanThanh'!$Z$2:$Z$296),"")</f>
        <v/>
      </c>
      <c r="T4" s="109" t="str">
        <f>IFERROR(AVERAGEIF('[4]Survey raw data_2020HoanThanh'!$B$2:$B$291,'[4]Summary 2020'!A11,'[4]Survey raw data_2020HoanThanh'!$AA$2:$AA$291),"")</f>
        <v/>
      </c>
      <c r="U4" s="109" t="str">
        <f>IFERROR(AVERAGEIF('[4]Survey raw data_2020HoanThanh'!$B$2:$B$296,'[4]Summary 2020'!A11,'[4]Survey raw data_2020HoanThanh'!$AB$2:$AB$296),"")</f>
        <v/>
      </c>
      <c r="V4" s="109" t="str">
        <f>IFERROR(AVERAGEIF('[4]Survey raw data_2020HoanThanh'!$B$2:$B$291,'[4]Summary 2020'!A11,'[4]Survey raw data_2020HoanThanh'!$AC$2:$AC$291),"")</f>
        <v/>
      </c>
      <c r="W4" s="109" t="str">
        <f>IFERROR(AVERAGEIF('[4]Survey raw data_2020HoanThanh'!$B$2:$B$291,'[4]Summary 2020'!A11,'[4]Survey raw data_2020HoanThanh'!$AD$2:$AD$291),"")</f>
        <v/>
      </c>
      <c r="X4" s="109" t="str">
        <f>IFERROR(AVERAGEIF('[4]Survey raw data_2020HoanThanh'!$B$2:$B$291,'[4]Summary 2020'!A11,'[4]Survey raw data_2020HoanThanh'!$AE$2:$AE$291),"")</f>
        <v/>
      </c>
      <c r="Y4" s="112"/>
      <c r="Z4" s="112" t="str">
        <f t="shared" si="3"/>
        <v>Check</v>
      </c>
    </row>
    <row r="5" spans="1:26">
      <c r="A5" s="5" t="s">
        <v>390</v>
      </c>
      <c r="B5" s="423" t="e">
        <f>COUNTIF('[4]Survey list'!$B$2:$B$211,'[4]Summary 2020'!A17)</f>
        <v>#VALUE!</v>
      </c>
      <c r="C5" s="107" t="e">
        <f>COUNTIFS('[4]Survey raw data_2020HoanThanh'!$B:$B,'[4]Summary 2020'!A17)</f>
        <v>#VALUE!</v>
      </c>
      <c r="D5" s="107" t="e">
        <f t="shared" si="0"/>
        <v>#VALUE!</v>
      </c>
      <c r="E5" s="108"/>
      <c r="F5" s="109" t="str">
        <f>IFERROR(AVERAGEIF('[4]Survey raw data_2020HoanThanh'!$B$2:$B$296,'[4]Summary 2020'!A17,'[4]Survey raw data_2020HoanThanh'!$E$2:$E$296),"")</f>
        <v/>
      </c>
      <c r="G5" s="109" t="str">
        <f>IFERROR(AVERAGEIF('[4]Survey raw data_2020HoanThanh'!$B$2:$B$296,'[4]Summary 2020'!A17,'[4]Survey raw data_2020HoanThanh'!$F$2:$F$296),"")</f>
        <v/>
      </c>
      <c r="H5" s="109" t="str">
        <f>IFERROR(AVERAGEIF('[4]Survey raw data_2020HoanThanh'!$B$2:$B$296,'[4]Summary 2020'!A17,'[4]Survey raw data_2020HoanThanh'!$G$2:$G$296),"")</f>
        <v/>
      </c>
      <c r="I5" s="7" t="str">
        <f>IFERROR(AVERAGEIF('[4]Survey raw data_2020HoanThanh'!$B$2:$B$296,'[4]Summary 2020'!A17,'[4]Survey raw data_2020HoanThanh'!$H$2:$H$195),"")</f>
        <v/>
      </c>
      <c r="J5" s="7" t="str">
        <f>IFERROR(AVERAGEIF('[4]Survey raw data_2020HoanThanh'!$B$2:$B$296,'[4]Summary 2020'!A17,'[4]Survey raw data_2020HoanThanh'!$I$2:$I$296),"")</f>
        <v/>
      </c>
      <c r="K5" s="109" t="str">
        <f>IFERROR(AVERAGEIF('[4]Survey raw data_2020HoanThanh'!$B$2:$B$296,'[4]Summary 2020'!A17,'[4]Survey raw data_2020HoanThanh'!$J$2:$J$296),"")</f>
        <v/>
      </c>
      <c r="L5" s="424"/>
      <c r="M5" s="110" t="str">
        <f t="shared" si="1"/>
        <v>Check</v>
      </c>
      <c r="N5" s="109" t="str">
        <f>IFERROR(AVERAGEIF('[4]Survey raw data_2020HoanThanh'!$B$2:$B$296,'[4]Summary 2020'!A17,'[4]Survey raw data_2020HoanThanh'!$P$2:$P$296),"")</f>
        <v/>
      </c>
      <c r="O5" s="109" t="str">
        <f>IFERROR(AVERAGEIF('[4]Survey raw data_2020HoanThanh'!$B$2:$B$296,'[4]Summary 2020'!A17,'[4]Survey raw data_2020HoanThanh'!$Q$2:$Q$296),"")</f>
        <v/>
      </c>
      <c r="P5" s="109" t="str">
        <f>IFERROR(AVERAGEIF('[4]Survey raw data_2020HoanThanh'!$B$2:$B$296,'[4]Summary 2020'!A17,'[4]Survey raw data_2020HoanThanh'!$R$2:RT$296),"")</f>
        <v/>
      </c>
      <c r="Q5" s="425"/>
      <c r="R5" s="111" t="str">
        <f t="shared" si="2"/>
        <v>Check</v>
      </c>
      <c r="S5" s="109" t="str">
        <f>IFERROR(AVERAGEIF('[4]Survey raw data_2020HoanThanh'!$B$2:$B$296,'[4]Summary 2020'!A17,'[4]Survey raw data_2020HoanThanh'!$Z$2:$Z$296),"")</f>
        <v/>
      </c>
      <c r="T5" s="109" t="str">
        <f>IFERROR(AVERAGEIF('[4]Survey raw data_2020HoanThanh'!$B$2:$B$291,'[4]Summary 2020'!A17,'[4]Survey raw data_2020HoanThanh'!$AA$2:$AA$291),"")</f>
        <v/>
      </c>
      <c r="U5" s="109" t="str">
        <f>IFERROR(AVERAGEIF('[4]Survey raw data_2020HoanThanh'!$B$2:$B$296,'[4]Summary 2020'!A17,'[4]Survey raw data_2020HoanThanh'!$AB$2:$AB$296),"")</f>
        <v/>
      </c>
      <c r="V5" s="109" t="str">
        <f>IFERROR(AVERAGEIF('[4]Survey raw data_2020HoanThanh'!$B$2:$B$291,'[4]Summary 2020'!A17,'[4]Survey raw data_2020HoanThanh'!$AC$2:$AC$291),"")</f>
        <v/>
      </c>
      <c r="W5" s="109" t="str">
        <f>IFERROR(AVERAGEIF('[4]Survey raw data_2020HoanThanh'!$B$2:$B$291,'[4]Summary 2020'!A17,'[4]Survey raw data_2020HoanThanh'!$AD$2:$AD$291),"")</f>
        <v/>
      </c>
      <c r="X5" s="109" t="str">
        <f>IFERROR(AVERAGEIF('[4]Survey raw data_2020HoanThanh'!$B$2:$B$291,'[4]Summary 2020'!A17,'[4]Survey raw data_2020HoanThanh'!$AE$2:$AE$291),"")</f>
        <v/>
      </c>
      <c r="Y5" s="112"/>
      <c r="Z5" s="112" t="str">
        <f t="shared" si="3"/>
        <v>Check</v>
      </c>
    </row>
    <row r="6" spans="1:26">
      <c r="A6" s="5" t="s">
        <v>392</v>
      </c>
      <c r="B6" s="423" t="e">
        <f>COUNTIF('[4]Survey list'!$B$2:$B$211,'[4]Summary 2020'!A21)</f>
        <v>#VALUE!</v>
      </c>
      <c r="C6" s="107" t="e">
        <f>COUNTIFS('[4]Survey raw data_2020HoanThanh'!$B:$B,'[4]Summary 2020'!A21)</f>
        <v>#VALUE!</v>
      </c>
      <c r="D6" s="107" t="e">
        <f t="shared" si="0"/>
        <v>#VALUE!</v>
      </c>
      <c r="E6" s="108"/>
      <c r="F6" s="109" t="str">
        <f>IFERROR(AVERAGEIF('[4]Survey raw data_2020HoanThanh'!$B$2:$B$296,'[4]Summary 2020'!A21,'[4]Survey raw data_2020HoanThanh'!$E$2:$E$296),"")</f>
        <v/>
      </c>
      <c r="G6" s="109" t="str">
        <f>IFERROR(AVERAGEIF('[4]Survey raw data_2020HoanThanh'!$B$2:$B$296,'[4]Summary 2020'!A21,'[4]Survey raw data_2020HoanThanh'!$F$2:$F$296),"")</f>
        <v/>
      </c>
      <c r="H6" s="109" t="str">
        <f>IFERROR(AVERAGEIF('[4]Survey raw data_2020HoanThanh'!$B$2:$B$296,'[4]Summary 2020'!A21,'[4]Survey raw data_2020HoanThanh'!$G$2:$G$296),"")</f>
        <v/>
      </c>
      <c r="I6" s="7" t="str">
        <f>IFERROR(AVERAGEIF('[4]Survey raw data_2020HoanThanh'!$B$2:$B$296,'[4]Summary 2020'!A21,'[4]Survey raw data_2020HoanThanh'!$H$2:$H$195),"")</f>
        <v/>
      </c>
      <c r="J6" s="7" t="str">
        <f>IFERROR(AVERAGEIF('[4]Survey raw data_2020HoanThanh'!$B$2:$B$296,'[4]Summary 2020'!A21,'[4]Survey raw data_2020HoanThanh'!$I$2:$I$296),"")</f>
        <v/>
      </c>
      <c r="K6" s="109" t="str">
        <f>IFERROR(AVERAGEIF('[4]Survey raw data_2020HoanThanh'!$B$2:$B$296,'[4]Summary 2020'!A21,'[4]Survey raw data_2020HoanThanh'!$J$2:$J$296),"")</f>
        <v/>
      </c>
      <c r="L6" s="424"/>
      <c r="M6" s="110" t="str">
        <f t="shared" si="1"/>
        <v>Check</v>
      </c>
      <c r="N6" s="109" t="str">
        <f>IFERROR(AVERAGEIF('[4]Survey raw data_2020HoanThanh'!$B$2:$B$296,'[4]Summary 2020'!A21,'[4]Survey raw data_2020HoanThanh'!$P$2:$P$296),"")</f>
        <v/>
      </c>
      <c r="O6" s="109" t="str">
        <f>IFERROR(AVERAGEIF('[4]Survey raw data_2020HoanThanh'!$B$2:$B$296,'[4]Summary 2020'!A21,'[4]Survey raw data_2020HoanThanh'!$Q$2:$Q$296),"")</f>
        <v/>
      </c>
      <c r="P6" s="109" t="str">
        <f>IFERROR(AVERAGEIF('[4]Survey raw data_2020HoanThanh'!$B$2:$B$296,'[4]Summary 2020'!A21,'[4]Survey raw data_2020HoanThanh'!$R$2:RT$296),"")</f>
        <v/>
      </c>
      <c r="Q6" s="425"/>
      <c r="R6" s="111" t="str">
        <f t="shared" si="2"/>
        <v>Check</v>
      </c>
      <c r="S6" s="109" t="str">
        <f>IFERROR(AVERAGEIF('[4]Survey raw data_2020HoanThanh'!$B$2:$B$296,'[4]Summary 2020'!A21,'[4]Survey raw data_2020HoanThanh'!$Z$2:$Z$296),"")</f>
        <v/>
      </c>
      <c r="T6" s="109" t="str">
        <f>IFERROR(AVERAGEIF('[4]Survey raw data_2020HoanThanh'!$B$2:$B$291,'[4]Summary 2020'!A21,'[4]Survey raw data_2020HoanThanh'!$AA$2:$AA$291),"")</f>
        <v/>
      </c>
      <c r="U6" s="109" t="str">
        <f>IFERROR(AVERAGEIF('[4]Survey raw data_2020HoanThanh'!$B$2:$B$296,'[4]Summary 2020'!A21,'[4]Survey raw data_2020HoanThanh'!$AB$2:$AB$296),"")</f>
        <v/>
      </c>
      <c r="V6" s="109" t="str">
        <f>IFERROR(AVERAGEIF('[4]Survey raw data_2020HoanThanh'!$B$2:$B$291,'[4]Summary 2020'!A21,'[4]Survey raw data_2020HoanThanh'!$AC$2:$AC$291),"")</f>
        <v/>
      </c>
      <c r="W6" s="109" t="str">
        <f>IFERROR(AVERAGEIF('[4]Survey raw data_2020HoanThanh'!$B$2:$B$291,'[4]Summary 2020'!A21,'[4]Survey raw data_2020HoanThanh'!$AD$2:$AD$291),"")</f>
        <v/>
      </c>
      <c r="X6" s="109" t="str">
        <f>IFERROR(AVERAGEIF('[4]Survey raw data_2020HoanThanh'!$B$2:$B$291,'[4]Summary 2020'!A21,'[4]Survey raw data_2020HoanThanh'!$AE$2:$AE$291),"")</f>
        <v/>
      </c>
      <c r="Y6" s="112"/>
      <c r="Z6" s="112" t="str">
        <f t="shared" si="3"/>
        <v>Check</v>
      </c>
    </row>
    <row r="7" spans="1:26">
      <c r="A7" s="5" t="s">
        <v>399</v>
      </c>
      <c r="B7" s="423" t="e">
        <f>COUNTIF('[4]Survey list'!$B$2:$B$211,'[4]Summary 2020'!A32)</f>
        <v>#VALUE!</v>
      </c>
      <c r="C7" s="107" t="e">
        <f>COUNTIFS('[4]Survey raw data_2020HoanThanh'!$B:$B,'[4]Summary 2020'!A32)</f>
        <v>#VALUE!</v>
      </c>
      <c r="D7" s="107" t="e">
        <f t="shared" si="0"/>
        <v>#VALUE!</v>
      </c>
      <c r="E7" s="108"/>
      <c r="F7" s="109" t="str">
        <f>IFERROR(AVERAGEIF('[4]Survey raw data_2020HoanThanh'!$B$2:$B$296,'[4]Summary 2020'!A32,'[4]Survey raw data_2020HoanThanh'!$E$2:$E$296),"")</f>
        <v/>
      </c>
      <c r="G7" s="109" t="str">
        <f>IFERROR(AVERAGEIF('[4]Survey raw data_2020HoanThanh'!$B$2:$B$296,'[4]Summary 2020'!A32,'[4]Survey raw data_2020HoanThanh'!$F$2:$F$296),"")</f>
        <v/>
      </c>
      <c r="H7" s="109" t="str">
        <f>IFERROR(AVERAGEIF('[4]Survey raw data_2020HoanThanh'!$B$2:$B$296,'[4]Summary 2020'!A32,'[4]Survey raw data_2020HoanThanh'!$G$2:$G$296),"")</f>
        <v/>
      </c>
      <c r="I7" s="7" t="str">
        <f>IFERROR(AVERAGEIF('[4]Survey raw data_2020HoanThanh'!$B$2:$B$296,'[4]Summary 2020'!A32,'[4]Survey raw data_2020HoanThanh'!$H$2:$H$195),"")</f>
        <v/>
      </c>
      <c r="J7" s="7" t="str">
        <f>IFERROR(AVERAGEIF('[4]Survey raw data_2020HoanThanh'!$B$2:$B$296,'[4]Summary 2020'!A32,'[4]Survey raw data_2020HoanThanh'!$I$2:$I$296),"")</f>
        <v/>
      </c>
      <c r="K7" s="109" t="str">
        <f>IFERROR(AVERAGEIF('[4]Survey raw data_2020HoanThanh'!$B$2:$B$296,'[4]Summary 2020'!A32,'[4]Survey raw data_2020HoanThanh'!$J$2:$J$296),"")</f>
        <v/>
      </c>
      <c r="L7" s="424"/>
      <c r="M7" s="110" t="str">
        <f t="shared" si="1"/>
        <v>Check</v>
      </c>
      <c r="N7" s="109" t="str">
        <f>IFERROR(AVERAGEIF('[4]Survey raw data_2020HoanThanh'!$B$2:$B$296,'[4]Summary 2020'!A32,'[4]Survey raw data_2020HoanThanh'!$P$2:$P$296),"")</f>
        <v/>
      </c>
      <c r="O7" s="109" t="str">
        <f>IFERROR(AVERAGEIF('[4]Survey raw data_2020HoanThanh'!$B$2:$B$296,'[4]Summary 2020'!A32,'[4]Survey raw data_2020HoanThanh'!$Q$2:$Q$296),"")</f>
        <v/>
      </c>
      <c r="P7" s="109" t="str">
        <f>IFERROR(AVERAGEIF('[4]Survey raw data_2020HoanThanh'!$B$2:$B$296,'[4]Summary 2020'!A32,'[4]Survey raw data_2020HoanThanh'!$R$2:RT$296),"")</f>
        <v/>
      </c>
      <c r="Q7" s="425"/>
      <c r="R7" s="111" t="str">
        <f t="shared" si="2"/>
        <v>Check</v>
      </c>
      <c r="S7" s="109" t="str">
        <f>IFERROR(AVERAGEIF('[4]Survey raw data_2020HoanThanh'!$B$2:$B$296,'[4]Summary 2020'!A32,'[4]Survey raw data_2020HoanThanh'!$Z$2:$Z$296),"")</f>
        <v/>
      </c>
      <c r="T7" s="109" t="str">
        <f>IFERROR(AVERAGEIF('[4]Survey raw data_2020HoanThanh'!$B$2:$B$291,'[4]Summary 2020'!A32,'[4]Survey raw data_2020HoanThanh'!$AA$2:$AA$291),"")</f>
        <v/>
      </c>
      <c r="U7" s="109" t="str">
        <f>IFERROR(AVERAGEIF('[4]Survey raw data_2020HoanThanh'!$B$2:$B$296,'[4]Summary 2020'!A32,'[4]Survey raw data_2020HoanThanh'!$AB$2:$AB$296),"")</f>
        <v/>
      </c>
      <c r="V7" s="109" t="str">
        <f>IFERROR(AVERAGEIF('[4]Survey raw data_2020HoanThanh'!$B$2:$B$291,'[4]Summary 2020'!A32,'[4]Survey raw data_2020HoanThanh'!$AC$2:$AC$291),"")</f>
        <v/>
      </c>
      <c r="W7" s="109" t="str">
        <f>IFERROR(AVERAGEIF('[4]Survey raw data_2020HoanThanh'!$B$2:$B$291,'[4]Summary 2020'!A32,'[4]Survey raw data_2020HoanThanh'!$AD$2:$AD$291),"")</f>
        <v/>
      </c>
      <c r="X7" s="109" t="str">
        <f>IFERROR(AVERAGEIF('[4]Survey raw data_2020HoanThanh'!$B$2:$B$291,'[4]Summary 2020'!A32,'[4]Survey raw data_2020HoanThanh'!$AE$2:$AE$291),"")</f>
        <v/>
      </c>
      <c r="Y7" s="112"/>
      <c r="Z7" s="112" t="str">
        <f t="shared" si="3"/>
        <v>Check</v>
      </c>
    </row>
    <row r="8" spans="1:26">
      <c r="A8" s="5" t="s">
        <v>401</v>
      </c>
      <c r="B8" s="423" t="e">
        <f>COUNTIF('[4]Survey list'!$B$2:$B$211,'[4]Summary 2020'!A34)</f>
        <v>#VALUE!</v>
      </c>
      <c r="C8" s="107" t="e">
        <f>COUNTIFS('[4]Survey raw data_2020HoanThanh'!$B:$B,'[4]Summary 2020'!A34)</f>
        <v>#VALUE!</v>
      </c>
      <c r="D8" s="107" t="e">
        <f t="shared" si="0"/>
        <v>#VALUE!</v>
      </c>
      <c r="E8" s="92"/>
      <c r="F8" s="109" t="str">
        <f>IFERROR(AVERAGEIF('[4]Survey raw data_2020HoanThanh'!$B$2:$B$296,'[4]Summary 2020'!A34,'[4]Survey raw data_2020HoanThanh'!$E$2:$E$296),"")</f>
        <v/>
      </c>
      <c r="G8" s="109" t="str">
        <f>IFERROR(AVERAGEIF('[4]Survey raw data_2020HoanThanh'!$B$2:$B$296,'[4]Summary 2020'!A34,'[4]Survey raw data_2020HoanThanh'!$F$2:$F$296),"")</f>
        <v/>
      </c>
      <c r="H8" s="109" t="str">
        <f>IFERROR(AVERAGEIF('[4]Survey raw data_2020HoanThanh'!$B$2:$B$296,'[4]Summary 2020'!A34,'[4]Survey raw data_2020HoanThanh'!$G$2:$G$296),"")</f>
        <v/>
      </c>
      <c r="I8" s="7" t="str">
        <f>IFERROR(AVERAGEIF('[4]Survey raw data_2020HoanThanh'!$B$2:$B$296,'[4]Summary 2020'!A34,'[4]Survey raw data_2020HoanThanh'!$H$2:$H$195),"")</f>
        <v/>
      </c>
      <c r="J8" s="7" t="str">
        <f>IFERROR(AVERAGEIF('[4]Survey raw data_2020HoanThanh'!$B$2:$B$296,'[4]Summary 2020'!A34,'[4]Survey raw data_2020HoanThanh'!$I$2:$I$296),"")</f>
        <v/>
      </c>
      <c r="K8" s="109" t="str">
        <f>IFERROR(AVERAGEIF('[4]Survey raw data_2020HoanThanh'!$B$2:$B$296,'[4]Summary 2020'!A34,'[4]Survey raw data_2020HoanThanh'!$J$2:$J$296),"")</f>
        <v/>
      </c>
      <c r="L8" s="424"/>
      <c r="M8" s="110" t="str">
        <f t="shared" si="1"/>
        <v>Check</v>
      </c>
      <c r="N8" s="109" t="str">
        <f>IFERROR(AVERAGEIF('[4]Survey raw data_2020HoanThanh'!$B$2:$B$296,'[4]Summary 2020'!A34,'[4]Survey raw data_2020HoanThanh'!$P$2:$P$296),"")</f>
        <v/>
      </c>
      <c r="O8" s="109" t="str">
        <f>IFERROR(AVERAGEIF('[4]Survey raw data_2020HoanThanh'!$B$2:$B$296,'[4]Summary 2020'!A34,'[4]Survey raw data_2020HoanThanh'!$Q$2:$Q$296),"")</f>
        <v/>
      </c>
      <c r="P8" s="109" t="str">
        <f>IFERROR(AVERAGEIF('[4]Survey raw data_2020HoanThanh'!$B$2:$B$296,'[4]Summary 2020'!A34,'[4]Survey raw data_2020HoanThanh'!$R$2:RT$296),"")</f>
        <v/>
      </c>
      <c r="Q8" s="425"/>
      <c r="R8" s="111" t="str">
        <f t="shared" si="2"/>
        <v>Check</v>
      </c>
      <c r="S8" s="109" t="str">
        <f>IFERROR(AVERAGEIF('[4]Survey raw data_2020HoanThanh'!$B$2:$B$296,'[4]Summary 2020'!A34,'[4]Survey raw data_2020HoanThanh'!$Z$2:$Z$296),"")</f>
        <v/>
      </c>
      <c r="T8" s="109" t="str">
        <f>IFERROR(AVERAGEIF('[4]Survey raw data_2020HoanThanh'!$B$2:$B$291,'[4]Summary 2020'!A34,'[4]Survey raw data_2020HoanThanh'!$AA$2:$AA$291),"")</f>
        <v/>
      </c>
      <c r="U8" s="109" t="str">
        <f>IFERROR(AVERAGEIF('[4]Survey raw data_2020HoanThanh'!$B$2:$B$296,'[4]Summary 2020'!A34,'[4]Survey raw data_2020HoanThanh'!$AB$2:$AB$296),"")</f>
        <v/>
      </c>
      <c r="V8" s="109" t="str">
        <f>IFERROR(AVERAGEIF('[4]Survey raw data_2020HoanThanh'!$B$2:$B$291,'[4]Summary 2020'!A34,'[4]Survey raw data_2020HoanThanh'!$AC$2:$AC$291),"")</f>
        <v/>
      </c>
      <c r="W8" s="109" t="str">
        <f>IFERROR(AVERAGEIF('[4]Survey raw data_2020HoanThanh'!$B$2:$B$291,'[4]Summary 2020'!A34,'[4]Survey raw data_2020HoanThanh'!$AD$2:$AD$291),"")</f>
        <v/>
      </c>
      <c r="X8" s="109" t="str">
        <f>IFERROR(AVERAGEIF('[4]Survey raw data_2020HoanThanh'!$B$2:$B$291,'[4]Summary 2020'!A34,'[4]Survey raw data_2020HoanThanh'!$AE$2:$AE$291),"")</f>
        <v/>
      </c>
      <c r="Y8" s="112"/>
      <c r="Z8" s="112" t="str">
        <f t="shared" si="3"/>
        <v>Check</v>
      </c>
    </row>
    <row r="9" spans="1:26">
      <c r="A9" s="5" t="s">
        <v>404</v>
      </c>
      <c r="B9" s="423" t="e">
        <f>COUNTIF('[4]Survey list'!$B$2:$B$211,'[4]Summary 2020'!A37)</f>
        <v>#VALUE!</v>
      </c>
      <c r="C9" s="107" t="e">
        <f>COUNTIFS('[4]Survey raw data_2020HoanThanh'!$B:$B,'[4]Summary 2020'!A37)</f>
        <v>#VALUE!</v>
      </c>
      <c r="D9" s="107" t="e">
        <f t="shared" si="0"/>
        <v>#VALUE!</v>
      </c>
      <c r="E9" s="92"/>
      <c r="F9" s="109" t="str">
        <f>IFERROR(AVERAGEIF('[4]Survey raw data_2020HoanThanh'!$B$2:$B$296,'[4]Summary 2020'!A37,'[4]Survey raw data_2020HoanThanh'!$E$2:$E$296),"")</f>
        <v/>
      </c>
      <c r="G9" s="109" t="str">
        <f>IFERROR(AVERAGEIF('[4]Survey raw data_2020HoanThanh'!$B$2:$B$296,'[4]Summary 2020'!A37,'[4]Survey raw data_2020HoanThanh'!$F$2:$F$296),"")</f>
        <v/>
      </c>
      <c r="H9" s="109" t="str">
        <f>IFERROR(AVERAGEIF('[4]Survey raw data_2020HoanThanh'!$B$2:$B$296,'[4]Summary 2020'!A37,'[4]Survey raw data_2020HoanThanh'!$G$2:$G$296),"")</f>
        <v/>
      </c>
      <c r="I9" s="7" t="str">
        <f>IFERROR(AVERAGEIF('[4]Survey raw data_2020HoanThanh'!$B$2:$B$296,'[4]Summary 2020'!A37,'[4]Survey raw data_2020HoanThanh'!$H$2:$H$195),"")</f>
        <v/>
      </c>
      <c r="J9" s="7" t="str">
        <f>IFERROR(AVERAGEIF('[4]Survey raw data_2020HoanThanh'!$B$2:$B$296,'[4]Summary 2020'!A37,'[4]Survey raw data_2020HoanThanh'!$I$2:$I$296),"")</f>
        <v/>
      </c>
      <c r="K9" s="109" t="str">
        <f>IFERROR(AVERAGEIF('[4]Survey raw data_2020HoanThanh'!$B$2:$B$296,'[4]Summary 2020'!A37,'[4]Survey raw data_2020HoanThanh'!$J$2:$J$296),"")</f>
        <v/>
      </c>
      <c r="L9" s="424"/>
      <c r="M9" s="110" t="str">
        <f t="shared" si="1"/>
        <v>Check</v>
      </c>
      <c r="N9" s="109" t="str">
        <f>IFERROR(AVERAGEIF('[4]Survey raw data_2020HoanThanh'!$B$2:$B$296,'[4]Summary 2020'!A37,'[4]Survey raw data_2020HoanThanh'!$P$2:$P$296),"")</f>
        <v/>
      </c>
      <c r="O9" s="109" t="str">
        <f>IFERROR(AVERAGEIF('[4]Survey raw data_2020HoanThanh'!$B$2:$B$296,'[4]Summary 2020'!A37,'[4]Survey raw data_2020HoanThanh'!$Q$2:$Q$296),"")</f>
        <v/>
      </c>
      <c r="P9" s="109" t="str">
        <f>IFERROR(AVERAGEIF('[4]Survey raw data_2020HoanThanh'!$B$2:$B$296,'[4]Summary 2020'!A37,'[4]Survey raw data_2020HoanThanh'!$R$2:RT$296),"")</f>
        <v/>
      </c>
      <c r="Q9" s="425"/>
      <c r="R9" s="111" t="str">
        <f t="shared" si="2"/>
        <v>Check</v>
      </c>
      <c r="S9" s="109" t="str">
        <f>IFERROR(AVERAGEIF('[4]Survey raw data_2020HoanThanh'!$B$2:$B$296,'[4]Summary 2020'!A37,'[4]Survey raw data_2020HoanThanh'!$Z$2:$Z$296),"")</f>
        <v/>
      </c>
      <c r="T9" s="109" t="str">
        <f>IFERROR(AVERAGEIF('[4]Survey raw data_2020HoanThanh'!$B$2:$B$291,'[4]Summary 2020'!A37,'[4]Survey raw data_2020HoanThanh'!$AA$2:$AA$291),"")</f>
        <v/>
      </c>
      <c r="U9" s="109" t="str">
        <f>IFERROR(AVERAGEIF('[4]Survey raw data_2020HoanThanh'!$B$2:$B$296,'[4]Summary 2020'!A37,'[4]Survey raw data_2020HoanThanh'!$AB$2:$AB$296),"")</f>
        <v/>
      </c>
      <c r="V9" s="109" t="str">
        <f>IFERROR(AVERAGEIF('[4]Survey raw data_2020HoanThanh'!$B$2:$B$291,'[4]Summary 2020'!A37,'[4]Survey raw data_2020HoanThanh'!$AC$2:$AC$291),"")</f>
        <v/>
      </c>
      <c r="W9" s="109" t="str">
        <f>IFERROR(AVERAGEIF('[4]Survey raw data_2020HoanThanh'!$B$2:$B$291,'[4]Summary 2020'!A37,'[4]Survey raw data_2020HoanThanh'!$AD$2:$AD$291),"")</f>
        <v/>
      </c>
      <c r="X9" s="109" t="str">
        <f>IFERROR(AVERAGEIF('[4]Survey raw data_2020HoanThanh'!$B$2:$B$291,'[4]Summary 2020'!A37,'[4]Survey raw data_2020HoanThanh'!$AE$2:$AE$291),"")</f>
        <v/>
      </c>
      <c r="Y9" s="112"/>
      <c r="Z9" s="112" t="str">
        <f t="shared" si="3"/>
        <v>Check</v>
      </c>
    </row>
    <row r="10" spans="1:26">
      <c r="A10" s="5" t="s">
        <v>405</v>
      </c>
      <c r="B10" s="423" t="e">
        <f>COUNTIF('[4]Survey list'!$B$2:$B$211,'[4]Summary 2020'!A38)</f>
        <v>#VALUE!</v>
      </c>
      <c r="C10" s="107" t="e">
        <f>COUNTIFS('[4]Survey raw data_2020HoanThanh'!$B:$B,'[4]Summary 2020'!A38)</f>
        <v>#VALUE!</v>
      </c>
      <c r="D10" s="107" t="e">
        <f t="shared" si="0"/>
        <v>#VALUE!</v>
      </c>
      <c r="E10" s="92"/>
      <c r="F10" s="109" t="str">
        <f>IFERROR(AVERAGEIF('[4]Survey raw data_2020HoanThanh'!$B$2:$B$296,'[4]Summary 2020'!A38,'[4]Survey raw data_2020HoanThanh'!$E$2:$E$296),"")</f>
        <v/>
      </c>
      <c r="G10" s="109" t="str">
        <f>IFERROR(AVERAGEIF('[4]Survey raw data_2020HoanThanh'!$B$2:$B$296,'[4]Summary 2020'!A38,'[4]Survey raw data_2020HoanThanh'!$F$2:$F$296),"")</f>
        <v/>
      </c>
      <c r="H10" s="109" t="str">
        <f>IFERROR(AVERAGEIF('[4]Survey raw data_2020HoanThanh'!$B$2:$B$296,'[4]Summary 2020'!A38,'[4]Survey raw data_2020HoanThanh'!$G$2:$G$296),"")</f>
        <v/>
      </c>
      <c r="I10" s="7" t="str">
        <f>IFERROR(AVERAGEIF('[4]Survey raw data_2020HoanThanh'!$B$2:$B$296,'[4]Summary 2020'!A38,'[4]Survey raw data_2020HoanThanh'!$H$2:$H$195),"")</f>
        <v/>
      </c>
      <c r="J10" s="7" t="str">
        <f>IFERROR(AVERAGEIF('[4]Survey raw data_2020HoanThanh'!$B$2:$B$296,'[4]Summary 2020'!A38,'[4]Survey raw data_2020HoanThanh'!$I$2:$I$296),"")</f>
        <v/>
      </c>
      <c r="K10" s="109" t="str">
        <f>IFERROR(AVERAGEIF('[4]Survey raw data_2020HoanThanh'!$B$2:$B$296,'[4]Summary 2020'!A38,'[4]Survey raw data_2020HoanThanh'!$J$2:$J$296),"")</f>
        <v/>
      </c>
      <c r="L10" s="424"/>
      <c r="M10" s="110" t="str">
        <f t="shared" si="1"/>
        <v>Check</v>
      </c>
      <c r="N10" s="109" t="str">
        <f>IFERROR(AVERAGEIF('[4]Survey raw data_2020HoanThanh'!$B$2:$B$296,'[4]Summary 2020'!A38,'[4]Survey raw data_2020HoanThanh'!$P$2:$P$296),"")</f>
        <v/>
      </c>
      <c r="O10" s="109" t="str">
        <f>IFERROR(AVERAGEIF('[4]Survey raw data_2020HoanThanh'!$B$2:$B$296,'[4]Summary 2020'!A38,'[4]Survey raw data_2020HoanThanh'!$Q$2:$Q$296),"")</f>
        <v/>
      </c>
      <c r="P10" s="109" t="str">
        <f>IFERROR(AVERAGEIF('[4]Survey raw data_2020HoanThanh'!$B$2:$B$296,'[4]Summary 2020'!A38,'[4]Survey raw data_2020HoanThanh'!$R$2:RT$296),"")</f>
        <v/>
      </c>
      <c r="Q10" s="425"/>
      <c r="R10" s="111" t="str">
        <f t="shared" si="2"/>
        <v>Check</v>
      </c>
      <c r="S10" s="109" t="str">
        <f>IFERROR(AVERAGEIF('[4]Survey raw data_2020HoanThanh'!$B$2:$B$296,'[4]Summary 2020'!A38,'[4]Survey raw data_2020HoanThanh'!$Z$2:$Z$296),"")</f>
        <v/>
      </c>
      <c r="T10" s="109" t="str">
        <f>IFERROR(AVERAGEIF('[4]Survey raw data_2020HoanThanh'!$B$2:$B$291,'[4]Summary 2020'!A38,'[4]Survey raw data_2020HoanThanh'!$AA$2:$AA$291),"")</f>
        <v/>
      </c>
      <c r="U10" s="109" t="str">
        <f>IFERROR(AVERAGEIF('[4]Survey raw data_2020HoanThanh'!$B$2:$B$296,'[4]Summary 2020'!A38,'[4]Survey raw data_2020HoanThanh'!$AB$2:$AB$296),"")</f>
        <v/>
      </c>
      <c r="V10" s="109" t="str">
        <f>IFERROR(AVERAGEIF('[4]Survey raw data_2020HoanThanh'!$B$2:$B$291,'[4]Summary 2020'!A38,'[4]Survey raw data_2020HoanThanh'!$AC$2:$AC$291),"")</f>
        <v/>
      </c>
      <c r="W10" s="109" t="str">
        <f>IFERROR(AVERAGEIF('[4]Survey raw data_2020HoanThanh'!$B$2:$B$291,'[4]Summary 2020'!A38,'[4]Survey raw data_2020HoanThanh'!$AD$2:$AD$291),"")</f>
        <v/>
      </c>
      <c r="X10" s="109" t="str">
        <f>IFERROR(AVERAGEIF('[4]Survey raw data_2020HoanThanh'!$B$2:$B$291,'[4]Summary 2020'!A38,'[4]Survey raw data_2020HoanThanh'!$AE$2:$AE$291),"")</f>
        <v/>
      </c>
      <c r="Y10" s="112"/>
      <c r="Z10" s="112" t="str">
        <f t="shared" si="3"/>
        <v>Check</v>
      </c>
    </row>
    <row r="11" spans="1:26">
      <c r="A11" t="s">
        <v>90</v>
      </c>
      <c r="B11" s="423" t="e">
        <f>COUNTIF('[4]Survey list'!$B$2:$B$211,'[4]Summary 2020'!A43)</f>
        <v>#VALUE!</v>
      </c>
      <c r="C11" s="107" t="e">
        <f>COUNTIFS('[4]Survey raw data_2020HoanThanh'!$B:$B,'[4]Summary 2020'!A43)</f>
        <v>#VALUE!</v>
      </c>
      <c r="D11" s="107" t="e">
        <f t="shared" si="0"/>
        <v>#VALUE!</v>
      </c>
      <c r="E11" s="92"/>
      <c r="F11" s="109" t="str">
        <f>IFERROR(AVERAGEIF('[4]Survey raw data_2020HoanThanh'!$B$2:$B$296,'[4]Summary 2020'!A43,'[4]Survey raw data_2020HoanThanh'!$E$2:$E$296),"")</f>
        <v/>
      </c>
      <c r="G11" s="109" t="str">
        <f>IFERROR(AVERAGEIF('[4]Survey raw data_2020HoanThanh'!$B$2:$B$296,'[4]Summary 2020'!A43,'[4]Survey raw data_2020HoanThanh'!$F$2:$F$296),"")</f>
        <v/>
      </c>
      <c r="H11" s="109" t="str">
        <f>IFERROR(AVERAGEIF('[4]Survey raw data_2020HoanThanh'!$B$2:$B$296,'[4]Summary 2020'!A43,'[4]Survey raw data_2020HoanThanh'!$G$2:$G$296),"")</f>
        <v/>
      </c>
      <c r="I11" s="7" t="str">
        <f>IFERROR(AVERAGEIF('[4]Survey raw data_2020HoanThanh'!$B$2:$B$296,'[4]Summary 2020'!A43,'[4]Survey raw data_2020HoanThanh'!$H$2:$H$195),"")</f>
        <v/>
      </c>
      <c r="J11" s="7" t="str">
        <f>IFERROR(AVERAGEIF('[4]Survey raw data_2020HoanThanh'!$B$2:$B$296,'[4]Summary 2020'!A43,'[4]Survey raw data_2020HoanThanh'!$I$2:$I$296),"")</f>
        <v/>
      </c>
      <c r="K11" s="109" t="str">
        <f>IFERROR(AVERAGEIF('[4]Survey raw data_2020HoanThanh'!$B$2:$B$296,'[4]Summary 2020'!A43,'[4]Survey raw data_2020HoanThanh'!$J$2:$J$296),"")</f>
        <v/>
      </c>
      <c r="L11" s="424"/>
      <c r="M11" s="110" t="str">
        <f t="shared" si="1"/>
        <v>Check</v>
      </c>
      <c r="N11" s="109" t="str">
        <f>IFERROR(AVERAGEIF('[4]Survey raw data_2020HoanThanh'!$B$2:$B$296,'[4]Summary 2020'!A43,'[4]Survey raw data_2020HoanThanh'!$P$2:$P$296),"")</f>
        <v/>
      </c>
      <c r="O11" s="109" t="str">
        <f>IFERROR(AVERAGEIF('[4]Survey raw data_2020HoanThanh'!$B$2:$B$296,'[4]Summary 2020'!A43,'[4]Survey raw data_2020HoanThanh'!$Q$2:$Q$296),"")</f>
        <v/>
      </c>
      <c r="P11" s="109" t="str">
        <f>IFERROR(AVERAGEIF('[4]Survey raw data_2020HoanThanh'!$B$2:$B$296,'[4]Summary 2020'!A43,'[4]Survey raw data_2020HoanThanh'!$R$2:RT$296),"")</f>
        <v/>
      </c>
      <c r="Q11" s="425"/>
      <c r="R11" s="111" t="str">
        <f t="shared" si="2"/>
        <v>Check</v>
      </c>
      <c r="S11" s="109" t="str">
        <f>IFERROR(AVERAGEIF('[4]Survey raw data_2020HoanThanh'!$B$2:$B$296,'[4]Summary 2020'!A43,'[4]Survey raw data_2020HoanThanh'!$Z$2:$Z$296),"")</f>
        <v/>
      </c>
      <c r="T11" s="109" t="str">
        <f>IFERROR(AVERAGEIF('[4]Survey raw data_2020HoanThanh'!$B$2:$B$291,'[4]Summary 2020'!A43,'[4]Survey raw data_2020HoanThanh'!$AA$2:$AA$291),"")</f>
        <v/>
      </c>
      <c r="U11" s="109" t="str">
        <f>IFERROR(AVERAGEIF('[4]Survey raw data_2020HoanThanh'!$B$2:$B$296,'[4]Summary 2020'!A43,'[4]Survey raw data_2020HoanThanh'!$AB$2:$AB$296),"")</f>
        <v/>
      </c>
      <c r="V11" s="109" t="str">
        <f>IFERROR(AVERAGEIF('[4]Survey raw data_2020HoanThanh'!$B$2:$B$291,'[4]Summary 2020'!A43,'[4]Survey raw data_2020HoanThanh'!$AC$2:$AC$291),"")</f>
        <v/>
      </c>
      <c r="W11" s="109" t="str">
        <f>IFERROR(AVERAGEIF('[4]Survey raw data_2020HoanThanh'!$B$2:$B$291,'[4]Summary 2020'!A43,'[4]Survey raw data_2020HoanThanh'!$AD$2:$AD$291),"")</f>
        <v/>
      </c>
      <c r="X11" s="109" t="str">
        <f>IFERROR(AVERAGEIF('[4]Survey raw data_2020HoanThanh'!$B$2:$B$291,'[4]Summary 2020'!A43,'[4]Survey raw data_2020HoanThanh'!$AE$2:$AE$291),"")</f>
        <v/>
      </c>
      <c r="Y11" s="112"/>
      <c r="Z11" s="112" t="str">
        <f t="shared" si="3"/>
        <v>Check</v>
      </c>
    </row>
    <row r="12" spans="1:26">
      <c r="A12" t="s">
        <v>409</v>
      </c>
      <c r="B12" s="423" t="e">
        <f>COUNTIF('[4]Survey list'!$B$2:$B$211,'[4]Summary 2020'!A45)</f>
        <v>#VALUE!</v>
      </c>
      <c r="C12" s="107" t="e">
        <f>COUNTIFS('[4]Survey raw data_2020HoanThanh'!$B:$B,'[4]Summary 2020'!A45)</f>
        <v>#VALUE!</v>
      </c>
      <c r="D12" s="107" t="e">
        <f t="shared" si="0"/>
        <v>#VALUE!</v>
      </c>
      <c r="E12" s="92"/>
      <c r="F12" s="109" t="str">
        <f>IFERROR(AVERAGEIF('[4]Survey raw data_2020HoanThanh'!$B$2:$B$296,'[4]Summary 2020'!A45,'[4]Survey raw data_2020HoanThanh'!$E$2:$E$296),"")</f>
        <v/>
      </c>
      <c r="G12" s="109" t="str">
        <f>IFERROR(AVERAGEIF('[4]Survey raw data_2020HoanThanh'!$B$2:$B$296,'[4]Summary 2020'!A45,'[4]Survey raw data_2020HoanThanh'!$F$2:$F$296),"")</f>
        <v/>
      </c>
      <c r="H12" s="109" t="str">
        <f>IFERROR(AVERAGEIF('[4]Survey raw data_2020HoanThanh'!$B$2:$B$296,'[4]Summary 2020'!A45,'[4]Survey raw data_2020HoanThanh'!$G$2:$G$296),"")</f>
        <v/>
      </c>
      <c r="I12" s="7" t="str">
        <f>IFERROR(AVERAGEIF('[4]Survey raw data_2020HoanThanh'!$B$2:$B$296,'[4]Summary 2020'!A45,'[4]Survey raw data_2020HoanThanh'!$H$2:$H$195),"")</f>
        <v/>
      </c>
      <c r="J12" s="7" t="str">
        <f>IFERROR(AVERAGEIF('[4]Survey raw data_2020HoanThanh'!$B$2:$B$296,'[4]Summary 2020'!A45,'[4]Survey raw data_2020HoanThanh'!$I$2:$I$296),"")</f>
        <v/>
      </c>
      <c r="K12" s="109" t="str">
        <f>IFERROR(AVERAGEIF('[4]Survey raw data_2020HoanThanh'!$B$2:$B$296,'[4]Summary 2020'!A45,'[4]Survey raw data_2020HoanThanh'!$J$2:$J$296),"")</f>
        <v/>
      </c>
      <c r="L12" s="424"/>
      <c r="M12" s="110" t="str">
        <f t="shared" si="1"/>
        <v>Check</v>
      </c>
      <c r="N12" s="109" t="str">
        <f>IFERROR(AVERAGEIF('[4]Survey raw data_2020HoanThanh'!$B$2:$B$296,'[4]Summary 2020'!A45,'[4]Survey raw data_2020HoanThanh'!$P$2:$P$296),"")</f>
        <v/>
      </c>
      <c r="O12" s="109" t="str">
        <f>IFERROR(AVERAGEIF('[4]Survey raw data_2020HoanThanh'!$B$2:$B$296,'[4]Summary 2020'!A45,'[4]Survey raw data_2020HoanThanh'!$Q$2:$Q$296),"")</f>
        <v/>
      </c>
      <c r="P12" s="109" t="str">
        <f>IFERROR(AVERAGEIF('[4]Survey raw data_2020HoanThanh'!$B$2:$B$296,'[4]Summary 2020'!A45,'[4]Survey raw data_2020HoanThanh'!$R$2:RT$296),"")</f>
        <v/>
      </c>
      <c r="Q12" s="425"/>
      <c r="R12" s="111" t="str">
        <f t="shared" si="2"/>
        <v>Check</v>
      </c>
      <c r="S12" s="109" t="str">
        <f>IFERROR(AVERAGEIF('[4]Survey raw data_2020HoanThanh'!$B$2:$B$296,'[4]Summary 2020'!A45,'[4]Survey raw data_2020HoanThanh'!$Z$2:$Z$296),"")</f>
        <v/>
      </c>
      <c r="T12" s="109" t="str">
        <f>IFERROR(AVERAGEIF('[4]Survey raw data_2020HoanThanh'!$B$2:$B$291,'[4]Summary 2020'!A45,'[4]Survey raw data_2020HoanThanh'!$AA$2:$AA$291),"")</f>
        <v/>
      </c>
      <c r="U12" s="109" t="str">
        <f>IFERROR(AVERAGEIF('[4]Survey raw data_2020HoanThanh'!$B$2:$B$296,'[4]Summary 2020'!A45,'[4]Survey raw data_2020HoanThanh'!$AB$2:$AB$296),"")</f>
        <v/>
      </c>
      <c r="V12" s="109" t="str">
        <f>IFERROR(AVERAGEIF('[4]Survey raw data_2020HoanThanh'!$B$2:$B$291,'[4]Summary 2020'!A45,'[4]Survey raw data_2020HoanThanh'!$AC$2:$AC$291),"")</f>
        <v/>
      </c>
      <c r="W12" s="109" t="str">
        <f>IFERROR(AVERAGEIF('[4]Survey raw data_2020HoanThanh'!$B$2:$B$291,'[4]Summary 2020'!A45,'[4]Survey raw data_2020HoanThanh'!$AD$2:$AD$291),"")</f>
        <v/>
      </c>
      <c r="X12" s="109" t="str">
        <f>IFERROR(AVERAGEIF('[4]Survey raw data_2020HoanThanh'!$B$2:$B$291,'[4]Summary 2020'!A45,'[4]Survey raw data_2020HoanThanh'!$AE$2:$AE$291),"")</f>
        <v/>
      </c>
      <c r="Y12" s="112"/>
      <c r="Z12" s="112" t="str">
        <f t="shared" si="3"/>
        <v>Check</v>
      </c>
    </row>
    <row r="13" spans="1:26">
      <c r="A13" t="s">
        <v>410</v>
      </c>
      <c r="B13" s="423" t="e">
        <f>COUNTIF('[4]Survey list'!$B$2:$B$211,'[4]Summary 2020'!A46)</f>
        <v>#VALUE!</v>
      </c>
      <c r="C13" s="107" t="e">
        <f>COUNTIFS('[4]Survey raw data_2020HoanThanh'!$B:$B,'[4]Summary 2020'!A46)</f>
        <v>#VALUE!</v>
      </c>
      <c r="D13" s="107" t="e">
        <f t="shared" si="0"/>
        <v>#VALUE!</v>
      </c>
      <c r="E13" s="92"/>
      <c r="F13" s="109" t="str">
        <f>IFERROR(AVERAGEIF('[4]Survey raw data_2020HoanThanh'!$B$2:$B$296,'[4]Summary 2020'!A46,'[4]Survey raw data_2020HoanThanh'!$E$2:$E$296),"")</f>
        <v/>
      </c>
      <c r="G13" s="109" t="str">
        <f>IFERROR(AVERAGEIF('[4]Survey raw data_2020HoanThanh'!$B$2:$B$296,'[4]Summary 2020'!A46,'[4]Survey raw data_2020HoanThanh'!$F$2:$F$296),"")</f>
        <v/>
      </c>
      <c r="H13" s="109" t="str">
        <f>IFERROR(AVERAGEIF('[4]Survey raw data_2020HoanThanh'!$B$2:$B$296,'[4]Summary 2020'!A46,'[4]Survey raw data_2020HoanThanh'!$G$2:$G$296),"")</f>
        <v/>
      </c>
      <c r="I13" s="7" t="str">
        <f>IFERROR(AVERAGEIF('[4]Survey raw data_2020HoanThanh'!$B$2:$B$296,'[4]Summary 2020'!A46,'[4]Survey raw data_2020HoanThanh'!$H$2:$H$195),"")</f>
        <v/>
      </c>
      <c r="J13" s="7" t="str">
        <f>IFERROR(AVERAGEIF('[4]Survey raw data_2020HoanThanh'!$B$2:$B$296,'[4]Summary 2020'!A46,'[4]Survey raw data_2020HoanThanh'!$I$2:$I$296),"")</f>
        <v/>
      </c>
      <c r="K13" s="109" t="str">
        <f>IFERROR(AVERAGEIF('[4]Survey raw data_2020HoanThanh'!$B$2:$B$296,'[4]Summary 2020'!A46,'[4]Survey raw data_2020HoanThanh'!$J$2:$J$296),"")</f>
        <v/>
      </c>
      <c r="L13" s="424"/>
      <c r="M13" s="110" t="str">
        <f t="shared" si="1"/>
        <v>Check</v>
      </c>
      <c r="N13" s="109" t="str">
        <f>IFERROR(AVERAGEIF('[4]Survey raw data_2020HoanThanh'!$B$2:$B$296,'[4]Summary 2020'!A46,'[4]Survey raw data_2020HoanThanh'!$P$2:$P$296),"")</f>
        <v/>
      </c>
      <c r="O13" s="109" t="str">
        <f>IFERROR(AVERAGEIF('[4]Survey raw data_2020HoanThanh'!$B$2:$B$296,'[4]Summary 2020'!A46,'[4]Survey raw data_2020HoanThanh'!$Q$2:$Q$296),"")</f>
        <v/>
      </c>
      <c r="P13" s="109" t="str">
        <f>IFERROR(AVERAGEIF('[4]Survey raw data_2020HoanThanh'!$B$2:$B$296,'[4]Summary 2020'!A46,'[4]Survey raw data_2020HoanThanh'!$R$2:RT$296),"")</f>
        <v/>
      </c>
      <c r="Q13" s="425"/>
      <c r="R13" s="111" t="str">
        <f t="shared" si="2"/>
        <v>Check</v>
      </c>
      <c r="S13" s="109" t="str">
        <f>IFERROR(AVERAGEIF('[4]Survey raw data_2020HoanThanh'!$B$2:$B$296,'[4]Summary 2020'!A46,'[4]Survey raw data_2020HoanThanh'!$Z$2:$Z$296),"")</f>
        <v/>
      </c>
      <c r="T13" s="109" t="str">
        <f>IFERROR(AVERAGEIF('[4]Survey raw data_2020HoanThanh'!$B$2:$B$291,'[4]Summary 2020'!A46,'[4]Survey raw data_2020HoanThanh'!$AA$2:$AA$291),"")</f>
        <v/>
      </c>
      <c r="U13" s="109" t="str">
        <f>IFERROR(AVERAGEIF('[4]Survey raw data_2020HoanThanh'!$B$2:$B$296,'[4]Summary 2020'!A46,'[4]Survey raw data_2020HoanThanh'!$AB$2:$AB$296),"")</f>
        <v/>
      </c>
      <c r="V13" s="109" t="str">
        <f>IFERROR(AVERAGEIF('[4]Survey raw data_2020HoanThanh'!$B$2:$B$291,'[4]Summary 2020'!A46,'[4]Survey raw data_2020HoanThanh'!$AC$2:$AC$291),"")</f>
        <v/>
      </c>
      <c r="W13" s="109" t="str">
        <f>IFERROR(AVERAGEIF('[4]Survey raw data_2020HoanThanh'!$B$2:$B$291,'[4]Summary 2020'!A46,'[4]Survey raw data_2020HoanThanh'!$AD$2:$AD$291),"")</f>
        <v/>
      </c>
      <c r="X13" s="109" t="str">
        <f>IFERROR(AVERAGEIF('[4]Survey raw data_2020HoanThanh'!$B$2:$B$291,'[4]Summary 2020'!A46,'[4]Survey raw data_2020HoanThanh'!$AE$2:$AE$291),"")</f>
        <v/>
      </c>
      <c r="Y13" s="112"/>
      <c r="Z13" s="112" t="str">
        <f t="shared" si="3"/>
        <v>Check</v>
      </c>
    </row>
    <row r="14" spans="1:26">
      <c r="A14" s="5" t="s">
        <v>414</v>
      </c>
      <c r="B14" s="423" t="e">
        <f>COUNTIF('[4]Survey list'!$B$2:$B$211,'[4]Summary 2020'!A50)</f>
        <v>#VALUE!</v>
      </c>
      <c r="C14" s="107" t="e">
        <f>COUNTIFS('[4]Survey raw data_2020HoanThanh'!$B:$B,'[4]Summary 2020'!A50)</f>
        <v>#VALUE!</v>
      </c>
      <c r="D14" s="107" t="e">
        <f t="shared" si="0"/>
        <v>#VALUE!</v>
      </c>
      <c r="E14" s="92"/>
      <c r="F14" s="109" t="str">
        <f>IFERROR(AVERAGEIF('[4]Survey raw data_2020HoanThanh'!$B$2:$B$296,'[4]Summary 2020'!A50,'[4]Survey raw data_2020HoanThanh'!$E$2:$E$296),"")</f>
        <v/>
      </c>
      <c r="G14" s="109" t="str">
        <f>IFERROR(AVERAGEIF('[4]Survey raw data_2020HoanThanh'!$B$2:$B$296,'[4]Summary 2020'!A50,'[4]Survey raw data_2020HoanThanh'!$F$2:$F$296),"")</f>
        <v/>
      </c>
      <c r="H14" s="109" t="str">
        <f>IFERROR(AVERAGEIF('[4]Survey raw data_2020HoanThanh'!$B$2:$B$296,'[4]Summary 2020'!A50,'[4]Survey raw data_2020HoanThanh'!$G$2:$G$296),"")</f>
        <v/>
      </c>
      <c r="I14" s="7" t="str">
        <f>IFERROR(AVERAGEIF('[4]Survey raw data_2020HoanThanh'!$B$2:$B$296,'[4]Summary 2020'!A50,'[4]Survey raw data_2020HoanThanh'!$H$2:$H$195),"")</f>
        <v/>
      </c>
      <c r="J14" s="7" t="str">
        <f>IFERROR(AVERAGEIF('[4]Survey raw data_2020HoanThanh'!$B$2:$B$296,'[4]Summary 2020'!A50,'[4]Survey raw data_2020HoanThanh'!$I$2:$I$296),"")</f>
        <v/>
      </c>
      <c r="K14" s="109" t="str">
        <f>IFERROR(AVERAGEIF('[4]Survey raw data_2020HoanThanh'!$B$2:$B$296,'[4]Summary 2020'!A50,'[4]Survey raw data_2020HoanThanh'!$J$2:$J$296),"")</f>
        <v/>
      </c>
      <c r="L14" s="424"/>
      <c r="M14" s="110" t="str">
        <f t="shared" si="1"/>
        <v>Check</v>
      </c>
      <c r="N14" s="109" t="str">
        <f>IFERROR(AVERAGEIF('[4]Survey raw data_2020HoanThanh'!$B$2:$B$296,'[4]Summary 2020'!A50,'[4]Survey raw data_2020HoanThanh'!$P$2:$P$296),"")</f>
        <v/>
      </c>
      <c r="O14" s="109" t="str">
        <f>IFERROR(AVERAGEIF('[4]Survey raw data_2020HoanThanh'!$B$2:$B$296,'[4]Summary 2020'!A50,'[4]Survey raw data_2020HoanThanh'!$Q$2:$Q$296),"")</f>
        <v/>
      </c>
      <c r="P14" s="109" t="str">
        <f>IFERROR(AVERAGEIF('[4]Survey raw data_2020HoanThanh'!$B$2:$B$296,'[4]Summary 2020'!A50,'[4]Survey raw data_2020HoanThanh'!$R$2:RT$296),"")</f>
        <v/>
      </c>
      <c r="Q14" s="425"/>
      <c r="R14" s="111" t="str">
        <f t="shared" si="2"/>
        <v>Check</v>
      </c>
      <c r="S14" s="109" t="str">
        <f>IFERROR(AVERAGEIF('[4]Survey raw data_2020HoanThanh'!$B$2:$B$296,'[4]Summary 2020'!A50,'[4]Survey raw data_2020HoanThanh'!$Z$2:$Z$296),"")</f>
        <v/>
      </c>
      <c r="T14" s="109" t="str">
        <f>IFERROR(AVERAGEIF('[4]Survey raw data_2020HoanThanh'!$B$2:$B$291,'[4]Summary 2020'!A50,'[4]Survey raw data_2020HoanThanh'!$AA$2:$AA$291),"")</f>
        <v/>
      </c>
      <c r="U14" s="109" t="str">
        <f>IFERROR(AVERAGEIF('[4]Survey raw data_2020HoanThanh'!$B$2:$B$296,'[4]Summary 2020'!A50,'[4]Survey raw data_2020HoanThanh'!$AB$2:$AB$296),"")</f>
        <v/>
      </c>
      <c r="V14" s="109" t="str">
        <f>IFERROR(AVERAGEIF('[4]Survey raw data_2020HoanThanh'!$B$2:$B$291,'[4]Summary 2020'!A50,'[4]Survey raw data_2020HoanThanh'!$AC$2:$AC$291),"")</f>
        <v/>
      </c>
      <c r="W14" s="109" t="str">
        <f>IFERROR(AVERAGEIF('[4]Survey raw data_2020HoanThanh'!$B$2:$B$291,'[4]Summary 2020'!A50,'[4]Survey raw data_2020HoanThanh'!$AD$2:$AD$291),"")</f>
        <v/>
      </c>
      <c r="X14" s="109" t="str">
        <f>IFERROR(AVERAGEIF('[4]Survey raw data_2020HoanThanh'!$B$2:$B$291,'[4]Summary 2020'!A50,'[4]Survey raw data_2020HoanThanh'!$AE$2:$AE$291),"")</f>
        <v/>
      </c>
      <c r="Y14" s="112"/>
      <c r="Z14" s="112" t="str">
        <f t="shared" si="3"/>
        <v>Check</v>
      </c>
    </row>
    <row r="15" spans="1:26">
      <c r="A15" s="5" t="s">
        <v>418</v>
      </c>
      <c r="B15" s="423" t="e">
        <f>COUNTIF('[4]Survey list'!$B$2:$B$211,'[4]Summary 2020'!A54)</f>
        <v>#VALUE!</v>
      </c>
      <c r="C15" s="107" t="e">
        <f>COUNTIFS('[4]Survey raw data_2020HoanThanh'!$B:$B,'[4]Summary 2020'!A54)</f>
        <v>#VALUE!</v>
      </c>
      <c r="D15" s="107" t="e">
        <f t="shared" si="0"/>
        <v>#VALUE!</v>
      </c>
      <c r="E15" s="92"/>
      <c r="F15" s="109" t="str">
        <f>IFERROR(AVERAGEIF('[4]Survey raw data_2020HoanThanh'!$B$2:$B$296,'[4]Summary 2020'!A54,'[4]Survey raw data_2020HoanThanh'!$E$2:$E$296),"")</f>
        <v/>
      </c>
      <c r="G15" s="109" t="str">
        <f>IFERROR(AVERAGEIF('[4]Survey raw data_2020HoanThanh'!$B$2:$B$296,'[4]Summary 2020'!A54,'[4]Survey raw data_2020HoanThanh'!$F$2:$F$296),"")</f>
        <v/>
      </c>
      <c r="H15" s="109" t="str">
        <f>IFERROR(AVERAGEIF('[4]Survey raw data_2020HoanThanh'!$B$2:$B$296,'[4]Summary 2020'!A54,'[4]Survey raw data_2020HoanThanh'!$G$2:$G$296),"")</f>
        <v/>
      </c>
      <c r="I15" s="7" t="str">
        <f>IFERROR(AVERAGEIF('[4]Survey raw data_2020HoanThanh'!$B$2:$B$296,'[4]Summary 2020'!A54,'[4]Survey raw data_2020HoanThanh'!$H$2:$H$195),"")</f>
        <v/>
      </c>
      <c r="J15" s="7" t="str">
        <f>IFERROR(AVERAGEIF('[4]Survey raw data_2020HoanThanh'!$B$2:$B$296,'[4]Summary 2020'!A54,'[4]Survey raw data_2020HoanThanh'!$I$2:$I$296),"")</f>
        <v/>
      </c>
      <c r="K15" s="109" t="str">
        <f>IFERROR(AVERAGEIF('[4]Survey raw data_2020HoanThanh'!$B$2:$B$296,'[4]Summary 2020'!A54,'[4]Survey raw data_2020HoanThanh'!$J$2:$J$296),"")</f>
        <v/>
      </c>
      <c r="L15" s="424"/>
      <c r="M15" s="110" t="str">
        <f t="shared" si="1"/>
        <v>Check</v>
      </c>
      <c r="N15" s="109" t="str">
        <f>IFERROR(AVERAGEIF('[4]Survey raw data_2020HoanThanh'!$B$2:$B$296,'[4]Summary 2020'!A54,'[4]Survey raw data_2020HoanThanh'!$P$2:$P$296),"")</f>
        <v/>
      </c>
      <c r="O15" s="109" t="str">
        <f>IFERROR(AVERAGEIF('[4]Survey raw data_2020HoanThanh'!$B$2:$B$296,'[4]Summary 2020'!A54,'[4]Survey raw data_2020HoanThanh'!$Q$2:$Q$296),"")</f>
        <v/>
      </c>
      <c r="P15" s="109" t="str">
        <f>IFERROR(AVERAGEIF('[4]Survey raw data_2020HoanThanh'!$B$2:$B$296,'[4]Summary 2020'!A54,'[4]Survey raw data_2020HoanThanh'!$R$2:RT$296),"")</f>
        <v/>
      </c>
      <c r="Q15" s="425"/>
      <c r="R15" s="111" t="str">
        <f t="shared" si="2"/>
        <v>Check</v>
      </c>
      <c r="S15" s="109" t="str">
        <f>IFERROR(AVERAGEIF('[4]Survey raw data_2020HoanThanh'!$B$2:$B$296,'[4]Summary 2020'!A54,'[4]Survey raw data_2020HoanThanh'!$Z$2:$Z$296),"")</f>
        <v/>
      </c>
      <c r="T15" s="109" t="str">
        <f>IFERROR(AVERAGEIF('[4]Survey raw data_2020HoanThanh'!$B$2:$B$291,'[4]Summary 2020'!A54,'[4]Survey raw data_2020HoanThanh'!$AA$2:$AA$291),"")</f>
        <v/>
      </c>
      <c r="U15" s="109" t="str">
        <f>IFERROR(AVERAGEIF('[4]Survey raw data_2020HoanThanh'!$B$2:$B$296,'[4]Summary 2020'!A54,'[4]Survey raw data_2020HoanThanh'!$AB$2:$AB$296),"")</f>
        <v/>
      </c>
      <c r="V15" s="109" t="str">
        <f>IFERROR(AVERAGEIF('[4]Survey raw data_2020HoanThanh'!$B$2:$B$291,'[4]Summary 2020'!A54,'[4]Survey raw data_2020HoanThanh'!$AC$2:$AC$291),"")</f>
        <v/>
      </c>
      <c r="W15" s="109" t="str">
        <f>IFERROR(AVERAGEIF('[4]Survey raw data_2020HoanThanh'!$B$2:$B$291,'[4]Summary 2020'!A54,'[4]Survey raw data_2020HoanThanh'!$AD$2:$AD$291),"")</f>
        <v/>
      </c>
      <c r="X15" s="109" t="str">
        <f>IFERROR(AVERAGEIF('[4]Survey raw data_2020HoanThanh'!$B$2:$B$291,'[4]Summary 2020'!A54,'[4]Survey raw data_2020HoanThanh'!$AE$2:$AE$291),"")</f>
        <v/>
      </c>
      <c r="Y15" s="112"/>
      <c r="Z15" s="112" t="str">
        <f t="shared" si="3"/>
        <v>Check</v>
      </c>
    </row>
  </sheetData>
  <mergeCells count="4">
    <mergeCell ref="B1:D1"/>
    <mergeCell ref="F1:M1"/>
    <mergeCell ref="N1:R1"/>
    <mergeCell ref="S1:Z1"/>
  </mergeCells>
  <conditionalFormatting sqref="A19 A3:A6">
    <cfRule type="duplicateValues" dxfId="0" priority="1478"/>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AG251"/>
  <sheetViews>
    <sheetView zoomScale="55" zoomScaleNormal="55" workbookViewId="0">
      <selection activeCell="S98" sqref="S98"/>
    </sheetView>
  </sheetViews>
  <sheetFormatPr defaultRowHeight="14.4"/>
  <cols>
    <col min="1" max="1" width="8.88671875" style="426"/>
    <col min="2" max="2" width="27.33203125" style="426" customWidth="1"/>
    <col min="3" max="3" width="8.88671875" style="426"/>
    <col min="4" max="4" width="24" style="426" customWidth="1"/>
    <col min="5" max="16384" width="8.88671875" style="426"/>
  </cols>
  <sheetData>
    <row r="1" spans="1:33" ht="213.6" customHeight="1">
      <c r="A1" s="426" t="s">
        <v>423</v>
      </c>
      <c r="B1" s="426" t="s">
        <v>424</v>
      </c>
      <c r="C1" s="426" t="s">
        <v>425</v>
      </c>
      <c r="D1" s="426" t="s">
        <v>426</v>
      </c>
      <c r="E1" s="426" t="s">
        <v>427</v>
      </c>
      <c r="F1" s="426" t="s">
        <v>428</v>
      </c>
      <c r="G1" s="426" t="s">
        <v>429</v>
      </c>
      <c r="H1" s="426" t="s">
        <v>430</v>
      </c>
      <c r="I1" s="426" t="s">
        <v>431</v>
      </c>
      <c r="J1" s="426" t="s">
        <v>432</v>
      </c>
      <c r="K1" s="426" t="s">
        <v>433</v>
      </c>
      <c r="L1" s="426" t="s">
        <v>212</v>
      </c>
      <c r="M1" s="426" t="s">
        <v>434</v>
      </c>
      <c r="N1" s="426" t="s">
        <v>435</v>
      </c>
      <c r="O1" s="426" t="s">
        <v>436</v>
      </c>
      <c r="P1" s="426" t="s">
        <v>368</v>
      </c>
      <c r="Q1" s="426" t="s">
        <v>369</v>
      </c>
      <c r="R1" s="426" t="s">
        <v>370</v>
      </c>
      <c r="S1" s="426" t="s">
        <v>437</v>
      </c>
      <c r="T1" s="426" t="s">
        <v>438</v>
      </c>
      <c r="U1" s="426" t="s">
        <v>439</v>
      </c>
      <c r="V1" s="426" t="s">
        <v>440</v>
      </c>
      <c r="W1" s="426" t="s">
        <v>441</v>
      </c>
      <c r="X1" s="426" t="s">
        <v>442</v>
      </c>
      <c r="Y1" s="426" t="s">
        <v>443</v>
      </c>
      <c r="Z1" s="426" t="s">
        <v>372</v>
      </c>
      <c r="AA1" s="426" t="s">
        <v>373</v>
      </c>
      <c r="AB1" s="426" t="s">
        <v>374</v>
      </c>
      <c r="AC1" s="426" t="s">
        <v>375</v>
      </c>
      <c r="AD1" s="426" t="s">
        <v>376</v>
      </c>
      <c r="AE1" s="426" t="s">
        <v>377</v>
      </c>
      <c r="AF1" s="426" t="s">
        <v>444</v>
      </c>
      <c r="AG1" s="426" t="s">
        <v>445</v>
      </c>
    </row>
    <row r="2" spans="1:33" ht="100.8" hidden="1">
      <c r="A2" s="426" t="s">
        <v>446</v>
      </c>
      <c r="B2" s="426" t="s">
        <v>378</v>
      </c>
      <c r="C2" s="426" t="s">
        <v>447</v>
      </c>
      <c r="D2" s="426" t="s">
        <v>448</v>
      </c>
      <c r="E2" s="426">
        <v>5</v>
      </c>
      <c r="F2" s="426">
        <v>5</v>
      </c>
      <c r="G2" s="426">
        <v>5</v>
      </c>
      <c r="H2" s="426">
        <v>5</v>
      </c>
      <c r="I2" s="426">
        <v>5</v>
      </c>
      <c r="J2" s="426">
        <v>5</v>
      </c>
      <c r="L2" s="426" t="s">
        <v>449</v>
      </c>
      <c r="N2" s="426" t="s">
        <v>450</v>
      </c>
      <c r="P2" s="426">
        <v>4</v>
      </c>
      <c r="Q2" s="426">
        <v>5</v>
      </c>
      <c r="R2" s="426">
        <v>5</v>
      </c>
      <c r="T2" s="426" t="s">
        <v>451</v>
      </c>
      <c r="U2" s="426" t="s">
        <v>452</v>
      </c>
      <c r="V2" s="426" t="s">
        <v>453</v>
      </c>
      <c r="W2" s="426" t="s">
        <v>454</v>
      </c>
      <c r="X2" s="426" t="s">
        <v>455</v>
      </c>
      <c r="Y2" s="426" t="s">
        <v>456</v>
      </c>
      <c r="Z2" s="426">
        <v>4</v>
      </c>
      <c r="AA2" s="426">
        <v>1</v>
      </c>
      <c r="AB2" s="426">
        <v>5</v>
      </c>
      <c r="AC2" s="426">
        <v>5</v>
      </c>
      <c r="AD2" s="426">
        <v>4</v>
      </c>
      <c r="AE2" s="426">
        <v>4</v>
      </c>
      <c r="AG2" s="426" t="s">
        <v>264</v>
      </c>
    </row>
    <row r="3" spans="1:33" ht="86.4" hidden="1">
      <c r="A3" s="426" t="s">
        <v>446</v>
      </c>
      <c r="B3" s="426" t="s">
        <v>378</v>
      </c>
      <c r="C3" s="426" t="s">
        <v>447</v>
      </c>
      <c r="D3" s="426" t="s">
        <v>448</v>
      </c>
      <c r="E3" s="426">
        <v>5</v>
      </c>
      <c r="F3" s="426">
        <v>4</v>
      </c>
      <c r="G3" s="426">
        <v>5</v>
      </c>
      <c r="H3" s="426">
        <v>5</v>
      </c>
      <c r="I3" s="426">
        <v>5</v>
      </c>
      <c r="J3" s="426">
        <v>4</v>
      </c>
      <c r="L3" s="426" t="s">
        <v>449</v>
      </c>
      <c r="N3" s="426" t="s">
        <v>450</v>
      </c>
      <c r="P3" s="426">
        <v>5</v>
      </c>
      <c r="Q3" s="426">
        <v>4</v>
      </c>
      <c r="R3" s="426">
        <v>4</v>
      </c>
      <c r="T3" s="426" t="s">
        <v>457</v>
      </c>
      <c r="U3" s="426" t="s">
        <v>457</v>
      </c>
      <c r="V3" s="426" t="s">
        <v>457</v>
      </c>
      <c r="W3" s="426" t="s">
        <v>458</v>
      </c>
      <c r="X3" s="426" t="s">
        <v>459</v>
      </c>
      <c r="Y3" s="426" t="s">
        <v>459</v>
      </c>
      <c r="Z3" s="426">
        <v>4</v>
      </c>
      <c r="AA3" s="426">
        <v>5</v>
      </c>
      <c r="AB3" s="426">
        <v>4</v>
      </c>
      <c r="AC3" s="426">
        <v>4</v>
      </c>
      <c r="AD3" s="426">
        <v>5</v>
      </c>
      <c r="AE3" s="426">
        <v>5</v>
      </c>
      <c r="AG3" s="426" t="s">
        <v>459</v>
      </c>
    </row>
    <row r="4" spans="1:33" ht="28.8" hidden="1">
      <c r="A4" s="426" t="s">
        <v>460</v>
      </c>
      <c r="B4" s="426" t="s">
        <v>379</v>
      </c>
      <c r="C4" s="426" t="s">
        <v>447</v>
      </c>
      <c r="D4" s="426" t="s">
        <v>461</v>
      </c>
      <c r="Z4" s="426">
        <v>5</v>
      </c>
      <c r="AA4" s="426">
        <v>5</v>
      </c>
      <c r="AB4" s="426">
        <v>5</v>
      </c>
      <c r="AC4" s="426">
        <v>5</v>
      </c>
      <c r="AD4" s="426">
        <v>5</v>
      </c>
      <c r="AE4" s="426">
        <v>5</v>
      </c>
      <c r="AG4" s="426" t="s">
        <v>462</v>
      </c>
    </row>
    <row r="5" spans="1:33" ht="144" hidden="1">
      <c r="A5" s="426" t="s">
        <v>460</v>
      </c>
      <c r="B5" s="426" t="s">
        <v>379</v>
      </c>
      <c r="C5" s="426" t="s">
        <v>447</v>
      </c>
      <c r="D5" s="426" t="s">
        <v>448</v>
      </c>
      <c r="E5" s="426">
        <v>3</v>
      </c>
      <c r="F5" s="426">
        <v>4</v>
      </c>
      <c r="G5" s="426">
        <v>5</v>
      </c>
      <c r="H5" s="426">
        <v>4</v>
      </c>
      <c r="I5" s="426">
        <v>4</v>
      </c>
      <c r="J5" s="426">
        <v>4</v>
      </c>
      <c r="L5" s="426" t="s">
        <v>449</v>
      </c>
      <c r="N5" s="426" t="s">
        <v>463</v>
      </c>
      <c r="P5" s="426">
        <v>4</v>
      </c>
      <c r="Q5" s="426">
        <v>4</v>
      </c>
      <c r="R5" s="426">
        <v>4</v>
      </c>
      <c r="T5" s="426" t="s">
        <v>464</v>
      </c>
      <c r="U5" s="426" t="s">
        <v>465</v>
      </c>
      <c r="V5" s="426" t="s">
        <v>465</v>
      </c>
      <c r="W5" s="426" t="s">
        <v>465</v>
      </c>
      <c r="X5" s="426" t="s">
        <v>466</v>
      </c>
      <c r="Y5" s="426" t="s">
        <v>466</v>
      </c>
      <c r="Z5" s="426">
        <v>4</v>
      </c>
      <c r="AA5" s="426">
        <v>4</v>
      </c>
      <c r="AB5" s="426">
        <v>4</v>
      </c>
      <c r="AC5" s="426">
        <v>4</v>
      </c>
      <c r="AD5" s="426">
        <v>4</v>
      </c>
      <c r="AE5" s="426">
        <v>4</v>
      </c>
      <c r="AG5" s="426" t="s">
        <v>467</v>
      </c>
    </row>
    <row r="6" spans="1:33" ht="144" hidden="1">
      <c r="A6" s="426" t="s">
        <v>460</v>
      </c>
      <c r="B6" s="426" t="s">
        <v>379</v>
      </c>
      <c r="C6" s="426" t="s">
        <v>447</v>
      </c>
      <c r="D6" s="426" t="s">
        <v>448</v>
      </c>
      <c r="E6" s="426">
        <v>3</v>
      </c>
      <c r="F6" s="426">
        <v>5</v>
      </c>
      <c r="G6" s="426">
        <v>5</v>
      </c>
      <c r="H6" s="426">
        <v>5</v>
      </c>
      <c r="I6" s="426">
        <v>5</v>
      </c>
      <c r="J6" s="426">
        <v>5</v>
      </c>
      <c r="K6" s="426" t="s">
        <v>468</v>
      </c>
      <c r="L6" s="426" t="s">
        <v>449</v>
      </c>
      <c r="N6" s="426" t="s">
        <v>463</v>
      </c>
      <c r="P6" s="426">
        <v>5</v>
      </c>
      <c r="Q6" s="426">
        <v>4</v>
      </c>
      <c r="R6" s="426">
        <v>4</v>
      </c>
      <c r="T6" s="426" t="s">
        <v>469</v>
      </c>
      <c r="U6" s="426" t="s">
        <v>470</v>
      </c>
      <c r="V6" s="426" t="s">
        <v>471</v>
      </c>
      <c r="W6" s="426" t="s">
        <v>264</v>
      </c>
      <c r="X6" s="426" t="s">
        <v>264</v>
      </c>
      <c r="Y6" s="426" t="s">
        <v>472</v>
      </c>
      <c r="Z6" s="426">
        <v>5</v>
      </c>
      <c r="AA6" s="426">
        <v>4</v>
      </c>
      <c r="AB6" s="426">
        <v>5</v>
      </c>
      <c r="AC6" s="426">
        <v>5</v>
      </c>
      <c r="AD6" s="426">
        <v>5</v>
      </c>
      <c r="AE6" s="426">
        <v>5</v>
      </c>
      <c r="AG6" s="426" t="s">
        <v>473</v>
      </c>
    </row>
    <row r="7" spans="1:33" ht="144" hidden="1">
      <c r="A7" s="426" t="s">
        <v>474</v>
      </c>
      <c r="B7" s="426" t="s">
        <v>475</v>
      </c>
      <c r="C7" s="426" t="s">
        <v>447</v>
      </c>
      <c r="D7" s="426" t="s">
        <v>448</v>
      </c>
      <c r="E7" s="426">
        <v>5</v>
      </c>
      <c r="F7" s="426">
        <v>5</v>
      </c>
      <c r="G7" s="426">
        <v>5</v>
      </c>
      <c r="H7" s="426">
        <v>5</v>
      </c>
      <c r="I7" s="426">
        <v>5</v>
      </c>
      <c r="J7" s="426">
        <v>5</v>
      </c>
      <c r="L7" s="426" t="s">
        <v>449</v>
      </c>
      <c r="N7" s="426" t="s">
        <v>463</v>
      </c>
      <c r="P7" s="426">
        <v>5</v>
      </c>
      <c r="Q7" s="426">
        <v>5</v>
      </c>
      <c r="R7" s="426">
        <v>5</v>
      </c>
      <c r="T7" s="426" t="s">
        <v>476</v>
      </c>
      <c r="U7" s="426" t="s">
        <v>454</v>
      </c>
      <c r="V7" s="426" t="s">
        <v>454</v>
      </c>
      <c r="W7" s="426" t="s">
        <v>454</v>
      </c>
      <c r="X7" s="426" t="s">
        <v>477</v>
      </c>
      <c r="Y7" s="426" t="s">
        <v>477</v>
      </c>
      <c r="Z7" s="426">
        <v>5</v>
      </c>
      <c r="AA7" s="426">
        <v>5</v>
      </c>
      <c r="AB7" s="426">
        <v>5</v>
      </c>
      <c r="AC7" s="426">
        <v>5</v>
      </c>
      <c r="AD7" s="426">
        <v>5</v>
      </c>
      <c r="AE7" s="426">
        <v>5</v>
      </c>
      <c r="AG7" s="426" t="s">
        <v>462</v>
      </c>
    </row>
    <row r="8" spans="1:33" ht="144" hidden="1">
      <c r="A8" s="426" t="s">
        <v>474</v>
      </c>
      <c r="B8" s="426" t="s">
        <v>475</v>
      </c>
      <c r="C8" s="426" t="s">
        <v>447</v>
      </c>
      <c r="D8" s="426" t="s">
        <v>448</v>
      </c>
      <c r="E8" s="426">
        <v>5</v>
      </c>
      <c r="F8" s="426">
        <v>5</v>
      </c>
      <c r="G8" s="426">
        <v>5</v>
      </c>
      <c r="H8" s="426">
        <v>5</v>
      </c>
      <c r="I8" s="426">
        <v>5</v>
      </c>
      <c r="J8" s="426">
        <v>5</v>
      </c>
      <c r="L8" s="426" t="s">
        <v>449</v>
      </c>
      <c r="N8" s="426" t="s">
        <v>463</v>
      </c>
      <c r="P8" s="426">
        <v>5</v>
      </c>
      <c r="Q8" s="426">
        <v>5</v>
      </c>
      <c r="R8" s="426">
        <v>5</v>
      </c>
      <c r="T8" s="426" t="s">
        <v>476</v>
      </c>
      <c r="U8" s="426" t="s">
        <v>454</v>
      </c>
      <c r="V8" s="426" t="s">
        <v>454</v>
      </c>
      <c r="W8" s="426" t="s">
        <v>454</v>
      </c>
      <c r="X8" s="426" t="s">
        <v>477</v>
      </c>
      <c r="Y8" s="426" t="s">
        <v>477</v>
      </c>
      <c r="Z8" s="426">
        <v>5</v>
      </c>
      <c r="AA8" s="426">
        <v>5</v>
      </c>
      <c r="AB8" s="426">
        <v>5</v>
      </c>
      <c r="AC8" s="426">
        <v>5</v>
      </c>
      <c r="AD8" s="426">
        <v>5</v>
      </c>
      <c r="AE8" s="426">
        <v>5</v>
      </c>
      <c r="AG8" s="426" t="s">
        <v>462</v>
      </c>
    </row>
    <row r="9" spans="1:33" ht="144" hidden="1">
      <c r="A9" s="426" t="s">
        <v>474</v>
      </c>
      <c r="B9" s="426" t="s">
        <v>475</v>
      </c>
      <c r="C9" s="426" t="s">
        <v>447</v>
      </c>
      <c r="D9" s="426" t="s">
        <v>448</v>
      </c>
      <c r="E9" s="426">
        <v>5</v>
      </c>
      <c r="F9" s="426">
        <v>5</v>
      </c>
      <c r="G9" s="426">
        <v>5</v>
      </c>
      <c r="H9" s="426">
        <v>5</v>
      </c>
      <c r="I9" s="426">
        <v>5</v>
      </c>
      <c r="J9" s="426">
        <v>5</v>
      </c>
      <c r="L9" s="426" t="s">
        <v>449</v>
      </c>
      <c r="N9" s="426" t="s">
        <v>463</v>
      </c>
      <c r="P9" s="426">
        <v>5</v>
      </c>
      <c r="Q9" s="426">
        <v>5</v>
      </c>
      <c r="R9" s="426">
        <v>5</v>
      </c>
      <c r="T9" s="426" t="s">
        <v>478</v>
      </c>
      <c r="U9" s="426" t="s">
        <v>454</v>
      </c>
      <c r="V9" s="426" t="s">
        <v>479</v>
      </c>
      <c r="W9" s="426" t="s">
        <v>480</v>
      </c>
      <c r="X9" s="426" t="s">
        <v>481</v>
      </c>
      <c r="Y9" s="426" t="s">
        <v>481</v>
      </c>
      <c r="Z9" s="426">
        <v>5</v>
      </c>
      <c r="AA9" s="426">
        <v>5</v>
      </c>
      <c r="AB9" s="426">
        <v>5</v>
      </c>
      <c r="AC9" s="426">
        <v>5</v>
      </c>
      <c r="AD9" s="426">
        <v>5</v>
      </c>
      <c r="AE9" s="426">
        <v>5</v>
      </c>
      <c r="AG9" s="426" t="s">
        <v>482</v>
      </c>
    </row>
    <row r="10" spans="1:33" hidden="1">
      <c r="A10" s="426" t="s">
        <v>474</v>
      </c>
      <c r="B10" s="426" t="s">
        <v>475</v>
      </c>
      <c r="C10" s="426" t="s">
        <v>447</v>
      </c>
      <c r="D10" s="426" t="s">
        <v>461</v>
      </c>
      <c r="Z10" s="426">
        <v>5</v>
      </c>
      <c r="AA10" s="426">
        <v>5</v>
      </c>
      <c r="AB10" s="426">
        <v>5</v>
      </c>
      <c r="AC10" s="426">
        <v>5</v>
      </c>
      <c r="AD10" s="426">
        <v>5</v>
      </c>
      <c r="AE10" s="426">
        <v>5</v>
      </c>
      <c r="AG10" s="426" t="s">
        <v>264</v>
      </c>
    </row>
    <row r="11" spans="1:33" hidden="1">
      <c r="A11" s="426" t="s">
        <v>483</v>
      </c>
      <c r="B11" s="426" t="s">
        <v>381</v>
      </c>
      <c r="C11" s="426" t="s">
        <v>447</v>
      </c>
      <c r="D11" s="426" t="s">
        <v>448</v>
      </c>
    </row>
    <row r="12" spans="1:33" ht="288" hidden="1">
      <c r="A12" s="426" t="s">
        <v>483</v>
      </c>
      <c r="B12" s="426" t="s">
        <v>381</v>
      </c>
      <c r="C12" s="426" t="s">
        <v>447</v>
      </c>
      <c r="D12" s="426" t="s">
        <v>448</v>
      </c>
      <c r="E12" s="426">
        <v>5</v>
      </c>
      <c r="F12" s="426">
        <v>5</v>
      </c>
      <c r="G12" s="426">
        <v>4</v>
      </c>
      <c r="H12" s="426">
        <v>5</v>
      </c>
      <c r="I12" s="426">
        <v>5</v>
      </c>
      <c r="J12" s="426">
        <v>4</v>
      </c>
      <c r="L12" s="426" t="s">
        <v>449</v>
      </c>
      <c r="N12" s="426" t="s">
        <v>450</v>
      </c>
      <c r="P12" s="426">
        <v>4</v>
      </c>
      <c r="Q12" s="426">
        <v>3</v>
      </c>
      <c r="R12" s="426">
        <v>3</v>
      </c>
      <c r="T12" s="426" t="s">
        <v>484</v>
      </c>
      <c r="U12" s="426" t="s">
        <v>485</v>
      </c>
      <c r="V12" s="426" t="s">
        <v>486</v>
      </c>
      <c r="W12" s="426" t="s">
        <v>487</v>
      </c>
      <c r="X12" s="426" t="s">
        <v>488</v>
      </c>
      <c r="Y12" s="426" t="s">
        <v>489</v>
      </c>
      <c r="Z12" s="426">
        <v>3</v>
      </c>
      <c r="AA12" s="426">
        <v>4</v>
      </c>
      <c r="AB12" s="426">
        <v>3</v>
      </c>
      <c r="AC12" s="426">
        <v>4</v>
      </c>
      <c r="AD12" s="426">
        <v>4</v>
      </c>
      <c r="AE12" s="426">
        <v>5</v>
      </c>
      <c r="AG12" s="426" t="s">
        <v>490</v>
      </c>
    </row>
    <row r="13" spans="1:33" ht="374.4" hidden="1">
      <c r="A13" s="426" t="s">
        <v>483</v>
      </c>
      <c r="B13" s="426" t="s">
        <v>381</v>
      </c>
      <c r="C13" s="426" t="s">
        <v>447</v>
      </c>
      <c r="D13" s="426" t="s">
        <v>448</v>
      </c>
      <c r="E13" s="426">
        <v>5</v>
      </c>
      <c r="F13" s="426">
        <v>4</v>
      </c>
      <c r="G13" s="426">
        <v>3</v>
      </c>
      <c r="H13" s="426">
        <v>3</v>
      </c>
      <c r="I13" s="426">
        <v>4</v>
      </c>
      <c r="J13" s="426">
        <v>4</v>
      </c>
      <c r="L13" s="426" t="s">
        <v>449</v>
      </c>
      <c r="N13" s="426" t="s">
        <v>463</v>
      </c>
      <c r="P13" s="426">
        <v>3</v>
      </c>
      <c r="Q13" s="426">
        <v>4</v>
      </c>
      <c r="R13" s="426">
        <v>3</v>
      </c>
      <c r="T13" s="426" t="s">
        <v>491</v>
      </c>
      <c r="U13" s="426" t="s">
        <v>454</v>
      </c>
      <c r="V13" s="426" t="s">
        <v>454</v>
      </c>
      <c r="W13" s="426" t="s">
        <v>458</v>
      </c>
      <c r="X13" s="426" t="s">
        <v>492</v>
      </c>
      <c r="Y13" s="426" t="s">
        <v>493</v>
      </c>
      <c r="Z13" s="426">
        <v>3</v>
      </c>
      <c r="AA13" s="426">
        <v>3</v>
      </c>
      <c r="AB13" s="426">
        <v>3</v>
      </c>
      <c r="AC13" s="426">
        <v>4</v>
      </c>
      <c r="AD13" s="426">
        <v>4</v>
      </c>
      <c r="AE13" s="426">
        <v>4</v>
      </c>
      <c r="AG13" s="426" t="s">
        <v>264</v>
      </c>
    </row>
    <row r="14" spans="1:33" ht="144" hidden="1">
      <c r="A14" s="426" t="s">
        <v>483</v>
      </c>
      <c r="B14" s="426" t="s">
        <v>381</v>
      </c>
      <c r="C14" s="426" t="s">
        <v>447</v>
      </c>
      <c r="D14" s="426" t="s">
        <v>448</v>
      </c>
      <c r="E14" s="426">
        <v>5</v>
      </c>
      <c r="F14" s="426">
        <v>5</v>
      </c>
      <c r="G14" s="426">
        <v>5</v>
      </c>
      <c r="H14" s="426">
        <v>5</v>
      </c>
      <c r="I14" s="426">
        <v>5</v>
      </c>
      <c r="J14" s="426">
        <v>5</v>
      </c>
      <c r="L14" s="426" t="s">
        <v>449</v>
      </c>
      <c r="N14" s="426" t="s">
        <v>463</v>
      </c>
      <c r="P14" s="426">
        <v>5</v>
      </c>
      <c r="Q14" s="426">
        <v>5</v>
      </c>
      <c r="R14" s="426">
        <v>5</v>
      </c>
      <c r="T14" s="426" t="s">
        <v>494</v>
      </c>
      <c r="U14" s="426" t="s">
        <v>465</v>
      </c>
      <c r="V14" s="426" t="s">
        <v>465</v>
      </c>
      <c r="W14" s="426" t="s">
        <v>465</v>
      </c>
      <c r="X14" s="426" t="s">
        <v>495</v>
      </c>
      <c r="Y14" s="426" t="s">
        <v>495</v>
      </c>
      <c r="Z14" s="426">
        <v>4</v>
      </c>
      <c r="AA14" s="426">
        <v>5</v>
      </c>
      <c r="AB14" s="426">
        <v>4</v>
      </c>
      <c r="AC14" s="426">
        <v>4</v>
      </c>
      <c r="AD14" s="426">
        <v>5</v>
      </c>
      <c r="AE14" s="426">
        <v>5</v>
      </c>
      <c r="AG14" s="426" t="s">
        <v>495</v>
      </c>
    </row>
    <row r="15" spans="1:33" ht="115.2" hidden="1">
      <c r="A15" s="426" t="s">
        <v>496</v>
      </c>
      <c r="B15" s="426" t="s">
        <v>382</v>
      </c>
      <c r="C15" s="426" t="s">
        <v>447</v>
      </c>
      <c r="D15" s="426" t="s">
        <v>448</v>
      </c>
      <c r="E15" s="426">
        <v>3</v>
      </c>
      <c r="F15" s="426">
        <v>4</v>
      </c>
      <c r="G15" s="426">
        <v>4</v>
      </c>
      <c r="H15" s="426">
        <v>4</v>
      </c>
      <c r="I15" s="426">
        <v>3</v>
      </c>
      <c r="J15" s="426">
        <v>5</v>
      </c>
      <c r="L15" s="426" t="s">
        <v>497</v>
      </c>
      <c r="N15" s="426" t="s">
        <v>498</v>
      </c>
      <c r="P15" s="426">
        <v>4</v>
      </c>
      <c r="Q15" s="426">
        <v>5</v>
      </c>
      <c r="R15" s="426">
        <v>4</v>
      </c>
      <c r="T15" s="426" t="s">
        <v>499</v>
      </c>
      <c r="U15" s="426" t="s">
        <v>454</v>
      </c>
      <c r="V15" s="426" t="s">
        <v>479</v>
      </c>
      <c r="W15" s="426" t="s">
        <v>454</v>
      </c>
      <c r="X15" s="426" t="s">
        <v>500</v>
      </c>
      <c r="Y15" s="426" t="s">
        <v>501</v>
      </c>
      <c r="Z15" s="426">
        <v>5</v>
      </c>
      <c r="AA15" s="426">
        <v>4</v>
      </c>
      <c r="AB15" s="426">
        <v>4</v>
      </c>
      <c r="AC15" s="426">
        <v>3</v>
      </c>
      <c r="AD15" s="426">
        <v>4</v>
      </c>
      <c r="AE15" s="426">
        <v>4</v>
      </c>
      <c r="AG15" s="426" t="s">
        <v>502</v>
      </c>
    </row>
    <row r="16" spans="1:33" ht="86.4" hidden="1">
      <c r="A16" s="426" t="s">
        <v>496</v>
      </c>
      <c r="B16" s="426" t="s">
        <v>382</v>
      </c>
      <c r="C16" s="426" t="s">
        <v>447</v>
      </c>
      <c r="D16" s="426" t="s">
        <v>461</v>
      </c>
      <c r="Z16" s="426">
        <v>4</v>
      </c>
      <c r="AA16" s="426">
        <v>5</v>
      </c>
      <c r="AB16" s="426">
        <v>5</v>
      </c>
      <c r="AC16" s="426">
        <v>4</v>
      </c>
      <c r="AD16" s="426">
        <v>5</v>
      </c>
      <c r="AE16" s="426">
        <v>5</v>
      </c>
      <c r="AG16" s="426" t="s">
        <v>503</v>
      </c>
    </row>
    <row r="17" spans="1:33" ht="144" hidden="1">
      <c r="A17" s="426" t="s">
        <v>496</v>
      </c>
      <c r="B17" s="426" t="s">
        <v>382</v>
      </c>
      <c r="C17" s="426" t="s">
        <v>447</v>
      </c>
      <c r="D17" s="426" t="s">
        <v>448</v>
      </c>
      <c r="E17" s="426">
        <v>5</v>
      </c>
      <c r="F17" s="426">
        <v>5</v>
      </c>
      <c r="G17" s="426">
        <v>5</v>
      </c>
      <c r="H17" s="426">
        <v>4</v>
      </c>
      <c r="I17" s="426">
        <v>4</v>
      </c>
      <c r="J17" s="426">
        <v>5</v>
      </c>
      <c r="L17" s="426" t="s">
        <v>497</v>
      </c>
      <c r="N17" s="426" t="s">
        <v>463</v>
      </c>
      <c r="P17" s="426">
        <v>5</v>
      </c>
      <c r="Q17" s="426">
        <v>5</v>
      </c>
      <c r="R17" s="426">
        <v>5</v>
      </c>
      <c r="T17" s="426" t="s">
        <v>504</v>
      </c>
      <c r="U17" s="426" t="s">
        <v>465</v>
      </c>
      <c r="V17" s="426" t="s">
        <v>465</v>
      </c>
      <c r="W17" s="426" t="s">
        <v>465</v>
      </c>
      <c r="X17" s="426" t="s">
        <v>505</v>
      </c>
      <c r="Y17" s="426" t="s">
        <v>506</v>
      </c>
      <c r="Z17" s="426">
        <v>5</v>
      </c>
      <c r="AA17" s="426">
        <v>5</v>
      </c>
      <c r="AB17" s="426">
        <v>5</v>
      </c>
      <c r="AC17" s="426">
        <v>4</v>
      </c>
      <c r="AD17" s="426">
        <v>5</v>
      </c>
      <c r="AE17" s="426">
        <v>5</v>
      </c>
      <c r="AG17" s="426" t="s">
        <v>506</v>
      </c>
    </row>
    <row r="18" spans="1:33" ht="86.4" hidden="1">
      <c r="A18" s="426" t="s">
        <v>507</v>
      </c>
      <c r="B18" s="426" t="s">
        <v>383</v>
      </c>
      <c r="C18" s="426" t="s">
        <v>447</v>
      </c>
      <c r="D18" s="426" t="s">
        <v>461</v>
      </c>
      <c r="Z18" s="426">
        <v>4</v>
      </c>
      <c r="AA18" s="426">
        <v>4</v>
      </c>
      <c r="AB18" s="426">
        <v>4</v>
      </c>
      <c r="AC18" s="426">
        <v>4</v>
      </c>
      <c r="AD18" s="426">
        <v>3</v>
      </c>
      <c r="AE18" s="426">
        <v>5</v>
      </c>
      <c r="AG18" s="426" t="s">
        <v>508</v>
      </c>
    </row>
    <row r="19" spans="1:33" ht="144" hidden="1">
      <c r="A19" s="426" t="s">
        <v>507</v>
      </c>
      <c r="B19" s="426" t="s">
        <v>383</v>
      </c>
      <c r="C19" s="426" t="s">
        <v>447</v>
      </c>
      <c r="D19" s="426" t="s">
        <v>448</v>
      </c>
      <c r="E19" s="426">
        <v>5</v>
      </c>
      <c r="F19" s="426">
        <v>5</v>
      </c>
      <c r="G19" s="426">
        <v>5</v>
      </c>
      <c r="H19" s="426">
        <v>5</v>
      </c>
      <c r="I19" s="426">
        <v>5</v>
      </c>
      <c r="J19" s="426">
        <v>5</v>
      </c>
      <c r="L19" s="426" t="s">
        <v>509</v>
      </c>
      <c r="N19" s="426" t="s">
        <v>463</v>
      </c>
      <c r="P19" s="426">
        <v>5</v>
      </c>
      <c r="Q19" s="426">
        <v>5</v>
      </c>
      <c r="R19" s="426">
        <v>5</v>
      </c>
      <c r="T19" s="426" t="s">
        <v>510</v>
      </c>
      <c r="U19" s="426" t="s">
        <v>511</v>
      </c>
      <c r="V19" s="426" t="s">
        <v>511</v>
      </c>
      <c r="W19" s="426" t="s">
        <v>511</v>
      </c>
      <c r="X19" s="426" t="s">
        <v>512</v>
      </c>
      <c r="Y19" s="426" t="s">
        <v>513</v>
      </c>
      <c r="Z19" s="426">
        <v>4</v>
      </c>
      <c r="AA19" s="426">
        <v>5</v>
      </c>
      <c r="AB19" s="426">
        <v>4</v>
      </c>
      <c r="AC19" s="426">
        <v>5</v>
      </c>
      <c r="AD19" s="426">
        <v>5</v>
      </c>
      <c r="AE19" s="426">
        <v>5</v>
      </c>
      <c r="AG19" s="426" t="s">
        <v>462</v>
      </c>
    </row>
    <row r="20" spans="1:33" ht="259.2" hidden="1">
      <c r="A20" s="426" t="s">
        <v>507</v>
      </c>
      <c r="B20" s="426" t="s">
        <v>383</v>
      </c>
      <c r="C20" s="426" t="s">
        <v>447</v>
      </c>
      <c r="D20" s="426" t="s">
        <v>461</v>
      </c>
      <c r="Z20" s="426">
        <v>2</v>
      </c>
      <c r="AA20" s="426">
        <v>3</v>
      </c>
      <c r="AB20" s="426">
        <v>3</v>
      </c>
      <c r="AC20" s="426">
        <v>4</v>
      </c>
      <c r="AD20" s="426">
        <v>3</v>
      </c>
      <c r="AE20" s="426">
        <v>5</v>
      </c>
      <c r="AG20" s="426" t="s">
        <v>514</v>
      </c>
    </row>
    <row r="21" spans="1:33" ht="158.4" hidden="1">
      <c r="A21" s="426" t="s">
        <v>515</v>
      </c>
      <c r="B21" s="426" t="s">
        <v>384</v>
      </c>
      <c r="C21" s="426" t="s">
        <v>516</v>
      </c>
      <c r="D21" s="426" t="s">
        <v>448</v>
      </c>
      <c r="E21" s="426">
        <v>5</v>
      </c>
      <c r="F21" s="426">
        <v>4</v>
      </c>
      <c r="G21" s="426">
        <v>5</v>
      </c>
      <c r="H21" s="426">
        <v>5</v>
      </c>
      <c r="I21" s="426">
        <v>5</v>
      </c>
      <c r="J21" s="426">
        <v>5</v>
      </c>
      <c r="L21" s="426" t="s">
        <v>449</v>
      </c>
      <c r="N21" s="426" t="s">
        <v>463</v>
      </c>
      <c r="P21" s="426">
        <v>5</v>
      </c>
      <c r="Q21" s="426">
        <v>4</v>
      </c>
      <c r="R21" s="426">
        <v>5</v>
      </c>
      <c r="T21" s="426" t="s">
        <v>517</v>
      </c>
      <c r="U21" s="426" t="s">
        <v>518</v>
      </c>
      <c r="V21" s="426" t="s">
        <v>519</v>
      </c>
      <c r="W21" s="426" t="s">
        <v>520</v>
      </c>
      <c r="X21" s="426" t="s">
        <v>506</v>
      </c>
      <c r="Y21" s="426" t="s">
        <v>521</v>
      </c>
      <c r="Z21" s="426">
        <v>5</v>
      </c>
      <c r="AA21" s="426">
        <v>5</v>
      </c>
      <c r="AB21" s="426">
        <v>5</v>
      </c>
      <c r="AC21" s="426">
        <v>4</v>
      </c>
      <c r="AD21" s="426">
        <v>4</v>
      </c>
      <c r="AE21" s="426">
        <v>4</v>
      </c>
      <c r="AF21" s="426" t="s">
        <v>522</v>
      </c>
      <c r="AG21" s="426" t="s">
        <v>523</v>
      </c>
    </row>
    <row r="22" spans="1:33" ht="115.2" hidden="1">
      <c r="A22" s="426" t="s">
        <v>515</v>
      </c>
      <c r="B22" s="426" t="s">
        <v>384</v>
      </c>
      <c r="C22" s="426" t="s">
        <v>516</v>
      </c>
      <c r="D22" s="426" t="s">
        <v>461</v>
      </c>
      <c r="Z22" s="426">
        <v>5</v>
      </c>
      <c r="AA22" s="426">
        <v>5</v>
      </c>
      <c r="AB22" s="426">
        <v>5</v>
      </c>
      <c r="AC22" s="426">
        <v>5</v>
      </c>
      <c r="AD22" s="426">
        <v>4</v>
      </c>
      <c r="AE22" s="426">
        <v>4</v>
      </c>
      <c r="AG22" s="426" t="s">
        <v>524</v>
      </c>
    </row>
    <row r="23" spans="1:33" ht="144" hidden="1">
      <c r="A23" s="426" t="s">
        <v>515</v>
      </c>
      <c r="B23" s="426" t="s">
        <v>384</v>
      </c>
      <c r="C23" s="426" t="s">
        <v>516</v>
      </c>
      <c r="D23" s="426" t="s">
        <v>448</v>
      </c>
      <c r="E23" s="426">
        <v>4</v>
      </c>
      <c r="F23" s="426">
        <v>4</v>
      </c>
      <c r="G23" s="426">
        <v>4</v>
      </c>
      <c r="H23" s="426">
        <v>4</v>
      </c>
      <c r="I23" s="426">
        <v>4</v>
      </c>
      <c r="J23" s="426">
        <v>4</v>
      </c>
      <c r="L23" s="426" t="s">
        <v>449</v>
      </c>
      <c r="N23" s="426" t="s">
        <v>463</v>
      </c>
      <c r="P23" s="426">
        <v>4</v>
      </c>
      <c r="Q23" s="426">
        <v>3</v>
      </c>
      <c r="R23" s="426">
        <v>4</v>
      </c>
      <c r="T23" s="426" t="s">
        <v>525</v>
      </c>
      <c r="U23" s="426" t="s">
        <v>454</v>
      </c>
      <c r="V23" s="426" t="s">
        <v>526</v>
      </c>
      <c r="W23" s="426" t="s">
        <v>527</v>
      </c>
      <c r="X23" s="426" t="s">
        <v>528</v>
      </c>
      <c r="Y23" s="426" t="s">
        <v>529</v>
      </c>
      <c r="Z23" s="426">
        <v>3</v>
      </c>
      <c r="AA23" s="426">
        <v>4</v>
      </c>
      <c r="AB23" s="426">
        <v>4</v>
      </c>
      <c r="AC23" s="426">
        <v>3</v>
      </c>
      <c r="AD23" s="426">
        <v>4</v>
      </c>
      <c r="AE23" s="426">
        <v>4</v>
      </c>
      <c r="AG23" s="426" t="s">
        <v>530</v>
      </c>
    </row>
    <row r="24" spans="1:33" hidden="1">
      <c r="A24" s="426" t="s">
        <v>515</v>
      </c>
      <c r="B24" s="426" t="s">
        <v>384</v>
      </c>
      <c r="C24" s="426" t="s">
        <v>516</v>
      </c>
      <c r="D24" s="426" t="s">
        <v>461</v>
      </c>
      <c r="E24" s="426">
        <v>5</v>
      </c>
      <c r="F24" s="426">
        <v>5</v>
      </c>
      <c r="G24" s="426">
        <v>5</v>
      </c>
      <c r="H24" s="426">
        <v>5</v>
      </c>
      <c r="I24" s="426">
        <v>5</v>
      </c>
      <c r="J24" s="426">
        <v>5</v>
      </c>
      <c r="Z24" s="426">
        <v>5</v>
      </c>
      <c r="AA24" s="426">
        <v>5</v>
      </c>
      <c r="AB24" s="426">
        <v>5</v>
      </c>
      <c r="AC24" s="426">
        <v>5</v>
      </c>
      <c r="AD24" s="426">
        <v>5</v>
      </c>
      <c r="AE24" s="426">
        <v>5</v>
      </c>
      <c r="AG24" s="426" t="s">
        <v>264</v>
      </c>
    </row>
    <row r="25" spans="1:33" ht="144" hidden="1">
      <c r="A25" s="426" t="s">
        <v>515</v>
      </c>
      <c r="B25" s="426" t="s">
        <v>384</v>
      </c>
      <c r="C25" s="426" t="s">
        <v>516</v>
      </c>
      <c r="D25" s="426" t="s">
        <v>448</v>
      </c>
      <c r="E25" s="426">
        <v>5</v>
      </c>
      <c r="F25" s="426">
        <v>5</v>
      </c>
      <c r="G25" s="426">
        <v>4</v>
      </c>
      <c r="H25" s="426">
        <v>5</v>
      </c>
      <c r="I25" s="426">
        <v>4</v>
      </c>
      <c r="J25" s="426">
        <v>5</v>
      </c>
      <c r="L25" s="426" t="s">
        <v>449</v>
      </c>
      <c r="N25" s="426" t="s">
        <v>463</v>
      </c>
      <c r="P25" s="426">
        <v>4</v>
      </c>
      <c r="Q25" s="426">
        <v>4</v>
      </c>
      <c r="R25" s="426">
        <v>5</v>
      </c>
      <c r="T25" s="426" t="s">
        <v>531</v>
      </c>
      <c r="U25" s="426" t="s">
        <v>454</v>
      </c>
      <c r="V25" s="426" t="s">
        <v>532</v>
      </c>
      <c r="W25" s="426" t="s">
        <v>533</v>
      </c>
      <c r="X25" s="426" t="s">
        <v>534</v>
      </c>
      <c r="Y25" s="426" t="s">
        <v>535</v>
      </c>
      <c r="Z25" s="426">
        <v>4</v>
      </c>
      <c r="AA25" s="426">
        <v>4</v>
      </c>
      <c r="AB25" s="426">
        <v>4</v>
      </c>
      <c r="AC25" s="426">
        <v>4</v>
      </c>
      <c r="AD25" s="426">
        <v>4</v>
      </c>
      <c r="AE25" s="426">
        <v>4</v>
      </c>
      <c r="AG25" s="426" t="s">
        <v>536</v>
      </c>
    </row>
    <row r="26" spans="1:33" ht="144" hidden="1">
      <c r="A26" s="426" t="s">
        <v>515</v>
      </c>
      <c r="B26" s="426" t="s">
        <v>384</v>
      </c>
      <c r="C26" s="426" t="s">
        <v>516</v>
      </c>
      <c r="D26" s="426" t="s">
        <v>448</v>
      </c>
      <c r="E26" s="426">
        <v>3</v>
      </c>
      <c r="F26" s="426">
        <v>3</v>
      </c>
      <c r="G26" s="426">
        <v>5</v>
      </c>
      <c r="H26" s="426">
        <v>4</v>
      </c>
      <c r="I26" s="426">
        <v>4</v>
      </c>
      <c r="J26" s="426">
        <v>4</v>
      </c>
      <c r="L26" s="426" t="s">
        <v>449</v>
      </c>
      <c r="N26" s="426" t="s">
        <v>463</v>
      </c>
      <c r="P26" s="426">
        <v>4</v>
      </c>
      <c r="Q26" s="426">
        <v>4</v>
      </c>
      <c r="R26" s="426">
        <v>4</v>
      </c>
      <c r="T26" s="426" t="s">
        <v>537</v>
      </c>
      <c r="U26" s="426" t="s">
        <v>538</v>
      </c>
      <c r="V26" s="426" t="s">
        <v>539</v>
      </c>
      <c r="W26" s="426" t="s">
        <v>540</v>
      </c>
      <c r="X26" s="426" t="s">
        <v>541</v>
      </c>
      <c r="Y26" s="426" t="s">
        <v>542</v>
      </c>
      <c r="Z26" s="426">
        <v>5</v>
      </c>
      <c r="AA26" s="426">
        <v>5</v>
      </c>
      <c r="AB26" s="426">
        <v>5</v>
      </c>
      <c r="AC26" s="426">
        <v>4</v>
      </c>
      <c r="AD26" s="426">
        <v>5</v>
      </c>
      <c r="AE26" s="426">
        <v>4</v>
      </c>
      <c r="AG26" s="426" t="s">
        <v>543</v>
      </c>
    </row>
    <row r="27" spans="1:33" ht="100.8" hidden="1">
      <c r="A27" s="426" t="s">
        <v>544</v>
      </c>
      <c r="B27" s="426" t="s">
        <v>81</v>
      </c>
      <c r="C27" s="426" t="s">
        <v>516</v>
      </c>
      <c r="D27" s="426" t="s">
        <v>461</v>
      </c>
      <c r="Z27" s="426">
        <v>4</v>
      </c>
      <c r="AA27" s="426">
        <v>4</v>
      </c>
      <c r="AB27" s="426">
        <v>3</v>
      </c>
      <c r="AC27" s="426">
        <v>3</v>
      </c>
      <c r="AD27" s="426">
        <v>3</v>
      </c>
      <c r="AE27" s="426">
        <v>4</v>
      </c>
      <c r="AG27" s="426" t="s">
        <v>545</v>
      </c>
    </row>
    <row r="28" spans="1:33" ht="28.8" hidden="1">
      <c r="A28" s="426" t="s">
        <v>544</v>
      </c>
      <c r="B28" s="426" t="s">
        <v>81</v>
      </c>
      <c r="C28" s="426" t="s">
        <v>516</v>
      </c>
      <c r="D28" s="426" t="s">
        <v>461</v>
      </c>
      <c r="Z28" s="426">
        <v>5</v>
      </c>
      <c r="AA28" s="426">
        <v>5</v>
      </c>
      <c r="AB28" s="426">
        <v>5</v>
      </c>
      <c r="AC28" s="426">
        <v>5</v>
      </c>
      <c r="AD28" s="426">
        <v>5</v>
      </c>
      <c r="AE28" s="426">
        <v>5</v>
      </c>
      <c r="AG28" s="426" t="s">
        <v>546</v>
      </c>
    </row>
    <row r="29" spans="1:33" ht="129.6" hidden="1">
      <c r="A29" s="426" t="s">
        <v>544</v>
      </c>
      <c r="B29" s="426" t="s">
        <v>81</v>
      </c>
      <c r="C29" s="426" t="s">
        <v>516</v>
      </c>
      <c r="D29" s="426" t="s">
        <v>461</v>
      </c>
      <c r="Z29" s="426">
        <v>4</v>
      </c>
      <c r="AA29" s="426">
        <v>4</v>
      </c>
      <c r="AB29" s="426">
        <v>3</v>
      </c>
      <c r="AC29" s="426">
        <v>4</v>
      </c>
      <c r="AD29" s="426">
        <v>4</v>
      </c>
      <c r="AE29" s="426">
        <v>4</v>
      </c>
      <c r="AG29" s="426" t="s">
        <v>547</v>
      </c>
    </row>
    <row r="30" spans="1:33" ht="388.8" hidden="1">
      <c r="A30" s="426" t="s">
        <v>548</v>
      </c>
      <c r="B30" s="426" t="s">
        <v>549</v>
      </c>
      <c r="C30" s="426" t="s">
        <v>447</v>
      </c>
      <c r="D30" s="426" t="s">
        <v>461</v>
      </c>
      <c r="Z30" s="426">
        <v>4</v>
      </c>
      <c r="AA30" s="426">
        <v>4</v>
      </c>
      <c r="AB30" s="426">
        <v>3</v>
      </c>
      <c r="AC30" s="426">
        <v>2</v>
      </c>
      <c r="AD30" s="426">
        <v>2</v>
      </c>
      <c r="AE30" s="426">
        <v>3</v>
      </c>
      <c r="AG30" s="426" t="s">
        <v>550</v>
      </c>
    </row>
    <row r="31" spans="1:33" ht="144" hidden="1">
      <c r="A31" s="426" t="s">
        <v>548</v>
      </c>
      <c r="B31" s="426" t="s">
        <v>549</v>
      </c>
      <c r="C31" s="426" t="s">
        <v>447</v>
      </c>
      <c r="D31" s="426" t="s">
        <v>448</v>
      </c>
      <c r="E31" s="426">
        <v>5</v>
      </c>
      <c r="F31" s="426">
        <v>5</v>
      </c>
      <c r="G31" s="426">
        <v>5</v>
      </c>
      <c r="H31" s="426">
        <v>5</v>
      </c>
      <c r="I31" s="426">
        <v>5</v>
      </c>
      <c r="J31" s="426">
        <v>5</v>
      </c>
      <c r="L31" s="426" t="s">
        <v>497</v>
      </c>
      <c r="N31" s="426" t="s">
        <v>463</v>
      </c>
      <c r="P31" s="426">
        <v>5</v>
      </c>
      <c r="Q31" s="426">
        <v>5</v>
      </c>
      <c r="R31" s="426">
        <v>5</v>
      </c>
      <c r="T31" s="426" t="s">
        <v>551</v>
      </c>
      <c r="U31" s="426" t="s">
        <v>454</v>
      </c>
      <c r="V31" s="426" t="s">
        <v>551</v>
      </c>
      <c r="W31" s="426" t="s">
        <v>551</v>
      </c>
      <c r="X31" s="426" t="s">
        <v>264</v>
      </c>
      <c r="Y31" s="426" t="s">
        <v>264</v>
      </c>
      <c r="Z31" s="426">
        <v>5</v>
      </c>
      <c r="AA31" s="426">
        <v>5</v>
      </c>
      <c r="AB31" s="426">
        <v>5</v>
      </c>
      <c r="AC31" s="426">
        <v>5</v>
      </c>
      <c r="AD31" s="426">
        <v>5</v>
      </c>
      <c r="AE31" s="426">
        <v>5</v>
      </c>
      <c r="AG31" s="426" t="s">
        <v>552</v>
      </c>
    </row>
    <row r="32" spans="1:33" ht="158.4" hidden="1">
      <c r="A32" s="426" t="s">
        <v>553</v>
      </c>
      <c r="B32" s="426" t="s">
        <v>386</v>
      </c>
      <c r="C32" s="426" t="s">
        <v>516</v>
      </c>
      <c r="D32" s="426" t="s">
        <v>448</v>
      </c>
      <c r="E32" s="426">
        <v>4</v>
      </c>
      <c r="F32" s="426">
        <v>5</v>
      </c>
      <c r="G32" s="426">
        <v>4</v>
      </c>
      <c r="H32" s="426">
        <v>4</v>
      </c>
      <c r="I32" s="426">
        <v>5</v>
      </c>
      <c r="J32" s="426">
        <v>4</v>
      </c>
      <c r="L32" s="426" t="s">
        <v>554</v>
      </c>
      <c r="N32" s="426" t="s">
        <v>463</v>
      </c>
      <c r="P32" s="426">
        <v>4</v>
      </c>
      <c r="Q32" s="426">
        <v>4</v>
      </c>
      <c r="R32" s="426">
        <v>4</v>
      </c>
      <c r="T32" s="426" t="s">
        <v>555</v>
      </c>
      <c r="U32" s="426" t="s">
        <v>556</v>
      </c>
      <c r="V32" s="426" t="s">
        <v>557</v>
      </c>
      <c r="W32" s="426" t="s">
        <v>558</v>
      </c>
      <c r="X32" s="426" t="s">
        <v>559</v>
      </c>
      <c r="Y32" s="426" t="s">
        <v>560</v>
      </c>
      <c r="Z32" s="426">
        <v>4</v>
      </c>
      <c r="AA32" s="426">
        <v>5</v>
      </c>
      <c r="AB32" s="426">
        <v>5</v>
      </c>
      <c r="AC32" s="426">
        <v>4</v>
      </c>
      <c r="AD32" s="426">
        <v>4</v>
      </c>
      <c r="AE32" s="426">
        <v>4</v>
      </c>
      <c r="AG32" s="426" t="s">
        <v>561</v>
      </c>
    </row>
    <row r="33" spans="1:33" ht="72" hidden="1">
      <c r="A33" s="426" t="s">
        <v>553</v>
      </c>
      <c r="B33" s="426" t="s">
        <v>386</v>
      </c>
      <c r="C33" s="426" t="s">
        <v>516</v>
      </c>
      <c r="D33" s="426" t="s">
        <v>461</v>
      </c>
      <c r="Z33" s="426">
        <v>4</v>
      </c>
      <c r="AA33" s="426">
        <v>4</v>
      </c>
      <c r="AB33" s="426">
        <v>5</v>
      </c>
      <c r="AC33" s="426">
        <v>4</v>
      </c>
      <c r="AD33" s="426">
        <v>4</v>
      </c>
      <c r="AE33" s="426">
        <v>4</v>
      </c>
      <c r="AG33" s="426" t="s">
        <v>562</v>
      </c>
    </row>
    <row r="34" spans="1:33" ht="144" hidden="1">
      <c r="A34" s="426" t="s">
        <v>553</v>
      </c>
      <c r="B34" s="426" t="s">
        <v>386</v>
      </c>
      <c r="C34" s="426" t="s">
        <v>516</v>
      </c>
      <c r="D34" s="426" t="s">
        <v>448</v>
      </c>
      <c r="E34" s="426">
        <v>4</v>
      </c>
      <c r="F34" s="426">
        <v>5</v>
      </c>
      <c r="G34" s="426">
        <v>4</v>
      </c>
      <c r="H34" s="426">
        <v>4</v>
      </c>
      <c r="I34" s="426">
        <v>5</v>
      </c>
      <c r="J34" s="426">
        <v>5</v>
      </c>
      <c r="L34" s="426" t="s">
        <v>449</v>
      </c>
      <c r="N34" s="426" t="s">
        <v>463</v>
      </c>
      <c r="P34" s="426">
        <v>4</v>
      </c>
      <c r="Q34" s="426">
        <v>4</v>
      </c>
      <c r="R34" s="426">
        <v>4</v>
      </c>
      <c r="T34" s="426" t="s">
        <v>563</v>
      </c>
      <c r="U34" s="426" t="s">
        <v>556</v>
      </c>
      <c r="V34" s="426" t="s">
        <v>564</v>
      </c>
      <c r="W34" s="426" t="s">
        <v>565</v>
      </c>
      <c r="X34" s="426" t="s">
        <v>566</v>
      </c>
      <c r="Y34" s="426" t="s">
        <v>567</v>
      </c>
      <c r="Z34" s="426">
        <v>4</v>
      </c>
      <c r="AA34" s="426">
        <v>4</v>
      </c>
      <c r="AB34" s="426">
        <v>4</v>
      </c>
      <c r="AC34" s="426">
        <v>4</v>
      </c>
      <c r="AD34" s="426">
        <v>5</v>
      </c>
      <c r="AE34" s="426">
        <v>5</v>
      </c>
      <c r="AG34" s="426" t="s">
        <v>568</v>
      </c>
    </row>
    <row r="35" spans="1:33" ht="244.8" hidden="1">
      <c r="A35" s="426" t="s">
        <v>553</v>
      </c>
      <c r="B35" s="426" t="s">
        <v>386</v>
      </c>
      <c r="C35" s="426" t="s">
        <v>516</v>
      </c>
      <c r="D35" s="426" t="s">
        <v>448</v>
      </c>
      <c r="E35" s="426">
        <v>5</v>
      </c>
      <c r="F35" s="426">
        <v>5</v>
      </c>
      <c r="G35" s="426">
        <v>5</v>
      </c>
      <c r="H35" s="426">
        <v>5</v>
      </c>
      <c r="I35" s="426">
        <v>5</v>
      </c>
      <c r="J35" s="426">
        <v>5</v>
      </c>
      <c r="L35" s="426" t="s">
        <v>497</v>
      </c>
      <c r="N35" s="426" t="s">
        <v>463</v>
      </c>
      <c r="P35" s="426">
        <v>4</v>
      </c>
      <c r="Q35" s="426">
        <v>4</v>
      </c>
      <c r="R35" s="426">
        <v>4</v>
      </c>
      <c r="T35" s="426" t="s">
        <v>569</v>
      </c>
      <c r="U35" s="426" t="s">
        <v>454</v>
      </c>
      <c r="V35" s="426" t="s">
        <v>454</v>
      </c>
      <c r="W35" s="426" t="s">
        <v>570</v>
      </c>
      <c r="X35" s="426" t="s">
        <v>264</v>
      </c>
      <c r="Y35" s="426" t="s">
        <v>571</v>
      </c>
      <c r="Z35" s="426">
        <v>5</v>
      </c>
      <c r="AA35" s="426">
        <v>5</v>
      </c>
      <c r="AB35" s="426">
        <v>4</v>
      </c>
      <c r="AC35" s="426">
        <v>4</v>
      </c>
      <c r="AD35" s="426">
        <v>4</v>
      </c>
      <c r="AE35" s="426">
        <v>5</v>
      </c>
      <c r="AG35" s="426" t="s">
        <v>264</v>
      </c>
    </row>
    <row r="36" spans="1:33" ht="144" hidden="1">
      <c r="A36" s="426" t="s">
        <v>553</v>
      </c>
      <c r="B36" s="426" t="s">
        <v>386</v>
      </c>
      <c r="C36" s="426" t="s">
        <v>516</v>
      </c>
      <c r="D36" s="426" t="s">
        <v>448</v>
      </c>
      <c r="E36" s="426">
        <v>4</v>
      </c>
      <c r="F36" s="426">
        <v>4</v>
      </c>
      <c r="G36" s="426">
        <v>5</v>
      </c>
      <c r="H36" s="426">
        <v>4</v>
      </c>
      <c r="I36" s="426">
        <v>4</v>
      </c>
      <c r="J36" s="426">
        <v>4</v>
      </c>
      <c r="L36" s="426" t="s">
        <v>449</v>
      </c>
      <c r="N36" s="426" t="s">
        <v>463</v>
      </c>
      <c r="P36" s="426">
        <v>5</v>
      </c>
      <c r="Q36" s="426">
        <v>5</v>
      </c>
      <c r="R36" s="426">
        <v>5</v>
      </c>
      <c r="T36" s="426" t="s">
        <v>572</v>
      </c>
      <c r="U36" s="426" t="s">
        <v>465</v>
      </c>
      <c r="V36" s="426" t="s">
        <v>465</v>
      </c>
      <c r="W36" s="426" t="s">
        <v>465</v>
      </c>
      <c r="X36" s="426" t="s">
        <v>495</v>
      </c>
      <c r="Y36" s="426" t="s">
        <v>573</v>
      </c>
      <c r="Z36" s="426">
        <v>1</v>
      </c>
      <c r="AA36" s="426">
        <v>1</v>
      </c>
      <c r="AB36" s="426">
        <v>1</v>
      </c>
      <c r="AC36" s="426">
        <v>1</v>
      </c>
      <c r="AD36" s="426">
        <v>1</v>
      </c>
      <c r="AE36" s="426">
        <v>1</v>
      </c>
      <c r="AG36" s="426" t="s">
        <v>495</v>
      </c>
    </row>
    <row r="37" spans="1:33" ht="144" hidden="1">
      <c r="A37" s="426" t="s">
        <v>553</v>
      </c>
      <c r="B37" s="426" t="s">
        <v>386</v>
      </c>
      <c r="C37" s="426" t="s">
        <v>516</v>
      </c>
      <c r="D37" s="426" t="s">
        <v>448</v>
      </c>
      <c r="E37" s="426">
        <v>5</v>
      </c>
      <c r="F37" s="426">
        <v>5</v>
      </c>
      <c r="G37" s="426">
        <v>5</v>
      </c>
      <c r="H37" s="426">
        <v>5</v>
      </c>
      <c r="I37" s="426">
        <v>5</v>
      </c>
      <c r="J37" s="426">
        <v>5</v>
      </c>
      <c r="L37" s="426" t="s">
        <v>449</v>
      </c>
      <c r="N37" s="426" t="s">
        <v>463</v>
      </c>
      <c r="P37" s="426">
        <v>4</v>
      </c>
      <c r="Q37" s="426">
        <v>4</v>
      </c>
      <c r="R37" s="426">
        <v>5</v>
      </c>
      <c r="T37" s="426" t="s">
        <v>574</v>
      </c>
      <c r="U37" s="426" t="s">
        <v>575</v>
      </c>
      <c r="V37" s="426" t="s">
        <v>576</v>
      </c>
      <c r="W37" s="426" t="s">
        <v>577</v>
      </c>
      <c r="X37" s="426" t="s">
        <v>541</v>
      </c>
      <c r="Y37" s="426" t="s">
        <v>541</v>
      </c>
      <c r="Z37" s="426">
        <v>4</v>
      </c>
      <c r="AA37" s="426">
        <v>4</v>
      </c>
      <c r="AB37" s="426">
        <v>4</v>
      </c>
      <c r="AC37" s="426">
        <v>4</v>
      </c>
      <c r="AD37" s="426">
        <v>4</v>
      </c>
      <c r="AE37" s="426">
        <v>5</v>
      </c>
      <c r="AG37" s="426" t="s">
        <v>541</v>
      </c>
    </row>
    <row r="38" spans="1:33" ht="144" hidden="1">
      <c r="A38" s="426" t="s">
        <v>553</v>
      </c>
      <c r="B38" s="426" t="s">
        <v>386</v>
      </c>
      <c r="C38" s="426" t="s">
        <v>516</v>
      </c>
      <c r="D38" s="426" t="s">
        <v>448</v>
      </c>
      <c r="E38" s="426">
        <v>5</v>
      </c>
      <c r="F38" s="426">
        <v>5</v>
      </c>
      <c r="G38" s="426">
        <v>5</v>
      </c>
      <c r="H38" s="426">
        <v>5</v>
      </c>
      <c r="I38" s="426">
        <v>5</v>
      </c>
      <c r="J38" s="426">
        <v>5</v>
      </c>
      <c r="L38" s="426" t="s">
        <v>449</v>
      </c>
      <c r="N38" s="426" t="s">
        <v>463</v>
      </c>
      <c r="P38" s="426">
        <v>5</v>
      </c>
      <c r="Q38" s="426">
        <v>5</v>
      </c>
      <c r="R38" s="426">
        <v>5</v>
      </c>
      <c r="T38" s="426" t="s">
        <v>574</v>
      </c>
      <c r="U38" s="426" t="s">
        <v>575</v>
      </c>
      <c r="V38" s="426" t="s">
        <v>576</v>
      </c>
      <c r="W38" s="426" t="s">
        <v>577</v>
      </c>
      <c r="X38" s="426" t="s">
        <v>541</v>
      </c>
      <c r="Y38" s="426" t="s">
        <v>541</v>
      </c>
      <c r="Z38" s="426">
        <v>5</v>
      </c>
      <c r="AA38" s="426">
        <v>4</v>
      </c>
      <c r="AB38" s="426">
        <v>5</v>
      </c>
      <c r="AC38" s="426">
        <v>5</v>
      </c>
      <c r="AD38" s="426">
        <v>5</v>
      </c>
      <c r="AE38" s="426">
        <v>5</v>
      </c>
      <c r="AG38" s="426" t="s">
        <v>541</v>
      </c>
    </row>
    <row r="39" spans="1:33" ht="86.4" hidden="1">
      <c r="A39" s="426" t="s">
        <v>553</v>
      </c>
      <c r="B39" s="426" t="s">
        <v>386</v>
      </c>
      <c r="C39" s="426" t="s">
        <v>516</v>
      </c>
      <c r="D39" s="426" t="s">
        <v>448</v>
      </c>
      <c r="E39" s="426">
        <v>4</v>
      </c>
      <c r="F39" s="426">
        <v>4</v>
      </c>
      <c r="G39" s="426">
        <v>5</v>
      </c>
      <c r="H39" s="426">
        <v>5</v>
      </c>
      <c r="I39" s="426">
        <v>5</v>
      </c>
      <c r="J39" s="426">
        <v>5</v>
      </c>
      <c r="L39" s="426" t="s">
        <v>449</v>
      </c>
      <c r="N39" s="426" t="s">
        <v>498</v>
      </c>
      <c r="P39" s="426">
        <v>4</v>
      </c>
      <c r="Q39" s="426">
        <v>3</v>
      </c>
      <c r="R39" s="426">
        <v>4</v>
      </c>
      <c r="T39" s="426" t="s">
        <v>578</v>
      </c>
      <c r="U39" s="426" t="s">
        <v>454</v>
      </c>
      <c r="V39" s="426" t="s">
        <v>579</v>
      </c>
      <c r="W39" s="426" t="s">
        <v>580</v>
      </c>
      <c r="X39" s="426" t="s">
        <v>581</v>
      </c>
      <c r="Y39" s="426" t="s">
        <v>582</v>
      </c>
      <c r="Z39" s="426">
        <v>3</v>
      </c>
      <c r="AA39" s="426">
        <v>5</v>
      </c>
      <c r="AB39" s="426">
        <v>4</v>
      </c>
      <c r="AC39" s="426">
        <v>3</v>
      </c>
      <c r="AD39" s="426">
        <v>4</v>
      </c>
      <c r="AE39" s="426">
        <v>3</v>
      </c>
      <c r="AG39" s="426" t="s">
        <v>583</v>
      </c>
    </row>
    <row r="40" spans="1:33" ht="86.4" hidden="1">
      <c r="A40" s="426" t="s">
        <v>584</v>
      </c>
      <c r="B40" s="426" t="s">
        <v>89</v>
      </c>
      <c r="C40" s="426" t="s">
        <v>447</v>
      </c>
      <c r="D40" s="426" t="s">
        <v>461</v>
      </c>
      <c r="Z40" s="426">
        <v>3</v>
      </c>
      <c r="AA40" s="426">
        <v>5</v>
      </c>
      <c r="AB40" s="426">
        <v>3</v>
      </c>
      <c r="AC40" s="426">
        <v>4</v>
      </c>
      <c r="AD40" s="426">
        <v>4</v>
      </c>
      <c r="AE40" s="426">
        <v>5</v>
      </c>
      <c r="AG40" s="426" t="s">
        <v>585</v>
      </c>
    </row>
    <row r="41" spans="1:33" ht="158.4" hidden="1">
      <c r="A41" s="426" t="s">
        <v>584</v>
      </c>
      <c r="B41" s="426" t="s">
        <v>89</v>
      </c>
      <c r="C41" s="426" t="s">
        <v>447</v>
      </c>
      <c r="D41" s="426" t="s">
        <v>448</v>
      </c>
      <c r="E41" s="426">
        <v>3</v>
      </c>
      <c r="F41" s="426">
        <v>4</v>
      </c>
      <c r="G41" s="426">
        <v>4</v>
      </c>
      <c r="H41" s="426">
        <v>4</v>
      </c>
      <c r="I41" s="426">
        <v>3</v>
      </c>
      <c r="J41" s="426">
        <v>4</v>
      </c>
      <c r="K41" s="426" t="s">
        <v>586</v>
      </c>
      <c r="L41" s="426" t="s">
        <v>554</v>
      </c>
      <c r="N41" s="426" t="s">
        <v>450</v>
      </c>
      <c r="O41" s="426" t="s">
        <v>587</v>
      </c>
      <c r="P41" s="426">
        <v>3</v>
      </c>
      <c r="Q41" s="426">
        <v>3</v>
      </c>
      <c r="R41" s="426">
        <v>4</v>
      </c>
      <c r="S41" s="426" t="s">
        <v>588</v>
      </c>
      <c r="T41" s="426" t="s">
        <v>589</v>
      </c>
      <c r="U41" s="426" t="s">
        <v>454</v>
      </c>
      <c r="V41" s="426" t="s">
        <v>590</v>
      </c>
      <c r="W41" s="426" t="s">
        <v>533</v>
      </c>
      <c r="X41" s="426" t="s">
        <v>591</v>
      </c>
      <c r="Y41" s="426" t="s">
        <v>592</v>
      </c>
      <c r="Z41" s="426">
        <v>4</v>
      </c>
      <c r="AA41" s="426">
        <v>4</v>
      </c>
      <c r="AB41" s="426">
        <v>4</v>
      </c>
      <c r="AC41" s="426">
        <v>4</v>
      </c>
      <c r="AD41" s="426">
        <v>4</v>
      </c>
      <c r="AE41" s="426">
        <v>4</v>
      </c>
      <c r="AG41" s="426" t="s">
        <v>593</v>
      </c>
    </row>
    <row r="42" spans="1:33" ht="144" hidden="1">
      <c r="A42" s="426" t="s">
        <v>584</v>
      </c>
      <c r="B42" s="426" t="s">
        <v>89</v>
      </c>
      <c r="C42" s="426" t="s">
        <v>447</v>
      </c>
      <c r="D42" s="426" t="s">
        <v>448</v>
      </c>
      <c r="E42" s="426">
        <v>5</v>
      </c>
      <c r="F42" s="426">
        <v>5</v>
      </c>
      <c r="G42" s="426">
        <v>5</v>
      </c>
      <c r="H42" s="426">
        <v>5</v>
      </c>
      <c r="I42" s="426">
        <v>5</v>
      </c>
      <c r="J42" s="426">
        <v>5</v>
      </c>
      <c r="L42" s="426" t="s">
        <v>449</v>
      </c>
      <c r="N42" s="426" t="s">
        <v>463</v>
      </c>
      <c r="P42" s="426">
        <v>4</v>
      </c>
      <c r="Q42" s="426">
        <v>4</v>
      </c>
      <c r="R42" s="426">
        <v>4</v>
      </c>
      <c r="T42" s="426" t="s">
        <v>594</v>
      </c>
      <c r="U42" s="426" t="s">
        <v>595</v>
      </c>
      <c r="V42" s="426" t="s">
        <v>596</v>
      </c>
      <c r="W42" s="426" t="s">
        <v>454</v>
      </c>
      <c r="X42" s="426" t="s">
        <v>597</v>
      </c>
      <c r="Y42" s="426" t="s">
        <v>598</v>
      </c>
      <c r="Z42" s="426">
        <v>5</v>
      </c>
      <c r="AA42" s="426">
        <v>5</v>
      </c>
      <c r="AB42" s="426">
        <v>4</v>
      </c>
      <c r="AC42" s="426">
        <v>4</v>
      </c>
      <c r="AD42" s="426">
        <v>5</v>
      </c>
      <c r="AE42" s="426">
        <v>5</v>
      </c>
      <c r="AG42" s="426" t="s">
        <v>599</v>
      </c>
    </row>
    <row r="43" spans="1:33" hidden="1">
      <c r="A43" s="426" t="s">
        <v>600</v>
      </c>
      <c r="B43" s="426" t="s">
        <v>387</v>
      </c>
      <c r="C43" s="426" t="s">
        <v>447</v>
      </c>
      <c r="D43" s="426" t="s">
        <v>461</v>
      </c>
    </row>
    <row r="44" spans="1:33" ht="144" hidden="1">
      <c r="A44" s="426" t="s">
        <v>600</v>
      </c>
      <c r="B44" s="426" t="s">
        <v>387</v>
      </c>
      <c r="C44" s="426" t="s">
        <v>447</v>
      </c>
      <c r="D44" s="426" t="s">
        <v>448</v>
      </c>
      <c r="E44" s="426">
        <v>5</v>
      </c>
      <c r="F44" s="426">
        <v>5</v>
      </c>
      <c r="G44" s="426">
        <v>5</v>
      </c>
      <c r="H44" s="426">
        <v>5</v>
      </c>
      <c r="I44" s="426">
        <v>5</v>
      </c>
      <c r="J44" s="426">
        <v>5</v>
      </c>
      <c r="K44" s="426" t="s">
        <v>601</v>
      </c>
      <c r="L44" s="426" t="s">
        <v>449</v>
      </c>
      <c r="N44" s="426" t="s">
        <v>463</v>
      </c>
      <c r="P44" s="426">
        <v>5</v>
      </c>
      <c r="Q44" s="426">
        <v>5</v>
      </c>
      <c r="R44" s="426">
        <v>5</v>
      </c>
      <c r="T44" s="426" t="s">
        <v>602</v>
      </c>
      <c r="U44" s="426" t="s">
        <v>603</v>
      </c>
      <c r="V44" s="426" t="s">
        <v>494</v>
      </c>
      <c r="W44" s="426" t="s">
        <v>604</v>
      </c>
      <c r="X44" s="426" t="s">
        <v>481</v>
      </c>
      <c r="Y44" s="426" t="s">
        <v>605</v>
      </c>
      <c r="Z44" s="426">
        <v>5</v>
      </c>
      <c r="AA44" s="426">
        <v>5</v>
      </c>
      <c r="AB44" s="426">
        <v>5</v>
      </c>
      <c r="AC44" s="426">
        <v>5</v>
      </c>
      <c r="AD44" s="426">
        <v>5</v>
      </c>
      <c r="AE44" s="426">
        <v>5</v>
      </c>
      <c r="AG44" s="426" t="s">
        <v>606</v>
      </c>
    </row>
    <row r="45" spans="1:33" hidden="1">
      <c r="A45" s="426" t="s">
        <v>600</v>
      </c>
      <c r="B45" s="426" t="s">
        <v>387</v>
      </c>
      <c r="C45" s="426" t="s">
        <v>447</v>
      </c>
      <c r="D45" s="426" t="s">
        <v>461</v>
      </c>
      <c r="Z45" s="426">
        <v>5</v>
      </c>
      <c r="AA45" s="426">
        <v>5</v>
      </c>
      <c r="AB45" s="426">
        <v>5</v>
      </c>
      <c r="AC45" s="426">
        <v>5</v>
      </c>
      <c r="AD45" s="426">
        <v>5</v>
      </c>
      <c r="AE45" s="426">
        <v>5</v>
      </c>
      <c r="AG45" s="426" t="s">
        <v>264</v>
      </c>
    </row>
    <row r="46" spans="1:33" ht="43.2" hidden="1">
      <c r="A46" s="426" t="s">
        <v>600</v>
      </c>
      <c r="B46" s="426" t="s">
        <v>387</v>
      </c>
      <c r="C46" s="426" t="s">
        <v>447</v>
      </c>
      <c r="D46" s="426" t="s">
        <v>461</v>
      </c>
      <c r="Z46" s="426">
        <v>5</v>
      </c>
      <c r="AA46" s="426">
        <v>5</v>
      </c>
      <c r="AB46" s="426">
        <v>5</v>
      </c>
      <c r="AC46" s="426">
        <v>5</v>
      </c>
      <c r="AD46" s="426">
        <v>5</v>
      </c>
      <c r="AE46" s="426">
        <v>5</v>
      </c>
      <c r="AG46" s="426" t="s">
        <v>607</v>
      </c>
    </row>
    <row r="47" spans="1:33" ht="43.2" hidden="1">
      <c r="A47" s="426" t="s">
        <v>608</v>
      </c>
      <c r="B47" s="426" t="s">
        <v>388</v>
      </c>
      <c r="C47" s="426" t="s">
        <v>447</v>
      </c>
      <c r="D47" s="426" t="s">
        <v>461</v>
      </c>
      <c r="Z47" s="426">
        <v>4</v>
      </c>
      <c r="AA47" s="426">
        <v>4</v>
      </c>
      <c r="AB47" s="426">
        <v>4</v>
      </c>
      <c r="AC47" s="426">
        <v>5</v>
      </c>
      <c r="AD47" s="426">
        <v>4</v>
      </c>
      <c r="AE47" s="426">
        <v>1</v>
      </c>
      <c r="AG47" s="426" t="s">
        <v>609</v>
      </c>
    </row>
    <row r="48" spans="1:33" ht="144" hidden="1">
      <c r="A48" s="426" t="s">
        <v>608</v>
      </c>
      <c r="B48" s="426" t="s">
        <v>388</v>
      </c>
      <c r="C48" s="426" t="s">
        <v>447</v>
      </c>
      <c r="D48" s="426" t="s">
        <v>448</v>
      </c>
      <c r="E48" s="426">
        <v>4</v>
      </c>
      <c r="F48" s="426">
        <v>4</v>
      </c>
      <c r="G48" s="426">
        <v>4</v>
      </c>
      <c r="H48" s="426">
        <v>4</v>
      </c>
      <c r="I48" s="426">
        <v>4</v>
      </c>
      <c r="J48" s="426">
        <v>4</v>
      </c>
      <c r="L48" s="426" t="s">
        <v>449</v>
      </c>
      <c r="N48" s="426" t="s">
        <v>463</v>
      </c>
      <c r="P48" s="426">
        <v>4</v>
      </c>
      <c r="Q48" s="426">
        <v>3</v>
      </c>
      <c r="R48" s="426">
        <v>4</v>
      </c>
      <c r="T48" s="426" t="s">
        <v>610</v>
      </c>
      <c r="U48" s="426" t="s">
        <v>611</v>
      </c>
      <c r="V48" s="426" t="s">
        <v>479</v>
      </c>
      <c r="W48" s="426" t="s">
        <v>612</v>
      </c>
      <c r="X48" s="426" t="s">
        <v>264</v>
      </c>
      <c r="Y48" s="426" t="s">
        <v>613</v>
      </c>
      <c r="Z48" s="426">
        <v>4</v>
      </c>
      <c r="AA48" s="426">
        <v>4</v>
      </c>
      <c r="AB48" s="426">
        <v>3</v>
      </c>
      <c r="AC48" s="426">
        <v>4</v>
      </c>
      <c r="AD48" s="426">
        <v>3</v>
      </c>
      <c r="AE48" s="426">
        <v>4</v>
      </c>
      <c r="AG48" s="426" t="s">
        <v>614</v>
      </c>
    </row>
    <row r="49" spans="1:33" ht="144" hidden="1">
      <c r="A49" s="426" t="s">
        <v>608</v>
      </c>
      <c r="B49" s="426" t="s">
        <v>388</v>
      </c>
      <c r="C49" s="426" t="s">
        <v>447</v>
      </c>
      <c r="D49" s="426" t="s">
        <v>448</v>
      </c>
      <c r="E49" s="426">
        <v>4</v>
      </c>
      <c r="F49" s="426">
        <v>3</v>
      </c>
      <c r="G49" s="426">
        <v>4</v>
      </c>
      <c r="H49" s="426">
        <v>3</v>
      </c>
      <c r="I49" s="426">
        <v>4</v>
      </c>
      <c r="J49" s="426">
        <v>3</v>
      </c>
      <c r="L49" s="426" t="s">
        <v>554</v>
      </c>
      <c r="N49" s="426" t="s">
        <v>450</v>
      </c>
      <c r="P49" s="426">
        <v>4</v>
      </c>
      <c r="Q49" s="426">
        <v>4</v>
      </c>
      <c r="R49" s="426">
        <v>3</v>
      </c>
      <c r="T49" s="426" t="s">
        <v>615</v>
      </c>
      <c r="U49" s="426" t="s">
        <v>616</v>
      </c>
      <c r="V49" s="426" t="s">
        <v>617</v>
      </c>
      <c r="W49" s="426" t="s">
        <v>618</v>
      </c>
      <c r="X49" s="426" t="s">
        <v>619</v>
      </c>
      <c r="Y49" s="426" t="s">
        <v>620</v>
      </c>
      <c r="Z49" s="426">
        <v>3</v>
      </c>
      <c r="AA49" s="426">
        <v>4</v>
      </c>
      <c r="AB49" s="426">
        <v>4</v>
      </c>
      <c r="AC49" s="426">
        <v>3</v>
      </c>
      <c r="AD49" s="426">
        <v>4</v>
      </c>
      <c r="AE49" s="426">
        <v>3</v>
      </c>
      <c r="AG49" s="426" t="s">
        <v>621</v>
      </c>
    </row>
    <row r="50" spans="1:33" ht="28.8" hidden="1">
      <c r="A50" s="426" t="s">
        <v>622</v>
      </c>
      <c r="B50" s="426" t="s">
        <v>389</v>
      </c>
      <c r="C50" s="426" t="s">
        <v>447</v>
      </c>
      <c r="D50" s="426" t="s">
        <v>461</v>
      </c>
      <c r="Z50" s="426">
        <v>5</v>
      </c>
      <c r="AA50" s="426">
        <v>5</v>
      </c>
      <c r="AB50" s="426">
        <v>5</v>
      </c>
      <c r="AC50" s="426">
        <v>5</v>
      </c>
      <c r="AD50" s="426">
        <v>5</v>
      </c>
      <c r="AE50" s="426">
        <v>5</v>
      </c>
      <c r="AG50" s="426" t="s">
        <v>623</v>
      </c>
    </row>
    <row r="51" spans="1:33" ht="72" hidden="1">
      <c r="A51" s="426" t="s">
        <v>622</v>
      </c>
      <c r="B51" s="426" t="s">
        <v>389</v>
      </c>
      <c r="C51" s="426" t="s">
        <v>447</v>
      </c>
      <c r="D51" s="426" t="s">
        <v>461</v>
      </c>
      <c r="Z51" s="426">
        <v>5</v>
      </c>
      <c r="AA51" s="426">
        <v>5</v>
      </c>
      <c r="AB51" s="426">
        <v>4</v>
      </c>
      <c r="AC51" s="426">
        <v>5</v>
      </c>
      <c r="AD51" s="426">
        <v>5</v>
      </c>
      <c r="AE51" s="426">
        <v>5</v>
      </c>
      <c r="AG51" s="426" t="s">
        <v>624</v>
      </c>
    </row>
    <row r="52" spans="1:33" ht="144" hidden="1">
      <c r="A52" s="426" t="s">
        <v>622</v>
      </c>
      <c r="B52" s="426" t="s">
        <v>389</v>
      </c>
      <c r="C52" s="426" t="s">
        <v>447</v>
      </c>
      <c r="D52" s="426" t="s">
        <v>448</v>
      </c>
      <c r="E52" s="426">
        <v>5</v>
      </c>
      <c r="F52" s="426">
        <v>4</v>
      </c>
      <c r="G52" s="426">
        <v>5</v>
      </c>
      <c r="H52" s="426">
        <v>4</v>
      </c>
      <c r="I52" s="426">
        <v>5</v>
      </c>
      <c r="J52" s="426">
        <v>5</v>
      </c>
      <c r="L52" s="426" t="s">
        <v>449</v>
      </c>
      <c r="N52" s="426" t="s">
        <v>463</v>
      </c>
      <c r="P52" s="426">
        <v>4</v>
      </c>
      <c r="Q52" s="426">
        <v>4</v>
      </c>
      <c r="R52" s="426">
        <v>4</v>
      </c>
      <c r="T52" s="426" t="s">
        <v>625</v>
      </c>
      <c r="U52" s="426" t="s">
        <v>454</v>
      </c>
      <c r="V52" s="426" t="s">
        <v>494</v>
      </c>
      <c r="W52" s="426" t="s">
        <v>465</v>
      </c>
      <c r="X52" s="426" t="s">
        <v>626</v>
      </c>
      <c r="Y52" s="426" t="s">
        <v>627</v>
      </c>
      <c r="Z52" s="426">
        <v>4</v>
      </c>
      <c r="AA52" s="426">
        <v>4</v>
      </c>
      <c r="AB52" s="426">
        <v>4</v>
      </c>
      <c r="AC52" s="426">
        <v>5</v>
      </c>
      <c r="AD52" s="426">
        <v>5</v>
      </c>
      <c r="AE52" s="426">
        <v>5</v>
      </c>
      <c r="AG52" s="426" t="s">
        <v>628</v>
      </c>
    </row>
    <row r="53" spans="1:33" ht="86.4" hidden="1">
      <c r="A53" s="426" t="s">
        <v>629</v>
      </c>
      <c r="B53" s="426" t="s">
        <v>630</v>
      </c>
      <c r="C53" s="426" t="s">
        <v>447</v>
      </c>
      <c r="D53" s="426" t="s">
        <v>461</v>
      </c>
      <c r="Z53" s="426">
        <v>5</v>
      </c>
      <c r="AA53" s="426">
        <v>5</v>
      </c>
      <c r="AB53" s="426">
        <v>5</v>
      </c>
      <c r="AC53" s="426">
        <v>5</v>
      </c>
      <c r="AD53" s="426">
        <v>5</v>
      </c>
      <c r="AE53" s="426">
        <v>5</v>
      </c>
      <c r="AG53" s="426" t="s">
        <v>631</v>
      </c>
    </row>
    <row r="54" spans="1:33" ht="144" hidden="1">
      <c r="A54" s="426" t="s">
        <v>629</v>
      </c>
      <c r="B54" s="426" t="s">
        <v>630</v>
      </c>
      <c r="C54" s="426" t="s">
        <v>447</v>
      </c>
      <c r="D54" s="426" t="s">
        <v>448</v>
      </c>
      <c r="E54" s="426">
        <v>5</v>
      </c>
      <c r="F54" s="426">
        <v>4</v>
      </c>
      <c r="G54" s="426">
        <v>5</v>
      </c>
      <c r="H54" s="426">
        <v>4</v>
      </c>
      <c r="I54" s="426">
        <v>4</v>
      </c>
      <c r="J54" s="426">
        <v>5</v>
      </c>
      <c r="L54" s="426" t="s">
        <v>449</v>
      </c>
      <c r="N54" s="426" t="s">
        <v>463</v>
      </c>
      <c r="P54" s="426">
        <v>4</v>
      </c>
      <c r="Q54" s="426">
        <v>4</v>
      </c>
      <c r="R54" s="426">
        <v>4</v>
      </c>
      <c r="T54" s="426" t="s">
        <v>632</v>
      </c>
      <c r="U54" s="426" t="s">
        <v>454</v>
      </c>
      <c r="V54" s="426" t="s">
        <v>454</v>
      </c>
      <c r="W54" s="426" t="s">
        <v>454</v>
      </c>
      <c r="X54" s="426" t="s">
        <v>495</v>
      </c>
      <c r="Y54" s="426" t="s">
        <v>495</v>
      </c>
      <c r="Z54" s="426">
        <v>4</v>
      </c>
      <c r="AA54" s="426">
        <v>4</v>
      </c>
      <c r="AB54" s="426">
        <v>4</v>
      </c>
      <c r="AC54" s="426">
        <v>4</v>
      </c>
      <c r="AD54" s="426">
        <v>4</v>
      </c>
      <c r="AE54" s="426">
        <v>4</v>
      </c>
      <c r="AG54" s="426" t="s">
        <v>633</v>
      </c>
    </row>
    <row r="55" spans="1:33" ht="259.2" hidden="1">
      <c r="A55" s="426" t="s">
        <v>629</v>
      </c>
      <c r="B55" s="426" t="s">
        <v>630</v>
      </c>
      <c r="C55" s="426" t="s">
        <v>447</v>
      </c>
      <c r="D55" s="426" t="s">
        <v>448</v>
      </c>
      <c r="E55" s="426">
        <v>5</v>
      </c>
      <c r="F55" s="426">
        <v>4</v>
      </c>
      <c r="G55" s="426">
        <v>5</v>
      </c>
      <c r="H55" s="426">
        <v>4</v>
      </c>
      <c r="I55" s="426">
        <v>5</v>
      </c>
      <c r="J55" s="426">
        <v>5</v>
      </c>
      <c r="L55" s="426" t="s">
        <v>449</v>
      </c>
      <c r="N55" s="426" t="s">
        <v>463</v>
      </c>
      <c r="P55" s="426">
        <v>5</v>
      </c>
      <c r="Q55" s="426">
        <v>5</v>
      </c>
      <c r="R55" s="426">
        <v>5</v>
      </c>
      <c r="T55" s="426" t="s">
        <v>634</v>
      </c>
      <c r="U55" s="426" t="s">
        <v>635</v>
      </c>
      <c r="V55" s="426" t="s">
        <v>636</v>
      </c>
      <c r="W55" s="426" t="s">
        <v>637</v>
      </c>
      <c r="X55" s="426" t="s">
        <v>638</v>
      </c>
      <c r="Y55" s="426" t="s">
        <v>639</v>
      </c>
      <c r="Z55" s="426">
        <v>5</v>
      </c>
      <c r="AA55" s="426">
        <v>5</v>
      </c>
      <c r="AB55" s="426">
        <v>4</v>
      </c>
      <c r="AC55" s="426">
        <v>4</v>
      </c>
      <c r="AD55" s="426">
        <v>5</v>
      </c>
      <c r="AE55" s="426">
        <v>5</v>
      </c>
      <c r="AG55" s="426" t="s">
        <v>640</v>
      </c>
    </row>
    <row r="56" spans="1:33" ht="144" hidden="1">
      <c r="A56" s="426" t="s">
        <v>641</v>
      </c>
      <c r="B56" s="426" t="s">
        <v>83</v>
      </c>
      <c r="C56" s="426" t="s">
        <v>447</v>
      </c>
      <c r="D56" s="426" t="s">
        <v>448</v>
      </c>
      <c r="E56" s="426">
        <v>4</v>
      </c>
      <c r="F56" s="426">
        <v>4</v>
      </c>
      <c r="G56" s="426">
        <v>5</v>
      </c>
      <c r="H56" s="426">
        <v>5</v>
      </c>
      <c r="I56" s="426">
        <v>4</v>
      </c>
      <c r="J56" s="426">
        <v>4</v>
      </c>
      <c r="L56" s="426" t="s">
        <v>449</v>
      </c>
      <c r="N56" s="426" t="s">
        <v>463</v>
      </c>
      <c r="O56" s="426" t="s">
        <v>642</v>
      </c>
      <c r="P56" s="426">
        <v>4</v>
      </c>
      <c r="Q56" s="426">
        <v>4</v>
      </c>
      <c r="R56" s="426">
        <v>4</v>
      </c>
      <c r="S56" s="426" t="s">
        <v>643</v>
      </c>
      <c r="T56" s="426" t="s">
        <v>589</v>
      </c>
      <c r="U56" s="426" t="s">
        <v>454</v>
      </c>
      <c r="V56" s="426" t="s">
        <v>590</v>
      </c>
      <c r="W56" s="426" t="s">
        <v>533</v>
      </c>
      <c r="X56" s="426" t="s">
        <v>644</v>
      </c>
      <c r="Y56" s="426" t="s">
        <v>536</v>
      </c>
      <c r="Z56" s="426">
        <v>4</v>
      </c>
      <c r="AA56" s="426">
        <v>4</v>
      </c>
      <c r="AB56" s="426">
        <v>4</v>
      </c>
      <c r="AC56" s="426">
        <v>4</v>
      </c>
      <c r="AD56" s="426">
        <v>4</v>
      </c>
      <c r="AE56" s="426">
        <v>4</v>
      </c>
      <c r="AG56" s="426" t="s">
        <v>536</v>
      </c>
    </row>
    <row r="57" spans="1:33" ht="115.2" hidden="1">
      <c r="A57" s="426" t="s">
        <v>641</v>
      </c>
      <c r="B57" s="426" t="s">
        <v>83</v>
      </c>
      <c r="C57" s="426" t="s">
        <v>447</v>
      </c>
      <c r="D57" s="426" t="s">
        <v>448</v>
      </c>
      <c r="E57" s="426">
        <v>5</v>
      </c>
      <c r="F57" s="426">
        <v>4</v>
      </c>
      <c r="G57" s="426">
        <v>5</v>
      </c>
      <c r="H57" s="426">
        <v>5</v>
      </c>
      <c r="I57" s="426">
        <v>4</v>
      </c>
      <c r="J57" s="426">
        <v>5</v>
      </c>
      <c r="L57" s="426" t="s">
        <v>449</v>
      </c>
      <c r="N57" s="426" t="s">
        <v>498</v>
      </c>
      <c r="P57" s="426">
        <v>5</v>
      </c>
      <c r="Q57" s="426">
        <v>5</v>
      </c>
      <c r="R57" s="426">
        <v>5</v>
      </c>
      <c r="T57" s="426" t="s">
        <v>465</v>
      </c>
      <c r="U57" s="426" t="s">
        <v>465</v>
      </c>
      <c r="V57" s="426" t="s">
        <v>465</v>
      </c>
      <c r="W57" s="426" t="s">
        <v>465</v>
      </c>
      <c r="X57" s="426" t="s">
        <v>645</v>
      </c>
      <c r="Y57" s="426" t="s">
        <v>646</v>
      </c>
      <c r="Z57" s="426">
        <v>5</v>
      </c>
      <c r="AA57" s="426">
        <v>5</v>
      </c>
      <c r="AB57" s="426">
        <v>5</v>
      </c>
      <c r="AC57" s="426">
        <v>5</v>
      </c>
      <c r="AD57" s="426">
        <v>5</v>
      </c>
      <c r="AE57" s="426">
        <v>5</v>
      </c>
      <c r="AG57" s="426" t="s">
        <v>647</v>
      </c>
    </row>
    <row r="58" spans="1:33" ht="86.4" hidden="1">
      <c r="A58" s="426" t="s">
        <v>648</v>
      </c>
      <c r="B58" s="426" t="s">
        <v>86</v>
      </c>
      <c r="C58" s="426" t="s">
        <v>447</v>
      </c>
      <c r="D58" s="426" t="s">
        <v>461</v>
      </c>
      <c r="Z58" s="426">
        <v>4</v>
      </c>
      <c r="AA58" s="426">
        <v>5</v>
      </c>
      <c r="AB58" s="426">
        <v>4</v>
      </c>
      <c r="AC58" s="426">
        <v>5</v>
      </c>
      <c r="AD58" s="426">
        <v>5</v>
      </c>
      <c r="AE58" s="426">
        <v>5</v>
      </c>
      <c r="AG58" s="426" t="s">
        <v>649</v>
      </c>
    </row>
    <row r="59" spans="1:33" hidden="1">
      <c r="A59" s="426" t="s">
        <v>648</v>
      </c>
      <c r="B59" s="426" t="s">
        <v>86</v>
      </c>
      <c r="C59" s="426" t="s">
        <v>447</v>
      </c>
      <c r="D59" s="426" t="s">
        <v>461</v>
      </c>
      <c r="Z59" s="426">
        <v>4</v>
      </c>
      <c r="AA59" s="426">
        <v>5</v>
      </c>
      <c r="AB59" s="426">
        <v>5</v>
      </c>
      <c r="AC59" s="426">
        <v>5</v>
      </c>
      <c r="AD59" s="426">
        <v>5</v>
      </c>
      <c r="AE59" s="426">
        <v>5</v>
      </c>
      <c r="AG59" s="426" t="s">
        <v>264</v>
      </c>
    </row>
    <row r="60" spans="1:33" ht="144" hidden="1">
      <c r="A60" s="426" t="s">
        <v>650</v>
      </c>
      <c r="B60" s="426" t="s">
        <v>391</v>
      </c>
      <c r="C60" s="426" t="s">
        <v>447</v>
      </c>
      <c r="D60" s="426" t="s">
        <v>461</v>
      </c>
      <c r="Z60" s="426">
        <v>3</v>
      </c>
      <c r="AA60" s="426">
        <v>5</v>
      </c>
      <c r="AB60" s="426">
        <v>3</v>
      </c>
      <c r="AC60" s="426">
        <v>4</v>
      </c>
      <c r="AD60" s="426">
        <v>5</v>
      </c>
      <c r="AE60" s="426">
        <v>5</v>
      </c>
      <c r="AG60" s="426" t="s">
        <v>651</v>
      </c>
    </row>
    <row r="61" spans="1:33" ht="144" hidden="1">
      <c r="A61" s="426" t="s">
        <v>650</v>
      </c>
      <c r="B61" s="426" t="s">
        <v>391</v>
      </c>
      <c r="C61" s="426" t="s">
        <v>447</v>
      </c>
      <c r="D61" s="426" t="s">
        <v>448</v>
      </c>
      <c r="E61" s="426">
        <v>4</v>
      </c>
      <c r="F61" s="426">
        <v>4</v>
      </c>
      <c r="G61" s="426">
        <v>4</v>
      </c>
      <c r="H61" s="426">
        <v>4</v>
      </c>
      <c r="I61" s="426">
        <v>4</v>
      </c>
      <c r="J61" s="426">
        <v>4</v>
      </c>
      <c r="L61" s="426" t="s">
        <v>554</v>
      </c>
      <c r="N61" s="426" t="s">
        <v>463</v>
      </c>
      <c r="P61" s="426">
        <v>4</v>
      </c>
      <c r="Q61" s="426">
        <v>4</v>
      </c>
      <c r="R61" s="426">
        <v>4</v>
      </c>
      <c r="T61" s="426" t="s">
        <v>652</v>
      </c>
      <c r="U61" s="426" t="s">
        <v>653</v>
      </c>
      <c r="V61" s="426" t="s">
        <v>654</v>
      </c>
      <c r="W61" s="426" t="s">
        <v>655</v>
      </c>
      <c r="X61" s="426" t="s">
        <v>656</v>
      </c>
      <c r="Y61" s="426" t="s">
        <v>656</v>
      </c>
      <c r="Z61" s="426">
        <v>4</v>
      </c>
      <c r="AA61" s="426">
        <v>5</v>
      </c>
      <c r="AB61" s="426">
        <v>5</v>
      </c>
      <c r="AC61" s="426">
        <v>5</v>
      </c>
      <c r="AD61" s="426">
        <v>5</v>
      </c>
      <c r="AE61" s="426">
        <v>5</v>
      </c>
      <c r="AG61" s="426" t="s">
        <v>657</v>
      </c>
    </row>
    <row r="62" spans="1:33" ht="43.2" hidden="1">
      <c r="A62" s="426" t="s">
        <v>650</v>
      </c>
      <c r="B62" s="426" t="s">
        <v>391</v>
      </c>
      <c r="C62" s="426" t="s">
        <v>447</v>
      </c>
      <c r="D62" s="426" t="s">
        <v>461</v>
      </c>
      <c r="Z62" s="426">
        <v>5</v>
      </c>
      <c r="AA62" s="426">
        <v>5</v>
      </c>
      <c r="AB62" s="426">
        <v>5</v>
      </c>
      <c r="AC62" s="426">
        <v>5</v>
      </c>
      <c r="AD62" s="426">
        <v>5</v>
      </c>
      <c r="AE62" s="426">
        <v>5</v>
      </c>
      <c r="AG62" s="426" t="s">
        <v>658</v>
      </c>
    </row>
    <row r="63" spans="1:33" ht="43.2" hidden="1">
      <c r="A63" s="426" t="s">
        <v>659</v>
      </c>
      <c r="B63" s="426" t="s">
        <v>660</v>
      </c>
      <c r="C63" s="426" t="s">
        <v>447</v>
      </c>
      <c r="D63" s="426" t="s">
        <v>461</v>
      </c>
      <c r="Z63" s="426">
        <v>4</v>
      </c>
      <c r="AA63" s="426">
        <v>4</v>
      </c>
      <c r="AB63" s="426">
        <v>4</v>
      </c>
      <c r="AC63" s="426">
        <v>5</v>
      </c>
      <c r="AD63" s="426">
        <v>5</v>
      </c>
      <c r="AE63" s="426">
        <v>5</v>
      </c>
      <c r="AG63" s="426" t="s">
        <v>476</v>
      </c>
    </row>
    <row r="64" spans="1:33" hidden="1">
      <c r="A64" s="426" t="s">
        <v>659</v>
      </c>
      <c r="B64" s="426" t="s">
        <v>660</v>
      </c>
      <c r="C64" s="426" t="s">
        <v>447</v>
      </c>
      <c r="D64" s="426" t="s">
        <v>448</v>
      </c>
    </row>
    <row r="65" spans="1:33" ht="86.4" hidden="1">
      <c r="A65" s="426" t="s">
        <v>659</v>
      </c>
      <c r="B65" s="426" t="s">
        <v>660</v>
      </c>
      <c r="C65" s="426" t="s">
        <v>447</v>
      </c>
      <c r="D65" s="426" t="s">
        <v>461</v>
      </c>
      <c r="Z65" s="426">
        <v>5</v>
      </c>
      <c r="AA65" s="426">
        <v>5</v>
      </c>
      <c r="AB65" s="426">
        <v>5</v>
      </c>
      <c r="AC65" s="426">
        <v>5</v>
      </c>
      <c r="AD65" s="426">
        <v>5</v>
      </c>
      <c r="AE65" s="426">
        <v>5</v>
      </c>
      <c r="AG65" s="426" t="s">
        <v>661</v>
      </c>
    </row>
    <row r="66" spans="1:33" ht="187.2" hidden="1">
      <c r="A66" s="426" t="s">
        <v>659</v>
      </c>
      <c r="B66" s="426" t="s">
        <v>660</v>
      </c>
      <c r="C66" s="426" t="s">
        <v>447</v>
      </c>
      <c r="D66" s="426" t="s">
        <v>448</v>
      </c>
      <c r="E66" s="426">
        <v>5</v>
      </c>
      <c r="F66" s="426">
        <v>4</v>
      </c>
      <c r="G66" s="426">
        <v>5</v>
      </c>
      <c r="H66" s="426">
        <v>5</v>
      </c>
      <c r="I66" s="426">
        <v>4</v>
      </c>
      <c r="J66" s="426">
        <v>5</v>
      </c>
      <c r="L66" s="426" t="s">
        <v>497</v>
      </c>
      <c r="N66" s="426" t="s">
        <v>463</v>
      </c>
      <c r="P66" s="426">
        <v>5</v>
      </c>
      <c r="Q66" s="426">
        <v>5</v>
      </c>
      <c r="R66" s="426">
        <v>5</v>
      </c>
      <c r="T66" s="426" t="s">
        <v>478</v>
      </c>
      <c r="U66" s="426" t="s">
        <v>454</v>
      </c>
      <c r="V66" s="426" t="s">
        <v>454</v>
      </c>
      <c r="W66" s="426" t="s">
        <v>454</v>
      </c>
      <c r="X66" s="426" t="s">
        <v>662</v>
      </c>
      <c r="Y66" s="426" t="s">
        <v>663</v>
      </c>
      <c r="Z66" s="426">
        <v>5</v>
      </c>
      <c r="AA66" s="426">
        <v>5</v>
      </c>
      <c r="AB66" s="426">
        <v>5</v>
      </c>
      <c r="AC66" s="426">
        <v>5</v>
      </c>
      <c r="AD66" s="426">
        <v>5</v>
      </c>
      <c r="AE66" s="426">
        <v>5</v>
      </c>
      <c r="AG66" s="426" t="s">
        <v>664</v>
      </c>
    </row>
    <row r="67" spans="1:33" ht="216" hidden="1">
      <c r="A67" s="426" t="s">
        <v>665</v>
      </c>
      <c r="B67" s="426" t="s">
        <v>88</v>
      </c>
      <c r="C67" s="426" t="s">
        <v>447</v>
      </c>
      <c r="D67" s="426" t="s">
        <v>461</v>
      </c>
      <c r="Z67" s="426">
        <v>5</v>
      </c>
      <c r="AA67" s="426">
        <v>5</v>
      </c>
      <c r="AB67" s="426">
        <v>5</v>
      </c>
      <c r="AC67" s="426">
        <v>5</v>
      </c>
      <c r="AD67" s="426">
        <v>5</v>
      </c>
      <c r="AE67" s="426">
        <v>5</v>
      </c>
      <c r="AG67" s="426" t="s">
        <v>666</v>
      </c>
    </row>
    <row r="68" spans="1:33" ht="144" hidden="1">
      <c r="A68" s="426" t="s">
        <v>665</v>
      </c>
      <c r="B68" s="426" t="s">
        <v>88</v>
      </c>
      <c r="C68" s="426" t="s">
        <v>447</v>
      </c>
      <c r="D68" s="426" t="s">
        <v>448</v>
      </c>
      <c r="E68" s="426">
        <v>5</v>
      </c>
      <c r="F68" s="426">
        <v>5</v>
      </c>
      <c r="G68" s="426">
        <v>5</v>
      </c>
      <c r="H68" s="426">
        <v>5</v>
      </c>
      <c r="I68" s="426">
        <v>5</v>
      </c>
      <c r="J68" s="426">
        <v>5</v>
      </c>
      <c r="L68" s="426" t="s">
        <v>449</v>
      </c>
      <c r="N68" s="426" t="s">
        <v>463</v>
      </c>
      <c r="P68" s="426">
        <v>5</v>
      </c>
      <c r="Q68" s="426">
        <v>4</v>
      </c>
      <c r="R68" s="426">
        <v>5</v>
      </c>
      <c r="T68" s="426" t="s">
        <v>667</v>
      </c>
      <c r="U68" s="426" t="s">
        <v>668</v>
      </c>
      <c r="V68" s="426" t="s">
        <v>669</v>
      </c>
      <c r="W68" s="426" t="s">
        <v>264</v>
      </c>
      <c r="X68" s="426" t="s">
        <v>264</v>
      </c>
      <c r="Y68" s="426" t="s">
        <v>264</v>
      </c>
      <c r="Z68" s="426">
        <v>5</v>
      </c>
      <c r="AA68" s="426">
        <v>5</v>
      </c>
      <c r="AB68" s="426">
        <v>4</v>
      </c>
      <c r="AC68" s="426">
        <v>4</v>
      </c>
      <c r="AD68" s="426">
        <v>5</v>
      </c>
      <c r="AE68" s="426">
        <v>5</v>
      </c>
      <c r="AG68" s="426" t="s">
        <v>264</v>
      </c>
    </row>
    <row r="69" spans="1:33" ht="28.8" hidden="1">
      <c r="A69" s="426" t="s">
        <v>665</v>
      </c>
      <c r="B69" s="426" t="s">
        <v>88</v>
      </c>
      <c r="C69" s="426" t="s">
        <v>447</v>
      </c>
      <c r="D69" s="426" t="s">
        <v>461</v>
      </c>
      <c r="Z69" s="426">
        <v>5</v>
      </c>
      <c r="AA69" s="426">
        <v>5</v>
      </c>
      <c r="AB69" s="426">
        <v>5</v>
      </c>
      <c r="AC69" s="426">
        <v>5</v>
      </c>
      <c r="AD69" s="426">
        <v>5</v>
      </c>
      <c r="AE69" s="426">
        <v>5</v>
      </c>
      <c r="AG69" s="426" t="s">
        <v>543</v>
      </c>
    </row>
    <row r="70" spans="1:33" ht="230.4" hidden="1">
      <c r="A70" s="426" t="s">
        <v>670</v>
      </c>
      <c r="B70" s="426" t="s">
        <v>393</v>
      </c>
      <c r="C70" s="426" t="s">
        <v>447</v>
      </c>
      <c r="D70" s="426" t="s">
        <v>448</v>
      </c>
      <c r="E70" s="426">
        <v>5</v>
      </c>
      <c r="F70" s="426">
        <v>5</v>
      </c>
      <c r="G70" s="426">
        <v>5</v>
      </c>
      <c r="H70" s="426">
        <v>5</v>
      </c>
      <c r="I70" s="426">
        <v>5</v>
      </c>
      <c r="J70" s="426">
        <v>5</v>
      </c>
      <c r="L70" s="426" t="s">
        <v>497</v>
      </c>
      <c r="M70" s="426" t="s">
        <v>671</v>
      </c>
      <c r="N70" s="426" t="s">
        <v>463</v>
      </c>
      <c r="P70" s="426">
        <v>5</v>
      </c>
      <c r="Q70" s="426">
        <v>5</v>
      </c>
      <c r="R70" s="426">
        <v>4</v>
      </c>
      <c r="T70" s="426" t="s">
        <v>672</v>
      </c>
      <c r="U70" s="426" t="s">
        <v>673</v>
      </c>
      <c r="V70" s="426" t="s">
        <v>674</v>
      </c>
      <c r="W70" s="426" t="s">
        <v>675</v>
      </c>
      <c r="X70" s="426" t="s">
        <v>676</v>
      </c>
      <c r="Y70" s="426" t="s">
        <v>677</v>
      </c>
      <c r="Z70" s="426">
        <v>5</v>
      </c>
      <c r="AA70" s="426">
        <v>4</v>
      </c>
      <c r="AB70" s="426">
        <v>5</v>
      </c>
      <c r="AC70" s="426">
        <v>5</v>
      </c>
      <c r="AD70" s="426">
        <v>5</v>
      </c>
      <c r="AE70" s="426">
        <v>5</v>
      </c>
      <c r="AG70" s="426" t="s">
        <v>678</v>
      </c>
    </row>
    <row r="71" spans="1:33" ht="144" hidden="1">
      <c r="A71" s="426" t="s">
        <v>670</v>
      </c>
      <c r="B71" s="426" t="s">
        <v>393</v>
      </c>
      <c r="C71" s="426" t="s">
        <v>447</v>
      </c>
      <c r="D71" s="426" t="s">
        <v>448</v>
      </c>
      <c r="E71" s="426">
        <v>4</v>
      </c>
      <c r="F71" s="426">
        <v>4</v>
      </c>
      <c r="G71" s="426">
        <v>4</v>
      </c>
      <c r="H71" s="426">
        <v>4</v>
      </c>
      <c r="I71" s="426">
        <v>4</v>
      </c>
      <c r="J71" s="426">
        <v>4</v>
      </c>
      <c r="L71" s="426" t="s">
        <v>449</v>
      </c>
      <c r="N71" s="426" t="s">
        <v>463</v>
      </c>
      <c r="P71" s="426">
        <v>4</v>
      </c>
      <c r="Q71" s="426">
        <v>5</v>
      </c>
      <c r="R71" s="426">
        <v>4</v>
      </c>
      <c r="T71" s="426" t="s">
        <v>52</v>
      </c>
      <c r="U71" s="426" t="s">
        <v>454</v>
      </c>
      <c r="V71" s="426" t="s">
        <v>454</v>
      </c>
      <c r="W71" s="426" t="s">
        <v>454</v>
      </c>
      <c r="X71" s="426" t="s">
        <v>679</v>
      </c>
      <c r="Y71" s="426" t="s">
        <v>680</v>
      </c>
      <c r="Z71" s="426">
        <v>4</v>
      </c>
      <c r="AA71" s="426">
        <v>4</v>
      </c>
      <c r="AB71" s="426">
        <v>5</v>
      </c>
      <c r="AC71" s="426">
        <v>4</v>
      </c>
      <c r="AD71" s="426">
        <v>4</v>
      </c>
      <c r="AE71" s="426">
        <v>5</v>
      </c>
      <c r="AG71" s="426" t="s">
        <v>681</v>
      </c>
    </row>
    <row r="72" spans="1:33" hidden="1">
      <c r="A72" s="426" t="s">
        <v>670</v>
      </c>
      <c r="B72" s="426" t="s">
        <v>393</v>
      </c>
      <c r="C72" s="426" t="s">
        <v>447</v>
      </c>
      <c r="D72" s="426" t="s">
        <v>461</v>
      </c>
      <c r="Z72" s="426">
        <v>5</v>
      </c>
      <c r="AA72" s="426">
        <v>5</v>
      </c>
      <c r="AB72" s="426">
        <v>5</v>
      </c>
      <c r="AC72" s="426">
        <v>5</v>
      </c>
      <c r="AD72" s="426">
        <v>5</v>
      </c>
      <c r="AE72" s="426">
        <v>5</v>
      </c>
      <c r="AG72" s="426" t="s">
        <v>541</v>
      </c>
    </row>
    <row r="73" spans="1:33" ht="172.8" hidden="1">
      <c r="A73" s="426" t="s">
        <v>507</v>
      </c>
      <c r="B73" s="426" t="s">
        <v>394</v>
      </c>
      <c r="C73" s="426" t="s">
        <v>447</v>
      </c>
      <c r="D73" s="426" t="s">
        <v>461</v>
      </c>
      <c r="Z73" s="426">
        <v>5</v>
      </c>
      <c r="AA73" s="426">
        <v>4</v>
      </c>
      <c r="AB73" s="426">
        <v>5</v>
      </c>
      <c r="AC73" s="426">
        <v>5</v>
      </c>
      <c r="AD73" s="426">
        <v>5</v>
      </c>
      <c r="AE73" s="426">
        <v>5</v>
      </c>
      <c r="AG73" s="426" t="s">
        <v>682</v>
      </c>
    </row>
    <row r="74" spans="1:33" ht="57.6" hidden="1">
      <c r="A74" s="426" t="s">
        <v>553</v>
      </c>
      <c r="B74" s="426" t="s">
        <v>394</v>
      </c>
      <c r="C74" s="426" t="s">
        <v>447</v>
      </c>
      <c r="D74" s="426" t="s">
        <v>461</v>
      </c>
      <c r="Z74" s="426">
        <v>5</v>
      </c>
      <c r="AA74" s="426">
        <v>5</v>
      </c>
      <c r="AB74" s="426">
        <v>5</v>
      </c>
      <c r="AC74" s="426">
        <v>5</v>
      </c>
      <c r="AD74" s="426">
        <v>5</v>
      </c>
      <c r="AE74" s="426">
        <v>5</v>
      </c>
      <c r="AF74" s="426" t="s">
        <v>506</v>
      </c>
      <c r="AG74" s="426" t="s">
        <v>683</v>
      </c>
    </row>
    <row r="75" spans="1:33" ht="144" hidden="1">
      <c r="A75" s="426" t="s">
        <v>507</v>
      </c>
      <c r="B75" s="426" t="s">
        <v>394</v>
      </c>
      <c r="C75" s="426" t="s">
        <v>447</v>
      </c>
      <c r="D75" s="426" t="s">
        <v>448</v>
      </c>
      <c r="E75" s="426">
        <v>5</v>
      </c>
      <c r="F75" s="426">
        <v>5</v>
      </c>
      <c r="G75" s="426">
        <v>5</v>
      </c>
      <c r="H75" s="426">
        <v>5</v>
      </c>
      <c r="I75" s="426">
        <v>5</v>
      </c>
      <c r="J75" s="426">
        <v>5</v>
      </c>
      <c r="L75" s="426" t="s">
        <v>449</v>
      </c>
      <c r="N75" s="426" t="s">
        <v>463</v>
      </c>
      <c r="P75" s="426">
        <v>5</v>
      </c>
      <c r="Q75" s="426">
        <v>5</v>
      </c>
      <c r="R75" s="426">
        <v>5</v>
      </c>
      <c r="T75" s="426" t="s">
        <v>684</v>
      </c>
      <c r="U75" s="426" t="s">
        <v>465</v>
      </c>
      <c r="V75" s="426" t="s">
        <v>685</v>
      </c>
      <c r="W75" s="426" t="s">
        <v>686</v>
      </c>
      <c r="X75" s="426" t="s">
        <v>462</v>
      </c>
      <c r="Y75" s="426" t="s">
        <v>462</v>
      </c>
      <c r="Z75" s="426">
        <v>5</v>
      </c>
      <c r="AA75" s="426">
        <v>5</v>
      </c>
      <c r="AB75" s="426">
        <v>5</v>
      </c>
      <c r="AC75" s="426">
        <v>5</v>
      </c>
      <c r="AD75" s="426">
        <v>5</v>
      </c>
      <c r="AE75" s="426">
        <v>5</v>
      </c>
      <c r="AG75" s="426" t="s">
        <v>546</v>
      </c>
    </row>
    <row r="76" spans="1:33" ht="86.4" hidden="1">
      <c r="A76" s="426" t="s">
        <v>507</v>
      </c>
      <c r="B76" s="426" t="s">
        <v>394</v>
      </c>
      <c r="C76" s="426" t="s">
        <v>447</v>
      </c>
      <c r="D76" s="426" t="s">
        <v>448</v>
      </c>
      <c r="E76" s="426">
        <v>5</v>
      </c>
      <c r="F76" s="426">
        <v>5</v>
      </c>
      <c r="G76" s="426">
        <v>5</v>
      </c>
      <c r="H76" s="426">
        <v>3</v>
      </c>
      <c r="I76" s="426">
        <v>3</v>
      </c>
      <c r="J76" s="426">
        <v>4</v>
      </c>
      <c r="L76" s="426" t="s">
        <v>449</v>
      </c>
      <c r="N76" s="426" t="s">
        <v>498</v>
      </c>
      <c r="P76" s="426">
        <v>4</v>
      </c>
      <c r="Q76" s="426">
        <v>5</v>
      </c>
      <c r="R76" s="426">
        <v>5</v>
      </c>
      <c r="T76" s="426" t="s">
        <v>687</v>
      </c>
      <c r="U76" s="426" t="s">
        <v>465</v>
      </c>
      <c r="V76" s="426" t="s">
        <v>465</v>
      </c>
      <c r="W76" s="426" t="s">
        <v>465</v>
      </c>
      <c r="X76" s="426" t="s">
        <v>688</v>
      </c>
      <c r="Y76" s="426" t="s">
        <v>689</v>
      </c>
      <c r="Z76" s="426">
        <v>5</v>
      </c>
      <c r="AA76" s="426">
        <v>4</v>
      </c>
      <c r="AB76" s="426">
        <v>4</v>
      </c>
      <c r="AC76" s="426">
        <v>4</v>
      </c>
      <c r="AD76" s="426">
        <v>5</v>
      </c>
      <c r="AE76" s="426">
        <v>4</v>
      </c>
      <c r="AG76" s="426" t="s">
        <v>690</v>
      </c>
    </row>
    <row r="77" spans="1:33" ht="216" hidden="1">
      <c r="A77" s="426" t="s">
        <v>691</v>
      </c>
      <c r="B77" s="426" t="s">
        <v>84</v>
      </c>
      <c r="C77" s="426" t="s">
        <v>516</v>
      </c>
      <c r="D77" s="426" t="s">
        <v>461</v>
      </c>
      <c r="Z77" s="426">
        <v>4</v>
      </c>
      <c r="AA77" s="426">
        <v>4</v>
      </c>
      <c r="AB77" s="426">
        <v>5</v>
      </c>
      <c r="AC77" s="426">
        <v>5</v>
      </c>
      <c r="AD77" s="426">
        <v>5</v>
      </c>
      <c r="AE77" s="426">
        <v>5</v>
      </c>
      <c r="AG77" s="426" t="s">
        <v>692</v>
      </c>
    </row>
    <row r="78" spans="1:33" ht="115.2" hidden="1">
      <c r="A78" s="426" t="s">
        <v>691</v>
      </c>
      <c r="B78" s="426" t="s">
        <v>84</v>
      </c>
      <c r="C78" s="426" t="s">
        <v>516</v>
      </c>
      <c r="D78" s="426" t="s">
        <v>461</v>
      </c>
      <c r="Z78" s="426">
        <v>3</v>
      </c>
      <c r="AA78" s="426">
        <v>5</v>
      </c>
      <c r="AB78" s="426">
        <v>4</v>
      </c>
      <c r="AC78" s="426">
        <v>5</v>
      </c>
      <c r="AD78" s="426">
        <v>4</v>
      </c>
      <c r="AE78" s="426">
        <v>4</v>
      </c>
      <c r="AG78" s="426" t="s">
        <v>693</v>
      </c>
    </row>
    <row r="79" spans="1:33" ht="172.8" hidden="1">
      <c r="A79" s="426" t="s">
        <v>691</v>
      </c>
      <c r="B79" s="426" t="s">
        <v>84</v>
      </c>
      <c r="C79" s="426" t="s">
        <v>516</v>
      </c>
      <c r="D79" s="426" t="s">
        <v>448</v>
      </c>
      <c r="E79" s="426">
        <v>5</v>
      </c>
      <c r="F79" s="426">
        <v>5</v>
      </c>
      <c r="G79" s="426">
        <v>5</v>
      </c>
      <c r="H79" s="426">
        <v>5</v>
      </c>
      <c r="I79" s="426">
        <v>5</v>
      </c>
      <c r="J79" s="426">
        <v>5</v>
      </c>
      <c r="L79" s="426" t="s">
        <v>497</v>
      </c>
      <c r="N79" s="426" t="s">
        <v>463</v>
      </c>
      <c r="P79" s="426">
        <v>5</v>
      </c>
      <c r="Q79" s="426">
        <v>5</v>
      </c>
      <c r="R79" s="426">
        <v>5</v>
      </c>
      <c r="T79" s="426" t="s">
        <v>694</v>
      </c>
      <c r="U79" s="426" t="s">
        <v>695</v>
      </c>
      <c r="V79" s="426" t="s">
        <v>696</v>
      </c>
      <c r="W79" s="426" t="s">
        <v>697</v>
      </c>
      <c r="X79" s="426" t="s">
        <v>698</v>
      </c>
      <c r="Y79" s="426" t="s">
        <v>699</v>
      </c>
      <c r="Z79" s="426">
        <v>5</v>
      </c>
      <c r="AA79" s="426">
        <v>4</v>
      </c>
      <c r="AB79" s="426">
        <v>5</v>
      </c>
      <c r="AC79" s="426">
        <v>5</v>
      </c>
      <c r="AD79" s="426">
        <v>5</v>
      </c>
      <c r="AE79" s="426">
        <v>4</v>
      </c>
      <c r="AG79" s="426" t="s">
        <v>700</v>
      </c>
    </row>
    <row r="80" spans="1:33" ht="144" hidden="1">
      <c r="A80" s="426" t="s">
        <v>701</v>
      </c>
      <c r="B80" s="426" t="s">
        <v>76</v>
      </c>
      <c r="C80" s="426" t="s">
        <v>516</v>
      </c>
      <c r="D80" s="426" t="s">
        <v>448</v>
      </c>
      <c r="E80" s="426">
        <v>5</v>
      </c>
      <c r="F80" s="426">
        <v>5</v>
      </c>
      <c r="G80" s="426">
        <v>5</v>
      </c>
      <c r="H80" s="426">
        <v>5</v>
      </c>
      <c r="I80" s="426">
        <v>5</v>
      </c>
      <c r="J80" s="426">
        <v>5</v>
      </c>
      <c r="L80" s="426" t="s">
        <v>497</v>
      </c>
      <c r="N80" s="426" t="s">
        <v>463</v>
      </c>
      <c r="P80" s="426">
        <v>5</v>
      </c>
      <c r="Q80" s="426">
        <v>5</v>
      </c>
      <c r="R80" s="426">
        <v>5</v>
      </c>
      <c r="T80" s="426" t="s">
        <v>702</v>
      </c>
      <c r="U80" s="426" t="s">
        <v>603</v>
      </c>
      <c r="V80" s="426" t="s">
        <v>703</v>
      </c>
      <c r="W80" s="426" t="s">
        <v>704</v>
      </c>
      <c r="X80" s="426" t="s">
        <v>705</v>
      </c>
      <c r="Y80" s="426" t="s">
        <v>706</v>
      </c>
      <c r="Z80" s="426">
        <v>5</v>
      </c>
      <c r="AA80" s="426">
        <v>5</v>
      </c>
      <c r="AB80" s="426">
        <v>5</v>
      </c>
      <c r="AC80" s="426">
        <v>5</v>
      </c>
      <c r="AD80" s="426">
        <v>5</v>
      </c>
      <c r="AE80" s="426">
        <v>5</v>
      </c>
      <c r="AG80" s="426" t="s">
        <v>462</v>
      </c>
    </row>
    <row r="81" spans="1:33" ht="144" hidden="1">
      <c r="A81" s="426" t="s">
        <v>701</v>
      </c>
      <c r="B81" s="426" t="s">
        <v>76</v>
      </c>
      <c r="C81" s="426" t="s">
        <v>516</v>
      </c>
      <c r="D81" s="426" t="s">
        <v>448</v>
      </c>
      <c r="E81" s="426">
        <v>5</v>
      </c>
      <c r="F81" s="426">
        <v>5</v>
      </c>
      <c r="G81" s="426">
        <v>5</v>
      </c>
      <c r="H81" s="426">
        <v>5</v>
      </c>
      <c r="I81" s="426">
        <v>5</v>
      </c>
      <c r="J81" s="426">
        <v>5</v>
      </c>
      <c r="L81" s="426" t="s">
        <v>449</v>
      </c>
      <c r="N81" s="426" t="s">
        <v>463</v>
      </c>
      <c r="P81" s="426">
        <v>4</v>
      </c>
      <c r="Q81" s="426">
        <v>4</v>
      </c>
      <c r="R81" s="426">
        <v>3</v>
      </c>
      <c r="T81" s="426" t="s">
        <v>707</v>
      </c>
      <c r="U81" s="426" t="s">
        <v>708</v>
      </c>
      <c r="V81" s="426" t="s">
        <v>454</v>
      </c>
      <c r="W81" s="426" t="s">
        <v>709</v>
      </c>
      <c r="X81" s="426" t="s">
        <v>710</v>
      </c>
      <c r="Y81" s="426" t="s">
        <v>710</v>
      </c>
      <c r="Z81" s="426">
        <v>4</v>
      </c>
      <c r="AA81" s="426">
        <v>3</v>
      </c>
      <c r="AB81" s="426">
        <v>3</v>
      </c>
      <c r="AC81" s="426">
        <v>5</v>
      </c>
      <c r="AD81" s="426">
        <v>5</v>
      </c>
      <c r="AE81" s="426">
        <v>4</v>
      </c>
      <c r="AG81" s="426" t="s">
        <v>711</v>
      </c>
    </row>
    <row r="82" spans="1:33" ht="144" hidden="1">
      <c r="A82" s="426" t="s">
        <v>701</v>
      </c>
      <c r="B82" s="426" t="s">
        <v>76</v>
      </c>
      <c r="C82" s="426" t="s">
        <v>447</v>
      </c>
      <c r="D82" s="426" t="s">
        <v>448</v>
      </c>
      <c r="E82" s="426">
        <v>5</v>
      </c>
      <c r="F82" s="426">
        <v>5</v>
      </c>
      <c r="G82" s="426">
        <v>5</v>
      </c>
      <c r="H82" s="426">
        <v>5</v>
      </c>
      <c r="I82" s="426">
        <v>5</v>
      </c>
      <c r="J82" s="426">
        <v>5</v>
      </c>
      <c r="L82" s="426" t="s">
        <v>497</v>
      </c>
      <c r="N82" s="426" t="s">
        <v>463</v>
      </c>
      <c r="P82" s="426">
        <v>5</v>
      </c>
      <c r="Q82" s="426">
        <v>5</v>
      </c>
      <c r="R82" s="426">
        <v>5</v>
      </c>
      <c r="T82" s="426" t="s">
        <v>712</v>
      </c>
      <c r="U82" s="426" t="s">
        <v>713</v>
      </c>
      <c r="V82" s="426" t="s">
        <v>714</v>
      </c>
      <c r="W82" s="426" t="s">
        <v>715</v>
      </c>
      <c r="X82" s="426" t="s">
        <v>264</v>
      </c>
      <c r="Y82" s="426" t="s">
        <v>264</v>
      </c>
      <c r="Z82" s="426">
        <v>5</v>
      </c>
      <c r="AA82" s="426">
        <v>5</v>
      </c>
      <c r="AB82" s="426">
        <v>5</v>
      </c>
      <c r="AC82" s="426">
        <v>5</v>
      </c>
      <c r="AD82" s="426">
        <v>5</v>
      </c>
      <c r="AE82" s="426">
        <v>5</v>
      </c>
      <c r="AG82" s="426" t="s">
        <v>264</v>
      </c>
    </row>
    <row r="83" spans="1:33" ht="144" hidden="1">
      <c r="A83" s="426" t="s">
        <v>701</v>
      </c>
      <c r="B83" s="426" t="s">
        <v>76</v>
      </c>
      <c r="C83" s="426" t="s">
        <v>516</v>
      </c>
      <c r="D83" s="426" t="s">
        <v>448</v>
      </c>
      <c r="E83" s="426">
        <v>5</v>
      </c>
      <c r="F83" s="426">
        <v>5</v>
      </c>
      <c r="G83" s="426">
        <v>5</v>
      </c>
      <c r="H83" s="426">
        <v>5</v>
      </c>
      <c r="I83" s="426">
        <v>5</v>
      </c>
      <c r="J83" s="426">
        <v>5</v>
      </c>
      <c r="L83" s="426" t="s">
        <v>497</v>
      </c>
      <c r="N83" s="426" t="s">
        <v>463</v>
      </c>
      <c r="P83" s="426">
        <v>5</v>
      </c>
      <c r="Q83" s="426">
        <v>5</v>
      </c>
      <c r="R83" s="426">
        <v>5</v>
      </c>
      <c r="T83" s="426" t="s">
        <v>451</v>
      </c>
      <c r="U83" s="426" t="s">
        <v>716</v>
      </c>
      <c r="V83" s="426" t="s">
        <v>453</v>
      </c>
      <c r="W83" s="426" t="s">
        <v>454</v>
      </c>
      <c r="X83" s="426" t="s">
        <v>264</v>
      </c>
      <c r="Y83" s="426" t="s">
        <v>717</v>
      </c>
      <c r="Z83" s="426">
        <v>1</v>
      </c>
      <c r="AA83" s="426">
        <v>1</v>
      </c>
      <c r="AB83" s="426">
        <v>1</v>
      </c>
      <c r="AC83" s="426">
        <v>1</v>
      </c>
      <c r="AD83" s="426">
        <v>1</v>
      </c>
      <c r="AE83" s="426">
        <v>1</v>
      </c>
      <c r="AG83" s="426" t="s">
        <v>264</v>
      </c>
    </row>
    <row r="84" spans="1:33" ht="144" hidden="1">
      <c r="A84" s="426" t="s">
        <v>701</v>
      </c>
      <c r="B84" s="426" t="s">
        <v>76</v>
      </c>
      <c r="C84" s="426" t="s">
        <v>516</v>
      </c>
      <c r="D84" s="426" t="s">
        <v>448</v>
      </c>
      <c r="E84" s="426">
        <v>5</v>
      </c>
      <c r="F84" s="426">
        <v>5</v>
      </c>
      <c r="G84" s="426">
        <v>5</v>
      </c>
      <c r="H84" s="426">
        <v>5</v>
      </c>
      <c r="I84" s="426">
        <v>5</v>
      </c>
      <c r="J84" s="426">
        <v>5</v>
      </c>
      <c r="L84" s="426" t="s">
        <v>449</v>
      </c>
      <c r="N84" s="426" t="s">
        <v>463</v>
      </c>
      <c r="P84" s="426">
        <v>5</v>
      </c>
      <c r="Q84" s="426">
        <v>5</v>
      </c>
      <c r="R84" s="426">
        <v>5</v>
      </c>
      <c r="T84" s="426" t="s">
        <v>451</v>
      </c>
      <c r="U84" s="426" t="s">
        <v>716</v>
      </c>
      <c r="V84" s="426" t="s">
        <v>453</v>
      </c>
      <c r="W84" s="426" t="s">
        <v>454</v>
      </c>
      <c r="X84" s="426" t="s">
        <v>264</v>
      </c>
      <c r="Y84" s="426" t="s">
        <v>718</v>
      </c>
      <c r="Z84" s="426">
        <v>5</v>
      </c>
      <c r="AA84" s="426">
        <v>5</v>
      </c>
      <c r="AB84" s="426">
        <v>5</v>
      </c>
      <c r="AC84" s="426">
        <v>5</v>
      </c>
      <c r="AD84" s="426">
        <v>5</v>
      </c>
      <c r="AE84" s="426">
        <v>5</v>
      </c>
      <c r="AG84" s="426" t="s">
        <v>264</v>
      </c>
    </row>
    <row r="85" spans="1:33" ht="144" hidden="1">
      <c r="A85" s="426" t="s">
        <v>701</v>
      </c>
      <c r="B85" s="426" t="s">
        <v>76</v>
      </c>
      <c r="C85" s="426" t="s">
        <v>516</v>
      </c>
      <c r="D85" s="426" t="s">
        <v>448</v>
      </c>
      <c r="E85" s="426">
        <v>5</v>
      </c>
      <c r="F85" s="426">
        <v>5</v>
      </c>
      <c r="G85" s="426">
        <v>5</v>
      </c>
      <c r="H85" s="426">
        <v>5</v>
      </c>
      <c r="I85" s="426">
        <v>5</v>
      </c>
      <c r="J85" s="426">
        <v>5</v>
      </c>
      <c r="L85" s="426" t="s">
        <v>497</v>
      </c>
      <c r="N85" s="426" t="s">
        <v>463</v>
      </c>
      <c r="P85" s="426">
        <v>5</v>
      </c>
      <c r="Q85" s="426">
        <v>5</v>
      </c>
      <c r="R85" s="426">
        <v>5</v>
      </c>
      <c r="T85" s="426" t="s">
        <v>719</v>
      </c>
      <c r="U85" s="426" t="s">
        <v>720</v>
      </c>
      <c r="V85" s="426" t="s">
        <v>721</v>
      </c>
      <c r="W85" s="426" t="s">
        <v>722</v>
      </c>
      <c r="X85" s="426" t="s">
        <v>264</v>
      </c>
      <c r="Y85" s="426" t="s">
        <v>723</v>
      </c>
      <c r="Z85" s="426">
        <v>5</v>
      </c>
      <c r="AA85" s="426">
        <v>5</v>
      </c>
      <c r="AB85" s="426">
        <v>5</v>
      </c>
      <c r="AC85" s="426">
        <v>5</v>
      </c>
      <c r="AD85" s="426">
        <v>5</v>
      </c>
      <c r="AE85" s="426">
        <v>5</v>
      </c>
      <c r="AG85" s="426" t="s">
        <v>724</v>
      </c>
    </row>
    <row r="86" spans="1:33" ht="144" hidden="1">
      <c r="A86" s="426" t="s">
        <v>701</v>
      </c>
      <c r="B86" s="426" t="s">
        <v>76</v>
      </c>
      <c r="C86" s="426" t="s">
        <v>516</v>
      </c>
      <c r="D86" s="426" t="s">
        <v>448</v>
      </c>
      <c r="E86" s="426">
        <v>5</v>
      </c>
      <c r="F86" s="426">
        <v>4</v>
      </c>
      <c r="G86" s="426">
        <v>4</v>
      </c>
      <c r="H86" s="426">
        <v>4</v>
      </c>
      <c r="I86" s="426">
        <v>5</v>
      </c>
      <c r="J86" s="426">
        <v>5</v>
      </c>
      <c r="L86" s="426" t="s">
        <v>449</v>
      </c>
      <c r="N86" s="426" t="s">
        <v>463</v>
      </c>
      <c r="P86" s="426">
        <v>5</v>
      </c>
      <c r="Q86" s="426">
        <v>4</v>
      </c>
      <c r="R86" s="426">
        <v>4</v>
      </c>
      <c r="T86" s="426" t="s">
        <v>725</v>
      </c>
      <c r="U86" s="426" t="s">
        <v>726</v>
      </c>
      <c r="V86" s="426" t="s">
        <v>727</v>
      </c>
      <c r="W86" s="426" t="s">
        <v>728</v>
      </c>
      <c r="X86" s="426" t="s">
        <v>623</v>
      </c>
      <c r="Y86" s="426" t="s">
        <v>729</v>
      </c>
      <c r="Z86" s="426">
        <v>4</v>
      </c>
      <c r="AA86" s="426">
        <v>4</v>
      </c>
      <c r="AB86" s="426">
        <v>4</v>
      </c>
      <c r="AC86" s="426">
        <v>4</v>
      </c>
      <c r="AD86" s="426">
        <v>4</v>
      </c>
      <c r="AE86" s="426">
        <v>4</v>
      </c>
      <c r="AG86" s="426" t="s">
        <v>730</v>
      </c>
    </row>
    <row r="87" spans="1:33" ht="172.8" hidden="1">
      <c r="A87" s="426" t="s">
        <v>701</v>
      </c>
      <c r="B87" s="426" t="s">
        <v>76</v>
      </c>
      <c r="C87" s="426" t="s">
        <v>516</v>
      </c>
      <c r="D87" s="426" t="s">
        <v>448</v>
      </c>
      <c r="E87" s="426">
        <v>4</v>
      </c>
      <c r="F87" s="426">
        <v>5</v>
      </c>
      <c r="G87" s="426">
        <v>4</v>
      </c>
      <c r="H87" s="426">
        <v>5</v>
      </c>
      <c r="I87" s="426">
        <v>5</v>
      </c>
      <c r="J87" s="426">
        <v>5</v>
      </c>
      <c r="L87" s="426" t="s">
        <v>497</v>
      </c>
      <c r="N87" s="426" t="s">
        <v>463</v>
      </c>
      <c r="P87" s="426">
        <v>4</v>
      </c>
      <c r="Q87" s="426">
        <v>4</v>
      </c>
      <c r="R87" s="426">
        <v>4</v>
      </c>
      <c r="T87" s="426" t="s">
        <v>731</v>
      </c>
      <c r="U87" s="426" t="s">
        <v>611</v>
      </c>
      <c r="V87" s="426" t="s">
        <v>479</v>
      </c>
      <c r="W87" s="426" t="s">
        <v>454</v>
      </c>
      <c r="X87" s="426" t="s">
        <v>264</v>
      </c>
      <c r="Y87" s="426" t="s">
        <v>732</v>
      </c>
      <c r="Z87" s="426">
        <v>4</v>
      </c>
      <c r="AA87" s="426">
        <v>4</v>
      </c>
      <c r="AB87" s="426">
        <v>5</v>
      </c>
      <c r="AC87" s="426">
        <v>4</v>
      </c>
      <c r="AD87" s="426">
        <v>3</v>
      </c>
      <c r="AE87" s="426">
        <v>4</v>
      </c>
      <c r="AG87" s="426" t="s">
        <v>733</v>
      </c>
    </row>
    <row r="88" spans="1:33" ht="158.4" hidden="1">
      <c r="A88" s="426" t="s">
        <v>701</v>
      </c>
      <c r="B88" s="426" t="s">
        <v>76</v>
      </c>
      <c r="C88" s="426" t="s">
        <v>516</v>
      </c>
      <c r="D88" s="426" t="s">
        <v>448</v>
      </c>
      <c r="E88" s="426">
        <v>5</v>
      </c>
      <c r="F88" s="426">
        <v>5</v>
      </c>
      <c r="G88" s="426">
        <v>5</v>
      </c>
      <c r="H88" s="426">
        <v>4</v>
      </c>
      <c r="I88" s="426">
        <v>5</v>
      </c>
      <c r="J88" s="426">
        <v>5</v>
      </c>
      <c r="L88" s="426" t="s">
        <v>449</v>
      </c>
      <c r="N88" s="426" t="s">
        <v>463</v>
      </c>
      <c r="P88" s="426">
        <v>5</v>
      </c>
      <c r="Q88" s="426">
        <v>4</v>
      </c>
      <c r="R88" s="426">
        <v>5</v>
      </c>
      <c r="T88" s="426" t="s">
        <v>734</v>
      </c>
      <c r="U88" s="426" t="s">
        <v>454</v>
      </c>
      <c r="V88" s="426" t="s">
        <v>454</v>
      </c>
      <c r="W88" s="426" t="s">
        <v>709</v>
      </c>
      <c r="X88" s="426" t="s">
        <v>735</v>
      </c>
      <c r="Y88" s="426" t="s">
        <v>736</v>
      </c>
      <c r="Z88" s="426">
        <v>5</v>
      </c>
      <c r="AA88" s="426">
        <v>5</v>
      </c>
      <c r="AB88" s="426">
        <v>4</v>
      </c>
      <c r="AC88" s="426">
        <v>4</v>
      </c>
      <c r="AD88" s="426">
        <v>5</v>
      </c>
      <c r="AE88" s="426">
        <v>5</v>
      </c>
      <c r="AF88" s="426" t="s">
        <v>737</v>
      </c>
      <c r="AG88" s="426" t="s">
        <v>462</v>
      </c>
    </row>
    <row r="89" spans="1:33" ht="316.8" hidden="1">
      <c r="A89" s="426" t="s">
        <v>701</v>
      </c>
      <c r="B89" s="426" t="s">
        <v>76</v>
      </c>
      <c r="C89" s="426" t="s">
        <v>516</v>
      </c>
      <c r="D89" s="426" t="s">
        <v>461</v>
      </c>
      <c r="Z89" s="426">
        <v>5</v>
      </c>
      <c r="AA89" s="426">
        <v>3</v>
      </c>
      <c r="AB89" s="426">
        <v>3</v>
      </c>
      <c r="AC89" s="426">
        <v>4</v>
      </c>
      <c r="AD89" s="426">
        <v>5</v>
      </c>
      <c r="AE89" s="426">
        <v>3</v>
      </c>
      <c r="AG89" s="426" t="s">
        <v>738</v>
      </c>
    </row>
    <row r="90" spans="1:33" ht="28.8" hidden="1">
      <c r="A90" s="426" t="s">
        <v>701</v>
      </c>
      <c r="B90" s="426" t="s">
        <v>76</v>
      </c>
      <c r="C90" s="426" t="s">
        <v>447</v>
      </c>
      <c r="D90" s="426" t="s">
        <v>461</v>
      </c>
      <c r="Z90" s="426">
        <v>5</v>
      </c>
      <c r="AA90" s="426">
        <v>5</v>
      </c>
      <c r="AB90" s="426">
        <v>5</v>
      </c>
      <c r="AC90" s="426">
        <v>5</v>
      </c>
      <c r="AD90" s="426">
        <v>5</v>
      </c>
      <c r="AE90" s="426">
        <v>5</v>
      </c>
      <c r="AG90" s="426" t="s">
        <v>739</v>
      </c>
    </row>
    <row r="91" spans="1:33" ht="187.2" hidden="1">
      <c r="A91" s="426" t="s">
        <v>701</v>
      </c>
      <c r="B91" s="426" t="s">
        <v>76</v>
      </c>
      <c r="C91" s="426" t="s">
        <v>516</v>
      </c>
      <c r="D91" s="426" t="s">
        <v>448</v>
      </c>
      <c r="E91" s="426">
        <v>5</v>
      </c>
      <c r="F91" s="426">
        <v>5</v>
      </c>
      <c r="G91" s="426">
        <v>5</v>
      </c>
      <c r="H91" s="426">
        <v>5</v>
      </c>
      <c r="I91" s="426">
        <v>5</v>
      </c>
      <c r="J91" s="426">
        <v>5</v>
      </c>
      <c r="L91" s="426" t="s">
        <v>449</v>
      </c>
      <c r="N91" s="426" t="s">
        <v>740</v>
      </c>
      <c r="P91" s="426">
        <v>5</v>
      </c>
      <c r="Q91" s="426">
        <v>4</v>
      </c>
      <c r="R91" s="426">
        <v>4</v>
      </c>
      <c r="T91" s="426" t="s">
        <v>457</v>
      </c>
      <c r="U91" s="426" t="s">
        <v>465</v>
      </c>
      <c r="V91" s="426" t="s">
        <v>465</v>
      </c>
      <c r="W91" s="426" t="s">
        <v>458</v>
      </c>
      <c r="X91" s="426" t="s">
        <v>741</v>
      </c>
      <c r="Y91" s="426" t="s">
        <v>742</v>
      </c>
      <c r="Z91" s="426">
        <v>5</v>
      </c>
      <c r="AA91" s="426">
        <v>4</v>
      </c>
      <c r="AB91" s="426">
        <v>4</v>
      </c>
      <c r="AC91" s="426">
        <v>4</v>
      </c>
      <c r="AD91" s="426">
        <v>5</v>
      </c>
      <c r="AE91" s="426">
        <v>5</v>
      </c>
      <c r="AG91" s="426" t="s">
        <v>743</v>
      </c>
    </row>
    <row r="92" spans="1:33" hidden="1">
      <c r="A92" s="426" t="s">
        <v>701</v>
      </c>
      <c r="B92" s="426" t="s">
        <v>76</v>
      </c>
      <c r="C92" s="426" t="s">
        <v>516</v>
      </c>
      <c r="D92" s="426" t="s">
        <v>461</v>
      </c>
      <c r="Z92" s="426">
        <v>5</v>
      </c>
      <c r="AA92" s="426">
        <v>5</v>
      </c>
      <c r="AB92" s="426">
        <v>5</v>
      </c>
      <c r="AC92" s="426">
        <v>5</v>
      </c>
      <c r="AD92" s="426">
        <v>5</v>
      </c>
      <c r="AE92" s="426">
        <v>5</v>
      </c>
      <c r="AG92" s="426" t="s">
        <v>264</v>
      </c>
    </row>
    <row r="93" spans="1:33" ht="144" hidden="1">
      <c r="A93" s="426" t="s">
        <v>701</v>
      </c>
      <c r="B93" s="426" t="s">
        <v>76</v>
      </c>
      <c r="C93" s="426" t="s">
        <v>516</v>
      </c>
      <c r="D93" s="426" t="s">
        <v>448</v>
      </c>
      <c r="E93" s="426">
        <v>5</v>
      </c>
      <c r="F93" s="426">
        <v>5</v>
      </c>
      <c r="G93" s="426">
        <v>5</v>
      </c>
      <c r="H93" s="426">
        <v>5</v>
      </c>
      <c r="I93" s="426">
        <v>5</v>
      </c>
      <c r="J93" s="426">
        <v>5</v>
      </c>
      <c r="L93" s="426" t="s">
        <v>449</v>
      </c>
      <c r="N93" s="426" t="s">
        <v>463</v>
      </c>
      <c r="P93" s="426">
        <v>5</v>
      </c>
      <c r="Q93" s="426">
        <v>5</v>
      </c>
      <c r="R93" s="426">
        <v>5</v>
      </c>
      <c r="T93" s="426" t="s">
        <v>744</v>
      </c>
      <c r="U93" s="426" t="s">
        <v>744</v>
      </c>
      <c r="V93" s="426" t="s">
        <v>744</v>
      </c>
      <c r="W93" s="426" t="s">
        <v>744</v>
      </c>
      <c r="X93" s="426" t="s">
        <v>264</v>
      </c>
      <c r="Y93" s="426" t="s">
        <v>264</v>
      </c>
      <c r="Z93" s="426">
        <v>5</v>
      </c>
      <c r="AA93" s="426">
        <v>5</v>
      </c>
      <c r="AB93" s="426">
        <v>5</v>
      </c>
      <c r="AC93" s="426">
        <v>5</v>
      </c>
      <c r="AD93" s="426">
        <v>5</v>
      </c>
      <c r="AE93" s="426">
        <v>5</v>
      </c>
      <c r="AG93" s="426" t="s">
        <v>264</v>
      </c>
    </row>
    <row r="94" spans="1:33" ht="144">
      <c r="A94" s="426" t="s">
        <v>544</v>
      </c>
      <c r="B94" s="426" t="s">
        <v>395</v>
      </c>
      <c r="C94" s="426" t="s">
        <v>516</v>
      </c>
      <c r="D94" s="426" t="s">
        <v>448</v>
      </c>
      <c r="E94" s="426">
        <v>5</v>
      </c>
      <c r="F94" s="426">
        <v>4</v>
      </c>
      <c r="G94" s="426">
        <v>4</v>
      </c>
      <c r="H94" s="426">
        <v>4</v>
      </c>
      <c r="I94" s="426">
        <v>4</v>
      </c>
      <c r="J94" s="426">
        <v>4</v>
      </c>
      <c r="L94" s="426" t="s">
        <v>449</v>
      </c>
      <c r="N94" s="426" t="s">
        <v>463</v>
      </c>
      <c r="P94" s="426">
        <v>4</v>
      </c>
      <c r="Q94" s="426">
        <v>4</v>
      </c>
      <c r="R94" s="426">
        <v>4</v>
      </c>
      <c r="T94" s="426" t="s">
        <v>454</v>
      </c>
      <c r="U94" s="426" t="s">
        <v>454</v>
      </c>
      <c r="V94" s="426" t="s">
        <v>454</v>
      </c>
      <c r="W94" s="426" t="s">
        <v>454</v>
      </c>
      <c r="X94" s="426" t="s">
        <v>745</v>
      </c>
      <c r="Y94" s="426" t="s">
        <v>746</v>
      </c>
      <c r="Z94" s="426">
        <v>5</v>
      </c>
      <c r="AA94" s="426">
        <v>5</v>
      </c>
      <c r="AB94" s="426">
        <v>5</v>
      </c>
      <c r="AC94" s="426">
        <v>5</v>
      </c>
      <c r="AD94" s="426">
        <v>1</v>
      </c>
      <c r="AE94" s="426">
        <v>5</v>
      </c>
      <c r="AG94" s="426" t="s">
        <v>746</v>
      </c>
    </row>
    <row r="95" spans="1:33" ht="100.8" hidden="1">
      <c r="A95" s="426" t="s">
        <v>747</v>
      </c>
      <c r="B95" s="427" t="s">
        <v>422</v>
      </c>
      <c r="C95" s="426" t="s">
        <v>447</v>
      </c>
      <c r="D95" s="426" t="s">
        <v>461</v>
      </c>
      <c r="Z95" s="426">
        <v>4</v>
      </c>
      <c r="AA95" s="426">
        <v>4</v>
      </c>
      <c r="AB95" s="426">
        <v>4</v>
      </c>
      <c r="AC95" s="426">
        <v>4</v>
      </c>
      <c r="AD95" s="426">
        <v>4</v>
      </c>
      <c r="AE95" s="426">
        <v>4</v>
      </c>
      <c r="AG95" s="426" t="s">
        <v>746</v>
      </c>
    </row>
    <row r="96" spans="1:33" ht="43.2">
      <c r="A96" s="426" t="s">
        <v>748</v>
      </c>
      <c r="B96" s="426" t="s">
        <v>395</v>
      </c>
      <c r="C96" s="426" t="s">
        <v>447</v>
      </c>
      <c r="D96" s="426" t="s">
        <v>461</v>
      </c>
      <c r="Z96" s="426">
        <v>4</v>
      </c>
      <c r="AA96" s="426">
        <v>5</v>
      </c>
      <c r="AB96" s="426">
        <v>4</v>
      </c>
      <c r="AC96" s="426">
        <v>5</v>
      </c>
      <c r="AD96" s="426">
        <v>5</v>
      </c>
      <c r="AE96" s="426">
        <v>4</v>
      </c>
      <c r="AG96" s="426" t="s">
        <v>749</v>
      </c>
    </row>
    <row r="97" spans="1:33" ht="144">
      <c r="A97" s="426" t="s">
        <v>748</v>
      </c>
      <c r="B97" s="426" t="s">
        <v>395</v>
      </c>
      <c r="C97" s="426" t="s">
        <v>447</v>
      </c>
      <c r="D97" s="426" t="s">
        <v>461</v>
      </c>
      <c r="Z97" s="426">
        <v>5</v>
      </c>
      <c r="AA97" s="426">
        <v>4</v>
      </c>
      <c r="AB97" s="426">
        <v>5</v>
      </c>
      <c r="AC97" s="426">
        <v>5</v>
      </c>
      <c r="AD97" s="426">
        <v>5</v>
      </c>
      <c r="AE97" s="426">
        <v>5</v>
      </c>
      <c r="AF97" s="426" t="s">
        <v>750</v>
      </c>
      <c r="AG97" s="426" t="s">
        <v>750</v>
      </c>
    </row>
    <row r="98" spans="1:33" ht="216">
      <c r="A98" s="426" t="s">
        <v>748</v>
      </c>
      <c r="B98" s="426" t="s">
        <v>395</v>
      </c>
      <c r="C98" s="426" t="s">
        <v>447</v>
      </c>
      <c r="D98" s="426" t="s">
        <v>448</v>
      </c>
      <c r="E98" s="426">
        <v>5</v>
      </c>
      <c r="F98" s="426">
        <v>4</v>
      </c>
      <c r="G98" s="426">
        <v>5</v>
      </c>
      <c r="H98" s="426">
        <v>4</v>
      </c>
      <c r="I98" s="426">
        <v>4</v>
      </c>
      <c r="J98" s="426">
        <v>4</v>
      </c>
      <c r="L98" s="426" t="s">
        <v>449</v>
      </c>
      <c r="N98" s="426" t="s">
        <v>463</v>
      </c>
      <c r="P98" s="426">
        <v>3</v>
      </c>
      <c r="Q98" s="426">
        <v>4</v>
      </c>
      <c r="R98" s="426">
        <v>4</v>
      </c>
      <c r="T98" s="426" t="s">
        <v>525</v>
      </c>
      <c r="U98" s="426" t="s">
        <v>751</v>
      </c>
      <c r="V98" s="426" t="s">
        <v>752</v>
      </c>
      <c r="W98" s="426" t="s">
        <v>753</v>
      </c>
      <c r="X98" s="426" t="s">
        <v>754</v>
      </c>
      <c r="Y98" s="426" t="s">
        <v>755</v>
      </c>
      <c r="Z98" s="426">
        <v>5</v>
      </c>
      <c r="AA98" s="426">
        <v>4</v>
      </c>
      <c r="AB98" s="426">
        <v>4</v>
      </c>
      <c r="AC98" s="426">
        <v>4</v>
      </c>
      <c r="AD98" s="426">
        <v>4</v>
      </c>
      <c r="AE98" s="426">
        <v>4</v>
      </c>
      <c r="AG98" s="426" t="s">
        <v>756</v>
      </c>
    </row>
    <row r="99" spans="1:33" ht="144">
      <c r="A99" s="426" t="s">
        <v>544</v>
      </c>
      <c r="B99" s="426" t="s">
        <v>395</v>
      </c>
      <c r="C99" s="426" t="s">
        <v>516</v>
      </c>
      <c r="D99" s="426" t="s">
        <v>448</v>
      </c>
      <c r="E99" s="426">
        <v>5</v>
      </c>
      <c r="F99" s="426">
        <v>5</v>
      </c>
      <c r="G99" s="426">
        <v>5</v>
      </c>
      <c r="H99" s="426">
        <v>5</v>
      </c>
      <c r="I99" s="426">
        <v>5</v>
      </c>
      <c r="J99" s="426">
        <v>5</v>
      </c>
      <c r="L99" s="426" t="s">
        <v>449</v>
      </c>
      <c r="N99" s="426" t="s">
        <v>463</v>
      </c>
      <c r="P99" s="426">
        <v>5</v>
      </c>
      <c r="Q99" s="426">
        <v>5</v>
      </c>
      <c r="R99" s="426">
        <v>5</v>
      </c>
      <c r="T99" s="426" t="s">
        <v>454</v>
      </c>
      <c r="U99" s="426" t="s">
        <v>454</v>
      </c>
      <c r="V99" s="426" t="s">
        <v>454</v>
      </c>
      <c r="W99" s="426" t="s">
        <v>454</v>
      </c>
      <c r="X99" s="426" t="s">
        <v>757</v>
      </c>
      <c r="Y99" s="426" t="s">
        <v>758</v>
      </c>
      <c r="Z99" s="426">
        <v>4</v>
      </c>
      <c r="AA99" s="426">
        <v>4</v>
      </c>
      <c r="AB99" s="426">
        <v>4</v>
      </c>
      <c r="AC99" s="426">
        <v>4</v>
      </c>
      <c r="AD99" s="426">
        <v>4</v>
      </c>
      <c r="AE99" s="426">
        <v>4</v>
      </c>
      <c r="AG99" s="426" t="s">
        <v>746</v>
      </c>
    </row>
    <row r="100" spans="1:33" ht="144" hidden="1">
      <c r="A100" s="426" t="s">
        <v>759</v>
      </c>
      <c r="B100" s="426" t="s">
        <v>396</v>
      </c>
      <c r="C100" s="426" t="s">
        <v>516</v>
      </c>
      <c r="D100" s="426" t="s">
        <v>448</v>
      </c>
      <c r="E100" s="426">
        <v>5</v>
      </c>
      <c r="F100" s="426">
        <v>5</v>
      </c>
      <c r="G100" s="426">
        <v>5</v>
      </c>
      <c r="H100" s="426">
        <v>5</v>
      </c>
      <c r="I100" s="426">
        <v>5</v>
      </c>
      <c r="J100" s="426">
        <v>5</v>
      </c>
      <c r="L100" s="426" t="s">
        <v>449</v>
      </c>
      <c r="N100" s="426" t="s">
        <v>463</v>
      </c>
      <c r="P100" s="426">
        <v>5</v>
      </c>
      <c r="Q100" s="426">
        <v>5</v>
      </c>
      <c r="R100" s="426">
        <v>5</v>
      </c>
      <c r="T100" s="426" t="s">
        <v>760</v>
      </c>
      <c r="U100" s="426" t="s">
        <v>761</v>
      </c>
      <c r="V100" s="426" t="s">
        <v>762</v>
      </c>
      <c r="W100" s="426" t="s">
        <v>763</v>
      </c>
      <c r="X100" s="426" t="s">
        <v>764</v>
      </c>
      <c r="Y100" s="426" t="s">
        <v>765</v>
      </c>
      <c r="Z100" s="426">
        <v>4</v>
      </c>
      <c r="AA100" s="426">
        <v>4</v>
      </c>
      <c r="AB100" s="426">
        <v>4</v>
      </c>
      <c r="AC100" s="426">
        <v>5</v>
      </c>
      <c r="AD100" s="426">
        <v>4</v>
      </c>
      <c r="AE100" s="426">
        <v>5</v>
      </c>
      <c r="AG100" s="426" t="s">
        <v>766</v>
      </c>
    </row>
    <row r="101" spans="1:33" ht="144" hidden="1">
      <c r="A101" s="426" t="s">
        <v>759</v>
      </c>
      <c r="B101" s="426" t="s">
        <v>396</v>
      </c>
      <c r="C101" s="426" t="s">
        <v>516</v>
      </c>
      <c r="D101" s="426" t="s">
        <v>448</v>
      </c>
      <c r="E101" s="426">
        <v>5</v>
      </c>
      <c r="F101" s="426">
        <v>4</v>
      </c>
      <c r="G101" s="426">
        <v>4</v>
      </c>
      <c r="H101" s="426">
        <v>4</v>
      </c>
      <c r="I101" s="426">
        <v>4</v>
      </c>
      <c r="J101" s="426">
        <v>4</v>
      </c>
      <c r="L101" s="426" t="s">
        <v>449</v>
      </c>
      <c r="N101" s="426" t="s">
        <v>463</v>
      </c>
      <c r="P101" s="426">
        <v>4</v>
      </c>
      <c r="Q101" s="426">
        <v>4</v>
      </c>
      <c r="R101" s="426">
        <v>3</v>
      </c>
      <c r="T101" s="426" t="s">
        <v>52</v>
      </c>
      <c r="U101" s="426" t="s">
        <v>454</v>
      </c>
      <c r="V101" s="426" t="s">
        <v>454</v>
      </c>
      <c r="W101" s="426" t="s">
        <v>709</v>
      </c>
      <c r="X101" s="426" t="s">
        <v>767</v>
      </c>
      <c r="Y101" s="426" t="s">
        <v>768</v>
      </c>
      <c r="Z101" s="426">
        <v>4</v>
      </c>
      <c r="AA101" s="426">
        <v>4</v>
      </c>
      <c r="AB101" s="426">
        <v>4</v>
      </c>
      <c r="AC101" s="426">
        <v>4</v>
      </c>
      <c r="AD101" s="426">
        <v>4</v>
      </c>
      <c r="AE101" s="426">
        <v>4</v>
      </c>
      <c r="AG101" s="426" t="s">
        <v>681</v>
      </c>
    </row>
    <row r="102" spans="1:33" ht="216" hidden="1">
      <c r="A102" s="426" t="s">
        <v>759</v>
      </c>
      <c r="B102" s="426" t="s">
        <v>396</v>
      </c>
      <c r="C102" s="426" t="s">
        <v>516</v>
      </c>
      <c r="D102" s="426" t="s">
        <v>448</v>
      </c>
      <c r="E102" s="426">
        <v>5</v>
      </c>
      <c r="F102" s="426">
        <v>5</v>
      </c>
      <c r="G102" s="426">
        <v>5</v>
      </c>
      <c r="H102" s="426">
        <v>5</v>
      </c>
      <c r="I102" s="426">
        <v>5</v>
      </c>
      <c r="J102" s="426">
        <v>5</v>
      </c>
      <c r="L102" s="426" t="s">
        <v>497</v>
      </c>
      <c r="N102" s="426" t="s">
        <v>463</v>
      </c>
      <c r="P102" s="426">
        <v>5</v>
      </c>
      <c r="Q102" s="426">
        <v>5</v>
      </c>
      <c r="R102" s="426">
        <v>5</v>
      </c>
      <c r="T102" s="426" t="s">
        <v>769</v>
      </c>
      <c r="U102" s="426" t="s">
        <v>770</v>
      </c>
      <c r="V102" s="426" t="s">
        <v>771</v>
      </c>
      <c r="W102" s="426" t="s">
        <v>772</v>
      </c>
      <c r="X102" s="426" t="s">
        <v>773</v>
      </c>
      <c r="Y102" s="426" t="s">
        <v>774</v>
      </c>
      <c r="Z102" s="426">
        <v>5</v>
      </c>
      <c r="AA102" s="426">
        <v>5</v>
      </c>
      <c r="AB102" s="426">
        <v>5</v>
      </c>
      <c r="AC102" s="426">
        <v>5</v>
      </c>
      <c r="AD102" s="426">
        <v>5</v>
      </c>
      <c r="AE102" s="426">
        <v>5</v>
      </c>
      <c r="AG102" s="426" t="s">
        <v>775</v>
      </c>
    </row>
    <row r="103" spans="1:33" ht="144" hidden="1">
      <c r="A103" s="426" t="s">
        <v>759</v>
      </c>
      <c r="B103" s="426" t="s">
        <v>396</v>
      </c>
      <c r="C103" s="426" t="s">
        <v>516</v>
      </c>
      <c r="D103" s="426" t="s">
        <v>448</v>
      </c>
      <c r="E103" s="426">
        <v>5</v>
      </c>
      <c r="F103" s="426">
        <v>5</v>
      </c>
      <c r="G103" s="426">
        <v>5</v>
      </c>
      <c r="H103" s="426">
        <v>5</v>
      </c>
      <c r="I103" s="426">
        <v>5</v>
      </c>
      <c r="J103" s="426">
        <v>5</v>
      </c>
      <c r="L103" s="426" t="s">
        <v>497</v>
      </c>
      <c r="N103" s="426" t="s">
        <v>463</v>
      </c>
      <c r="P103" s="426">
        <v>5</v>
      </c>
      <c r="Q103" s="426">
        <v>5</v>
      </c>
      <c r="R103" s="426">
        <v>5</v>
      </c>
      <c r="T103" s="426" t="s">
        <v>494</v>
      </c>
      <c r="U103" s="426" t="s">
        <v>603</v>
      </c>
      <c r="V103" s="426" t="s">
        <v>776</v>
      </c>
      <c r="W103" s="426" t="s">
        <v>776</v>
      </c>
      <c r="X103" s="426" t="s">
        <v>777</v>
      </c>
      <c r="Y103" s="426" t="s">
        <v>778</v>
      </c>
      <c r="Z103" s="426">
        <v>5</v>
      </c>
      <c r="AA103" s="426">
        <v>5</v>
      </c>
      <c r="AB103" s="426">
        <v>5</v>
      </c>
      <c r="AC103" s="426">
        <v>5</v>
      </c>
      <c r="AD103" s="426">
        <v>5</v>
      </c>
      <c r="AE103" s="426">
        <v>5</v>
      </c>
      <c r="AG103" s="426" t="s">
        <v>779</v>
      </c>
    </row>
    <row r="104" spans="1:33" ht="331.2" hidden="1">
      <c r="A104" s="426" t="s">
        <v>759</v>
      </c>
      <c r="B104" s="426" t="s">
        <v>396</v>
      </c>
      <c r="C104" s="426" t="s">
        <v>516</v>
      </c>
      <c r="D104" s="426" t="s">
        <v>448</v>
      </c>
      <c r="E104" s="426">
        <v>4</v>
      </c>
      <c r="F104" s="426">
        <v>4</v>
      </c>
      <c r="G104" s="426">
        <v>4</v>
      </c>
      <c r="H104" s="426">
        <v>4</v>
      </c>
      <c r="I104" s="426">
        <v>5</v>
      </c>
      <c r="J104" s="426">
        <v>5</v>
      </c>
      <c r="L104" s="426" t="s">
        <v>449</v>
      </c>
      <c r="N104" s="426" t="s">
        <v>450</v>
      </c>
      <c r="P104" s="426">
        <v>4</v>
      </c>
      <c r="Q104" s="426">
        <v>4</v>
      </c>
      <c r="R104" s="426">
        <v>4</v>
      </c>
      <c r="S104" s="426" t="s">
        <v>780</v>
      </c>
      <c r="T104" s="426" t="s">
        <v>781</v>
      </c>
      <c r="U104" s="426" t="s">
        <v>782</v>
      </c>
      <c r="V104" s="426" t="s">
        <v>783</v>
      </c>
      <c r="W104" s="426" t="s">
        <v>784</v>
      </c>
      <c r="X104" s="426" t="s">
        <v>546</v>
      </c>
      <c r="Y104" s="426" t="s">
        <v>785</v>
      </c>
      <c r="Z104" s="426">
        <v>4</v>
      </c>
      <c r="AA104" s="426">
        <v>5</v>
      </c>
      <c r="AB104" s="426">
        <v>3</v>
      </c>
      <c r="AC104" s="426">
        <v>4</v>
      </c>
      <c r="AD104" s="426">
        <v>4</v>
      </c>
      <c r="AE104" s="426">
        <v>5</v>
      </c>
      <c r="AG104" s="426" t="s">
        <v>786</v>
      </c>
    </row>
    <row r="105" spans="1:33" ht="201.6" hidden="1">
      <c r="A105" s="426" t="s">
        <v>759</v>
      </c>
      <c r="B105" s="426" t="s">
        <v>396</v>
      </c>
      <c r="C105" s="426" t="s">
        <v>516</v>
      </c>
      <c r="D105" s="426" t="s">
        <v>461</v>
      </c>
      <c r="Z105" s="426">
        <v>3</v>
      </c>
      <c r="AA105" s="426">
        <v>5</v>
      </c>
      <c r="AB105" s="426">
        <v>4</v>
      </c>
      <c r="AC105" s="426">
        <v>5</v>
      </c>
      <c r="AD105" s="426">
        <v>4</v>
      </c>
      <c r="AE105" s="426">
        <v>5</v>
      </c>
      <c r="AG105" s="426" t="s">
        <v>787</v>
      </c>
    </row>
    <row r="106" spans="1:33" ht="409.6" hidden="1">
      <c r="A106" s="426" t="s">
        <v>788</v>
      </c>
      <c r="B106" s="426" t="s">
        <v>397</v>
      </c>
      <c r="C106" s="426" t="s">
        <v>447</v>
      </c>
      <c r="D106" s="426" t="s">
        <v>448</v>
      </c>
      <c r="E106" s="426">
        <v>4</v>
      </c>
      <c r="F106" s="426">
        <v>3</v>
      </c>
      <c r="G106" s="426">
        <v>5</v>
      </c>
      <c r="H106" s="426">
        <v>3</v>
      </c>
      <c r="I106" s="426">
        <v>5</v>
      </c>
      <c r="J106" s="426">
        <v>4</v>
      </c>
      <c r="L106" s="426" t="s">
        <v>449</v>
      </c>
      <c r="N106" s="426" t="s">
        <v>450</v>
      </c>
      <c r="O106" s="426" t="s">
        <v>789</v>
      </c>
      <c r="P106" s="426">
        <v>3</v>
      </c>
      <c r="Q106" s="426">
        <v>3</v>
      </c>
      <c r="R106" s="426">
        <v>2</v>
      </c>
      <c r="T106" s="426" t="s">
        <v>790</v>
      </c>
      <c r="U106" s="426" t="s">
        <v>791</v>
      </c>
      <c r="V106" s="426" t="s">
        <v>792</v>
      </c>
      <c r="W106" s="426" t="s">
        <v>793</v>
      </c>
      <c r="X106" s="426" t="s">
        <v>794</v>
      </c>
      <c r="Y106" s="426" t="s">
        <v>795</v>
      </c>
      <c r="Z106" s="426">
        <v>3</v>
      </c>
      <c r="AA106" s="426">
        <v>4</v>
      </c>
      <c r="AB106" s="426">
        <v>3</v>
      </c>
      <c r="AC106" s="426">
        <v>4</v>
      </c>
      <c r="AD106" s="426">
        <v>4</v>
      </c>
      <c r="AE106" s="426">
        <v>5</v>
      </c>
      <c r="AF106" s="426" t="s">
        <v>796</v>
      </c>
      <c r="AG106" s="426" t="s">
        <v>794</v>
      </c>
    </row>
    <row r="107" spans="1:33" hidden="1">
      <c r="A107" s="426" t="s">
        <v>788</v>
      </c>
      <c r="B107" s="426" t="s">
        <v>397</v>
      </c>
      <c r="C107" s="426" t="s">
        <v>447</v>
      </c>
      <c r="D107" s="426" t="s">
        <v>448</v>
      </c>
    </row>
    <row r="108" spans="1:33" ht="86.4" hidden="1">
      <c r="A108" s="426" t="s">
        <v>788</v>
      </c>
      <c r="B108" s="426" t="s">
        <v>397</v>
      </c>
      <c r="C108" s="426" t="s">
        <v>447</v>
      </c>
      <c r="D108" s="426" t="s">
        <v>448</v>
      </c>
      <c r="E108" s="426">
        <v>3</v>
      </c>
      <c r="F108" s="426">
        <v>3</v>
      </c>
      <c r="G108" s="426">
        <v>4</v>
      </c>
      <c r="H108" s="426">
        <v>4</v>
      </c>
      <c r="I108" s="426">
        <v>4</v>
      </c>
      <c r="J108" s="426">
        <v>4</v>
      </c>
      <c r="L108" s="426" t="s">
        <v>554</v>
      </c>
      <c r="N108" s="426" t="s">
        <v>450</v>
      </c>
      <c r="P108" s="426">
        <v>4</v>
      </c>
      <c r="Q108" s="426">
        <v>3</v>
      </c>
      <c r="R108" s="426">
        <v>4</v>
      </c>
      <c r="T108" s="426" t="s">
        <v>52</v>
      </c>
      <c r="U108" s="426" t="s">
        <v>454</v>
      </c>
      <c r="V108" s="426" t="s">
        <v>454</v>
      </c>
      <c r="W108" s="426" t="s">
        <v>709</v>
      </c>
      <c r="X108" s="426" t="s">
        <v>679</v>
      </c>
      <c r="Y108" s="426" t="s">
        <v>797</v>
      </c>
      <c r="Z108" s="426">
        <v>3</v>
      </c>
      <c r="AA108" s="426">
        <v>4</v>
      </c>
      <c r="AB108" s="426">
        <v>3</v>
      </c>
      <c r="AC108" s="426">
        <v>3</v>
      </c>
      <c r="AD108" s="426">
        <v>3</v>
      </c>
      <c r="AE108" s="426">
        <v>3</v>
      </c>
      <c r="AG108" s="426" t="s">
        <v>681</v>
      </c>
    </row>
    <row r="109" spans="1:33" ht="28.8" hidden="1">
      <c r="A109" s="426" t="s">
        <v>788</v>
      </c>
      <c r="B109" s="426" t="s">
        <v>397</v>
      </c>
      <c r="C109" s="426" t="s">
        <v>447</v>
      </c>
      <c r="D109" s="426" t="s">
        <v>461</v>
      </c>
      <c r="Z109" s="426">
        <v>5</v>
      </c>
      <c r="AA109" s="426">
        <v>5</v>
      </c>
      <c r="AB109" s="426">
        <v>5</v>
      </c>
      <c r="AC109" s="426">
        <v>5</v>
      </c>
      <c r="AD109" s="426">
        <v>5</v>
      </c>
      <c r="AE109" s="426">
        <v>5</v>
      </c>
      <c r="AG109" s="426" t="s">
        <v>798</v>
      </c>
    </row>
    <row r="110" spans="1:33" ht="43.2" hidden="1">
      <c r="A110" s="426" t="s">
        <v>799</v>
      </c>
      <c r="B110" s="426" t="s">
        <v>398</v>
      </c>
      <c r="C110" s="426" t="s">
        <v>447</v>
      </c>
      <c r="D110" s="426" t="s">
        <v>461</v>
      </c>
      <c r="Z110" s="426">
        <v>3</v>
      </c>
      <c r="AA110" s="426">
        <v>3</v>
      </c>
      <c r="AB110" s="426">
        <v>4</v>
      </c>
      <c r="AC110" s="426">
        <v>5</v>
      </c>
      <c r="AD110" s="426">
        <v>5</v>
      </c>
      <c r="AE110" s="426">
        <v>5</v>
      </c>
      <c r="AG110" s="426" t="s">
        <v>800</v>
      </c>
    </row>
    <row r="111" spans="1:33" ht="187.2" hidden="1">
      <c r="A111" s="426" t="s">
        <v>799</v>
      </c>
      <c r="B111" s="426" t="s">
        <v>398</v>
      </c>
      <c r="C111" s="426" t="s">
        <v>447</v>
      </c>
      <c r="D111" s="426" t="s">
        <v>448</v>
      </c>
      <c r="E111" s="426">
        <v>4</v>
      </c>
      <c r="F111" s="426">
        <v>4</v>
      </c>
      <c r="G111" s="426">
        <v>5</v>
      </c>
      <c r="H111" s="426">
        <v>4</v>
      </c>
      <c r="I111" s="426">
        <v>5</v>
      </c>
      <c r="J111" s="426">
        <v>4</v>
      </c>
      <c r="L111" s="426" t="s">
        <v>449</v>
      </c>
      <c r="N111" s="426" t="s">
        <v>463</v>
      </c>
      <c r="O111" s="426" t="s">
        <v>801</v>
      </c>
      <c r="P111" s="426">
        <v>4</v>
      </c>
      <c r="Q111" s="426">
        <v>3</v>
      </c>
      <c r="R111" s="426">
        <v>4</v>
      </c>
      <c r="T111" s="426" t="s">
        <v>478</v>
      </c>
      <c r="U111" s="426" t="s">
        <v>454</v>
      </c>
      <c r="V111" s="426" t="s">
        <v>479</v>
      </c>
      <c r="W111" s="426" t="s">
        <v>454</v>
      </c>
      <c r="X111" s="426" t="s">
        <v>264</v>
      </c>
      <c r="Y111" s="426" t="s">
        <v>613</v>
      </c>
      <c r="Z111" s="426">
        <v>4</v>
      </c>
      <c r="AA111" s="426">
        <v>5</v>
      </c>
      <c r="AB111" s="426">
        <v>4</v>
      </c>
      <c r="AC111" s="426">
        <v>5</v>
      </c>
      <c r="AD111" s="426">
        <v>5</v>
      </c>
      <c r="AE111" s="426">
        <v>5</v>
      </c>
      <c r="AG111" s="426" t="s">
        <v>802</v>
      </c>
    </row>
    <row r="112" spans="1:33" ht="115.2" hidden="1">
      <c r="A112" s="426" t="s">
        <v>803</v>
      </c>
      <c r="B112" s="426" t="s">
        <v>398</v>
      </c>
      <c r="C112" s="426" t="s">
        <v>447</v>
      </c>
      <c r="D112" s="426" t="s">
        <v>461</v>
      </c>
      <c r="Z112" s="426">
        <v>4</v>
      </c>
      <c r="AA112" s="426">
        <v>3</v>
      </c>
      <c r="AB112" s="426">
        <v>2</v>
      </c>
      <c r="AC112" s="426">
        <v>3</v>
      </c>
      <c r="AD112" s="426">
        <v>4</v>
      </c>
      <c r="AE112" s="426">
        <v>3</v>
      </c>
      <c r="AF112" s="426" t="s">
        <v>804</v>
      </c>
      <c r="AG112" s="426" t="s">
        <v>805</v>
      </c>
    </row>
    <row r="113" spans="1:33" ht="144" hidden="1">
      <c r="A113" s="426" t="s">
        <v>806</v>
      </c>
      <c r="B113" s="426" t="s">
        <v>78</v>
      </c>
      <c r="C113" s="426" t="s">
        <v>447</v>
      </c>
      <c r="D113" s="426" t="s">
        <v>448</v>
      </c>
      <c r="E113" s="426">
        <v>5</v>
      </c>
      <c r="F113" s="426">
        <v>4</v>
      </c>
      <c r="G113" s="426">
        <v>5</v>
      </c>
      <c r="H113" s="426">
        <v>4</v>
      </c>
      <c r="I113" s="426">
        <v>4</v>
      </c>
      <c r="J113" s="426">
        <v>4</v>
      </c>
      <c r="L113" s="426" t="s">
        <v>449</v>
      </c>
      <c r="N113" s="426" t="s">
        <v>463</v>
      </c>
      <c r="P113" s="426">
        <v>5</v>
      </c>
      <c r="Q113" s="426">
        <v>5</v>
      </c>
      <c r="R113" s="426">
        <v>4</v>
      </c>
      <c r="T113" s="426" t="s">
        <v>807</v>
      </c>
      <c r="U113" s="426" t="s">
        <v>808</v>
      </c>
      <c r="V113" s="426" t="s">
        <v>809</v>
      </c>
      <c r="W113" s="426" t="s">
        <v>810</v>
      </c>
      <c r="X113" s="426" t="s">
        <v>811</v>
      </c>
      <c r="Y113" s="426" t="s">
        <v>623</v>
      </c>
      <c r="Z113" s="426">
        <v>4</v>
      </c>
      <c r="AA113" s="426">
        <v>4</v>
      </c>
      <c r="AB113" s="426">
        <v>4</v>
      </c>
      <c r="AC113" s="426">
        <v>4</v>
      </c>
      <c r="AD113" s="426">
        <v>4</v>
      </c>
      <c r="AE113" s="426">
        <v>4</v>
      </c>
      <c r="AG113" s="426" t="s">
        <v>623</v>
      </c>
    </row>
    <row r="114" spans="1:33" ht="403.2" hidden="1">
      <c r="A114" s="426" t="s">
        <v>806</v>
      </c>
      <c r="B114" s="426" t="s">
        <v>78</v>
      </c>
      <c r="C114" s="426" t="s">
        <v>447</v>
      </c>
      <c r="D114" s="426" t="s">
        <v>448</v>
      </c>
      <c r="E114" s="426">
        <v>5</v>
      </c>
      <c r="F114" s="426">
        <v>4</v>
      </c>
      <c r="G114" s="426">
        <v>5</v>
      </c>
      <c r="H114" s="426">
        <v>4</v>
      </c>
      <c r="I114" s="426">
        <v>4</v>
      </c>
      <c r="J114" s="426">
        <v>4</v>
      </c>
      <c r="L114" s="426" t="s">
        <v>509</v>
      </c>
      <c r="N114" s="426" t="s">
        <v>498</v>
      </c>
      <c r="O114" s="426" t="s">
        <v>812</v>
      </c>
      <c r="P114" s="426">
        <v>3</v>
      </c>
      <c r="Q114" s="426">
        <v>4</v>
      </c>
      <c r="R114" s="426">
        <v>4</v>
      </c>
      <c r="T114" s="426" t="s">
        <v>813</v>
      </c>
      <c r="U114" s="426" t="s">
        <v>814</v>
      </c>
      <c r="V114" s="426" t="s">
        <v>815</v>
      </c>
      <c r="W114" s="426" t="s">
        <v>709</v>
      </c>
      <c r="X114" s="426" t="s">
        <v>816</v>
      </c>
      <c r="Y114" s="426" t="s">
        <v>817</v>
      </c>
      <c r="Z114" s="426">
        <v>3</v>
      </c>
      <c r="AA114" s="426">
        <v>4</v>
      </c>
      <c r="AB114" s="426">
        <v>3</v>
      </c>
      <c r="AC114" s="426">
        <v>2</v>
      </c>
      <c r="AD114" s="426">
        <v>4</v>
      </c>
      <c r="AE114" s="426">
        <v>3</v>
      </c>
      <c r="AG114" s="426" t="s">
        <v>818</v>
      </c>
    </row>
    <row r="115" spans="1:33" hidden="1">
      <c r="A115" s="426" t="s">
        <v>806</v>
      </c>
      <c r="B115" s="426" t="s">
        <v>78</v>
      </c>
      <c r="C115" s="426" t="s">
        <v>447</v>
      </c>
      <c r="D115" s="426" t="s">
        <v>461</v>
      </c>
      <c r="Z115" s="426">
        <v>5</v>
      </c>
      <c r="AA115" s="426">
        <v>5</v>
      </c>
      <c r="AB115" s="426">
        <v>5</v>
      </c>
      <c r="AC115" s="426">
        <v>5</v>
      </c>
      <c r="AD115" s="426">
        <v>5</v>
      </c>
      <c r="AE115" s="426">
        <v>5</v>
      </c>
      <c r="AG115" s="426" t="s">
        <v>819</v>
      </c>
    </row>
    <row r="116" spans="1:33" ht="144" hidden="1">
      <c r="A116" s="426" t="s">
        <v>820</v>
      </c>
      <c r="B116" s="426" t="s">
        <v>82</v>
      </c>
      <c r="C116" s="426" t="s">
        <v>447</v>
      </c>
      <c r="D116" s="426" t="s">
        <v>448</v>
      </c>
      <c r="E116" s="426">
        <v>5</v>
      </c>
      <c r="F116" s="426">
        <v>5</v>
      </c>
      <c r="G116" s="426">
        <v>5</v>
      </c>
      <c r="H116" s="426">
        <v>5</v>
      </c>
      <c r="I116" s="426">
        <v>5</v>
      </c>
      <c r="J116" s="426">
        <v>5</v>
      </c>
      <c r="L116" s="426" t="s">
        <v>449</v>
      </c>
      <c r="N116" s="426" t="s">
        <v>463</v>
      </c>
      <c r="P116" s="426">
        <v>5</v>
      </c>
      <c r="Q116" s="426">
        <v>5</v>
      </c>
      <c r="R116" s="426">
        <v>4</v>
      </c>
      <c r="T116" s="426" t="s">
        <v>821</v>
      </c>
      <c r="U116" s="426" t="s">
        <v>822</v>
      </c>
      <c r="V116" s="426" t="s">
        <v>822</v>
      </c>
      <c r="W116" s="426" t="s">
        <v>822</v>
      </c>
      <c r="X116" s="426" t="s">
        <v>264</v>
      </c>
      <c r="Y116" s="426" t="s">
        <v>264</v>
      </c>
      <c r="Z116" s="426">
        <v>5</v>
      </c>
      <c r="AA116" s="426">
        <v>5</v>
      </c>
      <c r="AB116" s="426">
        <v>4</v>
      </c>
      <c r="AC116" s="426">
        <v>5</v>
      </c>
      <c r="AD116" s="426">
        <v>5</v>
      </c>
      <c r="AE116" s="426">
        <v>5</v>
      </c>
      <c r="AG116" s="426" t="s">
        <v>823</v>
      </c>
    </row>
    <row r="117" spans="1:33" ht="28.8" hidden="1">
      <c r="A117" s="426" t="s">
        <v>820</v>
      </c>
      <c r="B117" s="426" t="s">
        <v>82</v>
      </c>
      <c r="C117" s="426" t="s">
        <v>447</v>
      </c>
      <c r="D117" s="426" t="s">
        <v>461</v>
      </c>
      <c r="Z117" s="426">
        <v>4</v>
      </c>
      <c r="AA117" s="426">
        <v>4</v>
      </c>
      <c r="AB117" s="426">
        <v>4</v>
      </c>
      <c r="AC117" s="426">
        <v>5</v>
      </c>
      <c r="AD117" s="426">
        <v>5</v>
      </c>
      <c r="AE117" s="426">
        <v>5</v>
      </c>
      <c r="AG117" s="426" t="s">
        <v>543</v>
      </c>
    </row>
    <row r="118" spans="1:33" ht="172.8" hidden="1">
      <c r="A118" s="426" t="s">
        <v>600</v>
      </c>
      <c r="B118" s="426" t="s">
        <v>400</v>
      </c>
      <c r="C118" s="426" t="s">
        <v>447</v>
      </c>
      <c r="D118" s="426" t="s">
        <v>448</v>
      </c>
      <c r="E118" s="426">
        <v>4</v>
      </c>
      <c r="F118" s="426">
        <v>4</v>
      </c>
      <c r="G118" s="426">
        <v>4</v>
      </c>
      <c r="H118" s="426">
        <v>4</v>
      </c>
      <c r="I118" s="426">
        <v>4</v>
      </c>
      <c r="J118" s="426">
        <v>4</v>
      </c>
      <c r="L118" s="426" t="s">
        <v>449</v>
      </c>
      <c r="N118" s="426" t="s">
        <v>463</v>
      </c>
      <c r="P118" s="426">
        <v>4</v>
      </c>
      <c r="Q118" s="426">
        <v>4</v>
      </c>
      <c r="R118" s="426">
        <v>4</v>
      </c>
      <c r="T118" s="426" t="s">
        <v>824</v>
      </c>
      <c r="U118" s="426" t="s">
        <v>825</v>
      </c>
      <c r="V118" s="426" t="s">
        <v>826</v>
      </c>
      <c r="W118" s="426" t="s">
        <v>827</v>
      </c>
      <c r="X118" s="426" t="s">
        <v>828</v>
      </c>
      <c r="Y118" s="426" t="s">
        <v>829</v>
      </c>
      <c r="Z118" s="426">
        <v>3</v>
      </c>
      <c r="AA118" s="426">
        <v>4</v>
      </c>
      <c r="AB118" s="426">
        <v>4</v>
      </c>
      <c r="AC118" s="426">
        <v>4</v>
      </c>
      <c r="AD118" s="426">
        <v>4</v>
      </c>
      <c r="AE118" s="426">
        <v>3</v>
      </c>
      <c r="AG118" s="426" t="s">
        <v>830</v>
      </c>
    </row>
    <row r="119" spans="1:33" ht="28.8" hidden="1">
      <c r="A119" s="426" t="s">
        <v>641</v>
      </c>
      <c r="B119" s="426" t="s">
        <v>400</v>
      </c>
      <c r="C119" s="426" t="s">
        <v>447</v>
      </c>
      <c r="D119" s="426" t="s">
        <v>461</v>
      </c>
      <c r="Z119" s="426">
        <v>5</v>
      </c>
      <c r="AA119" s="426">
        <v>4</v>
      </c>
      <c r="AB119" s="426">
        <v>5</v>
      </c>
      <c r="AC119" s="426">
        <v>5</v>
      </c>
      <c r="AD119" s="426">
        <v>5</v>
      </c>
      <c r="AE119" s="426">
        <v>4</v>
      </c>
      <c r="AG119" s="426" t="s">
        <v>831</v>
      </c>
    </row>
    <row r="120" spans="1:33" ht="144" hidden="1">
      <c r="A120" s="426" t="s">
        <v>600</v>
      </c>
      <c r="B120" s="426" t="s">
        <v>400</v>
      </c>
      <c r="C120" s="426" t="s">
        <v>447</v>
      </c>
      <c r="D120" s="426" t="s">
        <v>448</v>
      </c>
      <c r="E120" s="426">
        <v>5</v>
      </c>
      <c r="F120" s="426">
        <v>5</v>
      </c>
      <c r="G120" s="426">
        <v>5</v>
      </c>
      <c r="H120" s="426">
        <v>5</v>
      </c>
      <c r="I120" s="426">
        <v>5</v>
      </c>
      <c r="J120" s="426">
        <v>5</v>
      </c>
      <c r="L120" s="426" t="s">
        <v>449</v>
      </c>
      <c r="N120" s="426" t="s">
        <v>463</v>
      </c>
      <c r="P120" s="426">
        <v>5</v>
      </c>
      <c r="Q120" s="426">
        <v>5</v>
      </c>
      <c r="R120" s="426">
        <v>4</v>
      </c>
      <c r="T120" s="426" t="s">
        <v>832</v>
      </c>
      <c r="U120" s="426" t="s">
        <v>822</v>
      </c>
      <c r="V120" s="426" t="s">
        <v>822</v>
      </c>
      <c r="W120" s="426" t="s">
        <v>822</v>
      </c>
      <c r="X120" s="426" t="s">
        <v>264</v>
      </c>
      <c r="Y120" s="426" t="s">
        <v>264</v>
      </c>
      <c r="Z120" s="426">
        <v>5</v>
      </c>
      <c r="AA120" s="426">
        <v>5</v>
      </c>
      <c r="AB120" s="426">
        <v>5</v>
      </c>
      <c r="AC120" s="426">
        <v>5</v>
      </c>
      <c r="AD120" s="426">
        <v>4</v>
      </c>
      <c r="AE120" s="426">
        <v>5</v>
      </c>
      <c r="AG120" s="426" t="s">
        <v>833</v>
      </c>
    </row>
    <row r="121" spans="1:33" ht="115.2" hidden="1">
      <c r="A121" s="426" t="s">
        <v>600</v>
      </c>
      <c r="B121" s="426" t="s">
        <v>400</v>
      </c>
      <c r="C121" s="426" t="s">
        <v>447</v>
      </c>
      <c r="D121" s="426" t="s">
        <v>448</v>
      </c>
      <c r="E121" s="426">
        <v>5</v>
      </c>
      <c r="F121" s="426">
        <v>5</v>
      </c>
      <c r="G121" s="426">
        <v>5</v>
      </c>
      <c r="H121" s="426">
        <v>5</v>
      </c>
      <c r="I121" s="426">
        <v>5</v>
      </c>
      <c r="J121" s="426">
        <v>4</v>
      </c>
      <c r="L121" s="426" t="s">
        <v>449</v>
      </c>
      <c r="N121" s="426" t="s">
        <v>740</v>
      </c>
      <c r="P121" s="426">
        <v>5</v>
      </c>
      <c r="Q121" s="426">
        <v>4</v>
      </c>
      <c r="R121" s="426">
        <v>4</v>
      </c>
      <c r="T121" s="426" t="s">
        <v>457</v>
      </c>
      <c r="U121" s="426" t="s">
        <v>457</v>
      </c>
      <c r="V121" s="426" t="s">
        <v>457</v>
      </c>
      <c r="W121" s="426" t="s">
        <v>834</v>
      </c>
      <c r="X121" s="426" t="s">
        <v>835</v>
      </c>
      <c r="Y121" s="426" t="s">
        <v>835</v>
      </c>
      <c r="Z121" s="426">
        <v>4</v>
      </c>
      <c r="AA121" s="426">
        <v>5</v>
      </c>
      <c r="AB121" s="426">
        <v>4</v>
      </c>
      <c r="AC121" s="426">
        <v>5</v>
      </c>
      <c r="AD121" s="426">
        <v>5</v>
      </c>
      <c r="AE121" s="426">
        <v>5</v>
      </c>
      <c r="AG121" s="426" t="s">
        <v>835</v>
      </c>
    </row>
    <row r="122" spans="1:33" ht="409.6" hidden="1">
      <c r="A122" s="426" t="s">
        <v>836</v>
      </c>
      <c r="B122" s="426" t="s">
        <v>837</v>
      </c>
      <c r="C122" s="426" t="s">
        <v>516</v>
      </c>
      <c r="D122" s="426" t="s">
        <v>461</v>
      </c>
      <c r="Z122" s="426">
        <v>4</v>
      </c>
      <c r="AA122" s="426">
        <v>5</v>
      </c>
      <c r="AB122" s="426">
        <v>4</v>
      </c>
      <c r="AC122" s="426">
        <v>5</v>
      </c>
      <c r="AD122" s="426">
        <v>5</v>
      </c>
      <c r="AE122" s="426">
        <v>5</v>
      </c>
      <c r="AG122" s="426" t="s">
        <v>838</v>
      </c>
    </row>
    <row r="123" spans="1:33" ht="144" hidden="1">
      <c r="A123" s="426" t="s">
        <v>836</v>
      </c>
      <c r="B123" s="426" t="s">
        <v>837</v>
      </c>
      <c r="C123" s="426" t="s">
        <v>516</v>
      </c>
      <c r="D123" s="426" t="s">
        <v>448</v>
      </c>
      <c r="E123" s="426">
        <v>5</v>
      </c>
      <c r="F123" s="426">
        <v>5</v>
      </c>
      <c r="G123" s="426">
        <v>5</v>
      </c>
      <c r="H123" s="426">
        <v>5</v>
      </c>
      <c r="I123" s="426">
        <v>5</v>
      </c>
      <c r="J123" s="426">
        <v>5</v>
      </c>
      <c r="K123" s="426" t="s">
        <v>839</v>
      </c>
      <c r="L123" s="426" t="s">
        <v>449</v>
      </c>
      <c r="N123" s="426" t="s">
        <v>463</v>
      </c>
      <c r="P123" s="426">
        <v>4</v>
      </c>
      <c r="Q123" s="426">
        <v>4</v>
      </c>
      <c r="R123" s="426">
        <v>4</v>
      </c>
      <c r="Z123" s="426">
        <v>5</v>
      </c>
      <c r="AA123" s="426">
        <v>5</v>
      </c>
      <c r="AB123" s="426">
        <v>5</v>
      </c>
      <c r="AC123" s="426">
        <v>5</v>
      </c>
      <c r="AD123" s="426">
        <v>5</v>
      </c>
      <c r="AE123" s="426">
        <v>5</v>
      </c>
      <c r="AF123" s="426" t="s">
        <v>840</v>
      </c>
      <c r="AG123" s="426" t="s">
        <v>481</v>
      </c>
    </row>
    <row r="124" spans="1:33" ht="144" hidden="1">
      <c r="A124" s="426" t="s">
        <v>836</v>
      </c>
      <c r="B124" s="426" t="s">
        <v>837</v>
      </c>
      <c r="C124" s="426" t="s">
        <v>516</v>
      </c>
      <c r="D124" s="426" t="s">
        <v>448</v>
      </c>
      <c r="E124" s="426">
        <v>5</v>
      </c>
      <c r="F124" s="426">
        <v>5</v>
      </c>
      <c r="G124" s="426">
        <v>5</v>
      </c>
      <c r="H124" s="426">
        <v>5</v>
      </c>
      <c r="I124" s="426">
        <v>5</v>
      </c>
      <c r="J124" s="426">
        <v>5</v>
      </c>
      <c r="L124" s="426" t="s">
        <v>497</v>
      </c>
      <c r="N124" s="426" t="s">
        <v>463</v>
      </c>
      <c r="P124" s="426">
        <v>5</v>
      </c>
      <c r="Q124" s="426">
        <v>5</v>
      </c>
      <c r="R124" s="426">
        <v>5</v>
      </c>
      <c r="T124" s="426" t="s">
        <v>841</v>
      </c>
      <c r="U124" s="426" t="s">
        <v>465</v>
      </c>
      <c r="V124" s="426" t="s">
        <v>842</v>
      </c>
      <c r="W124" s="426" t="s">
        <v>465</v>
      </c>
      <c r="X124" s="426" t="s">
        <v>843</v>
      </c>
      <c r="Y124" s="426" t="s">
        <v>843</v>
      </c>
      <c r="Z124" s="426">
        <v>5</v>
      </c>
      <c r="AA124" s="426">
        <v>5</v>
      </c>
      <c r="AB124" s="426">
        <v>5</v>
      </c>
      <c r="AC124" s="426">
        <v>5</v>
      </c>
      <c r="AD124" s="426">
        <v>5</v>
      </c>
      <c r="AE124" s="426">
        <v>5</v>
      </c>
      <c r="AG124" s="426" t="s">
        <v>844</v>
      </c>
    </row>
    <row r="125" spans="1:33" ht="144" hidden="1">
      <c r="A125" s="426" t="s">
        <v>836</v>
      </c>
      <c r="B125" s="426" t="s">
        <v>837</v>
      </c>
      <c r="C125" s="426" t="s">
        <v>516</v>
      </c>
      <c r="D125" s="426" t="s">
        <v>448</v>
      </c>
      <c r="E125" s="426">
        <v>5</v>
      </c>
      <c r="F125" s="426">
        <v>5</v>
      </c>
      <c r="G125" s="426">
        <v>5</v>
      </c>
      <c r="H125" s="426">
        <v>5</v>
      </c>
      <c r="I125" s="426">
        <v>5</v>
      </c>
      <c r="J125" s="426">
        <v>5</v>
      </c>
      <c r="L125" s="426" t="s">
        <v>497</v>
      </c>
      <c r="N125" s="426" t="s">
        <v>463</v>
      </c>
      <c r="P125" s="426">
        <v>5</v>
      </c>
      <c r="Q125" s="426">
        <v>5</v>
      </c>
      <c r="R125" s="426">
        <v>5</v>
      </c>
      <c r="T125" s="426" t="s">
        <v>845</v>
      </c>
      <c r="U125" s="426" t="s">
        <v>454</v>
      </c>
      <c r="V125" s="426" t="s">
        <v>846</v>
      </c>
      <c r="W125" s="426" t="s">
        <v>454</v>
      </c>
      <c r="X125" s="426" t="s">
        <v>847</v>
      </c>
      <c r="Y125" s="426" t="s">
        <v>848</v>
      </c>
      <c r="Z125" s="426">
        <v>5</v>
      </c>
      <c r="AA125" s="426">
        <v>5</v>
      </c>
      <c r="AB125" s="426">
        <v>5</v>
      </c>
      <c r="AC125" s="426">
        <v>5</v>
      </c>
      <c r="AD125" s="426">
        <v>5</v>
      </c>
      <c r="AE125" s="426">
        <v>5</v>
      </c>
      <c r="AG125" s="426" t="s">
        <v>849</v>
      </c>
    </row>
    <row r="126" spans="1:33" ht="144" hidden="1">
      <c r="A126" s="426" t="s">
        <v>836</v>
      </c>
      <c r="B126" s="426" t="s">
        <v>837</v>
      </c>
      <c r="C126" s="426" t="s">
        <v>516</v>
      </c>
      <c r="D126" s="426" t="s">
        <v>448</v>
      </c>
      <c r="E126" s="426">
        <v>5</v>
      </c>
      <c r="F126" s="426">
        <v>5</v>
      </c>
      <c r="G126" s="426">
        <v>5</v>
      </c>
      <c r="H126" s="426">
        <v>5</v>
      </c>
      <c r="I126" s="426">
        <v>5</v>
      </c>
      <c r="J126" s="426">
        <v>5</v>
      </c>
      <c r="K126" s="426" t="s">
        <v>839</v>
      </c>
      <c r="L126" s="426" t="s">
        <v>449</v>
      </c>
      <c r="N126" s="426" t="s">
        <v>463</v>
      </c>
      <c r="P126" s="426">
        <v>4</v>
      </c>
      <c r="Q126" s="426">
        <v>4</v>
      </c>
      <c r="R126" s="426">
        <v>4</v>
      </c>
      <c r="T126" s="426" t="s">
        <v>850</v>
      </c>
      <c r="U126" s="426" t="s">
        <v>850</v>
      </c>
      <c r="V126" s="426" t="s">
        <v>850</v>
      </c>
      <c r="W126" s="426" t="s">
        <v>454</v>
      </c>
      <c r="X126" s="426" t="s">
        <v>851</v>
      </c>
      <c r="Y126" s="426" t="s">
        <v>852</v>
      </c>
      <c r="Z126" s="426">
        <v>5</v>
      </c>
      <c r="AA126" s="426">
        <v>5</v>
      </c>
      <c r="AB126" s="426">
        <v>5</v>
      </c>
      <c r="AC126" s="426">
        <v>5</v>
      </c>
      <c r="AD126" s="426">
        <v>5</v>
      </c>
      <c r="AE126" s="426">
        <v>5</v>
      </c>
      <c r="AG126" s="426" t="s">
        <v>481</v>
      </c>
    </row>
    <row r="127" spans="1:33" ht="144" hidden="1">
      <c r="A127" s="426" t="s">
        <v>836</v>
      </c>
      <c r="B127" s="426" t="s">
        <v>837</v>
      </c>
      <c r="C127" s="426" t="s">
        <v>516</v>
      </c>
      <c r="D127" s="426" t="s">
        <v>448</v>
      </c>
      <c r="E127" s="426">
        <v>5</v>
      </c>
      <c r="F127" s="426">
        <v>5</v>
      </c>
      <c r="G127" s="426">
        <v>5</v>
      </c>
      <c r="H127" s="426">
        <v>5</v>
      </c>
      <c r="I127" s="426">
        <v>5</v>
      </c>
      <c r="J127" s="426">
        <v>5</v>
      </c>
      <c r="L127" s="426" t="s">
        <v>449</v>
      </c>
      <c r="N127" s="426" t="s">
        <v>463</v>
      </c>
      <c r="P127" s="426">
        <v>5</v>
      </c>
      <c r="Q127" s="426">
        <v>5</v>
      </c>
      <c r="R127" s="426">
        <v>5</v>
      </c>
      <c r="T127" s="426" t="s">
        <v>478</v>
      </c>
      <c r="U127" s="426" t="s">
        <v>454</v>
      </c>
      <c r="V127" s="426" t="s">
        <v>479</v>
      </c>
      <c r="W127" s="426" t="s">
        <v>480</v>
      </c>
      <c r="X127" s="426" t="s">
        <v>481</v>
      </c>
      <c r="Y127" s="426" t="s">
        <v>481</v>
      </c>
      <c r="Z127" s="426">
        <v>5</v>
      </c>
      <c r="AA127" s="426">
        <v>5</v>
      </c>
      <c r="AB127" s="426">
        <v>5</v>
      </c>
      <c r="AC127" s="426">
        <v>5</v>
      </c>
      <c r="AD127" s="426">
        <v>5</v>
      </c>
      <c r="AE127" s="426">
        <v>5</v>
      </c>
      <c r="AG127" s="426" t="s">
        <v>482</v>
      </c>
    </row>
    <row r="128" spans="1:33" ht="144" hidden="1">
      <c r="A128" s="426" t="s">
        <v>836</v>
      </c>
      <c r="B128" s="426" t="s">
        <v>837</v>
      </c>
      <c r="C128" s="426" t="s">
        <v>516</v>
      </c>
      <c r="D128" s="426" t="s">
        <v>448</v>
      </c>
      <c r="E128" s="426">
        <v>5</v>
      </c>
      <c r="F128" s="426">
        <v>5</v>
      </c>
      <c r="G128" s="426">
        <v>5</v>
      </c>
      <c r="H128" s="426">
        <v>5</v>
      </c>
      <c r="I128" s="426">
        <v>5</v>
      </c>
      <c r="J128" s="426">
        <v>5</v>
      </c>
      <c r="L128" s="426" t="s">
        <v>497</v>
      </c>
      <c r="N128" s="426" t="s">
        <v>463</v>
      </c>
      <c r="P128" s="426">
        <v>5</v>
      </c>
      <c r="Q128" s="426">
        <v>5</v>
      </c>
      <c r="R128" s="426">
        <v>5</v>
      </c>
    </row>
    <row r="129" spans="1:33" ht="144" hidden="1">
      <c r="A129" s="426" t="s">
        <v>836</v>
      </c>
      <c r="B129" s="426" t="s">
        <v>837</v>
      </c>
      <c r="C129" s="426" t="s">
        <v>516</v>
      </c>
      <c r="D129" s="426" t="s">
        <v>448</v>
      </c>
      <c r="E129" s="426">
        <v>5</v>
      </c>
      <c r="F129" s="426">
        <v>5</v>
      </c>
      <c r="G129" s="426">
        <v>5</v>
      </c>
      <c r="H129" s="426">
        <v>5</v>
      </c>
      <c r="I129" s="426">
        <v>5</v>
      </c>
      <c r="J129" s="426">
        <v>5</v>
      </c>
      <c r="K129" s="426" t="s">
        <v>853</v>
      </c>
      <c r="L129" s="426" t="s">
        <v>449</v>
      </c>
      <c r="N129" s="426" t="s">
        <v>463</v>
      </c>
      <c r="P129" s="426">
        <v>5</v>
      </c>
      <c r="Q129" s="426">
        <v>5</v>
      </c>
      <c r="R129" s="426">
        <v>5</v>
      </c>
      <c r="T129" s="426" t="s">
        <v>854</v>
      </c>
      <c r="U129" s="426" t="s">
        <v>575</v>
      </c>
      <c r="V129" s="426" t="s">
        <v>855</v>
      </c>
      <c r="W129" s="426" t="s">
        <v>856</v>
      </c>
      <c r="X129" s="426" t="s">
        <v>857</v>
      </c>
      <c r="Y129" s="426" t="s">
        <v>858</v>
      </c>
      <c r="Z129" s="426">
        <v>5</v>
      </c>
      <c r="AA129" s="426">
        <v>5</v>
      </c>
      <c r="AB129" s="426">
        <v>5</v>
      </c>
      <c r="AC129" s="426">
        <v>5</v>
      </c>
      <c r="AD129" s="426">
        <v>5</v>
      </c>
      <c r="AE129" s="426">
        <v>5</v>
      </c>
      <c r="AG129" s="426" t="s">
        <v>859</v>
      </c>
    </row>
    <row r="130" spans="1:33" ht="144" hidden="1">
      <c r="A130" s="426" t="s">
        <v>836</v>
      </c>
      <c r="B130" s="426" t="s">
        <v>837</v>
      </c>
      <c r="C130" s="426" t="s">
        <v>516</v>
      </c>
      <c r="D130" s="426" t="s">
        <v>448</v>
      </c>
      <c r="E130" s="426">
        <v>5</v>
      </c>
      <c r="F130" s="426">
        <v>5</v>
      </c>
      <c r="G130" s="426">
        <v>5</v>
      </c>
      <c r="H130" s="426">
        <v>5</v>
      </c>
      <c r="I130" s="426">
        <v>5</v>
      </c>
      <c r="J130" s="426">
        <v>5</v>
      </c>
      <c r="L130" s="426" t="s">
        <v>497</v>
      </c>
      <c r="N130" s="426" t="s">
        <v>463</v>
      </c>
      <c r="P130" s="426">
        <v>5</v>
      </c>
      <c r="Q130" s="426">
        <v>5</v>
      </c>
      <c r="R130" s="426">
        <v>5</v>
      </c>
      <c r="T130" s="426" t="s">
        <v>850</v>
      </c>
      <c r="U130" s="426" t="s">
        <v>860</v>
      </c>
      <c r="V130" s="426" t="s">
        <v>850</v>
      </c>
      <c r="W130" s="426" t="s">
        <v>860</v>
      </c>
      <c r="X130" s="426" t="s">
        <v>264</v>
      </c>
      <c r="Y130" s="426" t="s">
        <v>861</v>
      </c>
      <c r="Z130" s="426">
        <v>5</v>
      </c>
      <c r="AA130" s="426">
        <v>5</v>
      </c>
      <c r="AB130" s="426">
        <v>5</v>
      </c>
      <c r="AC130" s="426">
        <v>5</v>
      </c>
      <c r="AD130" s="426">
        <v>5</v>
      </c>
      <c r="AE130" s="426">
        <v>5</v>
      </c>
      <c r="AG130" s="426" t="s">
        <v>264</v>
      </c>
    </row>
    <row r="131" spans="1:33" hidden="1">
      <c r="A131" s="426" t="s">
        <v>836</v>
      </c>
      <c r="B131" s="426" t="s">
        <v>837</v>
      </c>
      <c r="C131" s="426" t="s">
        <v>516</v>
      </c>
      <c r="D131" s="426" t="s">
        <v>461</v>
      </c>
      <c r="Z131" s="426">
        <v>5</v>
      </c>
      <c r="AA131" s="426">
        <v>5</v>
      </c>
      <c r="AB131" s="426">
        <v>5</v>
      </c>
      <c r="AC131" s="426">
        <v>5</v>
      </c>
      <c r="AD131" s="426">
        <v>5</v>
      </c>
      <c r="AE131" s="426">
        <v>5</v>
      </c>
      <c r="AG131" s="426" t="s">
        <v>264</v>
      </c>
    </row>
    <row r="132" spans="1:33" ht="100.8" hidden="1">
      <c r="A132" s="426" t="s">
        <v>862</v>
      </c>
      <c r="B132" s="426" t="s">
        <v>402</v>
      </c>
      <c r="C132" s="426" t="s">
        <v>447</v>
      </c>
      <c r="D132" s="426" t="s">
        <v>461</v>
      </c>
      <c r="Z132" s="426">
        <v>4</v>
      </c>
      <c r="AA132" s="426">
        <v>5</v>
      </c>
      <c r="AB132" s="426">
        <v>4</v>
      </c>
      <c r="AC132" s="426">
        <v>4</v>
      </c>
      <c r="AD132" s="426">
        <v>4</v>
      </c>
      <c r="AE132" s="426">
        <v>5</v>
      </c>
      <c r="AG132" s="426" t="s">
        <v>863</v>
      </c>
    </row>
    <row r="133" spans="1:33" ht="28.8" hidden="1">
      <c r="A133" s="426" t="s">
        <v>862</v>
      </c>
      <c r="B133" s="426" t="s">
        <v>402</v>
      </c>
      <c r="C133" s="426" t="s">
        <v>447</v>
      </c>
      <c r="D133" s="426" t="s">
        <v>461</v>
      </c>
      <c r="Z133" s="426">
        <v>4</v>
      </c>
      <c r="AA133" s="426">
        <v>4</v>
      </c>
      <c r="AB133" s="426">
        <v>4</v>
      </c>
      <c r="AC133" s="426">
        <v>5</v>
      </c>
      <c r="AD133" s="426">
        <v>4</v>
      </c>
      <c r="AE133" s="426">
        <v>5</v>
      </c>
      <c r="AG133" s="426" t="s">
        <v>462</v>
      </c>
    </row>
    <row r="134" spans="1:33" ht="129.6" hidden="1">
      <c r="A134" s="426" t="s">
        <v>862</v>
      </c>
      <c r="B134" s="426" t="s">
        <v>402</v>
      </c>
      <c r="C134" s="426" t="s">
        <v>447</v>
      </c>
      <c r="D134" s="426" t="s">
        <v>448</v>
      </c>
      <c r="E134" s="426">
        <v>4</v>
      </c>
      <c r="F134" s="426">
        <v>4</v>
      </c>
      <c r="G134" s="426">
        <v>3</v>
      </c>
      <c r="H134" s="426">
        <v>3</v>
      </c>
      <c r="I134" s="426">
        <v>4</v>
      </c>
      <c r="J134" s="426">
        <v>3</v>
      </c>
      <c r="L134" s="426" t="s">
        <v>554</v>
      </c>
      <c r="N134" s="426" t="s">
        <v>450</v>
      </c>
      <c r="P134" s="426">
        <v>3</v>
      </c>
      <c r="Q134" s="426">
        <v>3</v>
      </c>
      <c r="R134" s="426">
        <v>3</v>
      </c>
      <c r="T134" s="426" t="s">
        <v>478</v>
      </c>
      <c r="U134" s="426" t="s">
        <v>264</v>
      </c>
      <c r="V134" s="426" t="s">
        <v>264</v>
      </c>
      <c r="W134" s="426" t="s">
        <v>264</v>
      </c>
      <c r="X134" s="426" t="s">
        <v>264</v>
      </c>
      <c r="Y134" s="426" t="s">
        <v>864</v>
      </c>
      <c r="Z134" s="426">
        <v>3</v>
      </c>
      <c r="AA134" s="426">
        <v>3</v>
      </c>
      <c r="AB134" s="426">
        <v>3</v>
      </c>
      <c r="AC134" s="426">
        <v>5</v>
      </c>
      <c r="AD134" s="426">
        <v>4</v>
      </c>
      <c r="AE134" s="426">
        <v>5</v>
      </c>
      <c r="AG134" s="426" t="s">
        <v>865</v>
      </c>
    </row>
    <row r="135" spans="1:33" ht="100.8" hidden="1">
      <c r="A135" s="426" t="s">
        <v>866</v>
      </c>
      <c r="B135" s="426" t="s">
        <v>403</v>
      </c>
      <c r="C135" s="426" t="s">
        <v>447</v>
      </c>
      <c r="D135" s="426" t="s">
        <v>461</v>
      </c>
      <c r="Z135" s="426">
        <v>4</v>
      </c>
      <c r="AA135" s="426">
        <v>5</v>
      </c>
      <c r="AB135" s="426">
        <v>4</v>
      </c>
      <c r="AC135" s="426">
        <v>5</v>
      </c>
      <c r="AD135" s="426">
        <v>4</v>
      </c>
      <c r="AE135" s="426">
        <v>5</v>
      </c>
      <c r="AG135" s="426" t="s">
        <v>867</v>
      </c>
    </row>
    <row r="136" spans="1:33" ht="115.2" hidden="1">
      <c r="A136" s="426" t="s">
        <v>866</v>
      </c>
      <c r="B136" s="426" t="s">
        <v>403</v>
      </c>
      <c r="C136" s="426" t="s">
        <v>447</v>
      </c>
      <c r="D136" s="426" t="s">
        <v>448</v>
      </c>
      <c r="E136" s="426">
        <v>5</v>
      </c>
      <c r="F136" s="426">
        <v>2</v>
      </c>
      <c r="G136" s="426">
        <v>4</v>
      </c>
      <c r="H136" s="426">
        <v>4</v>
      </c>
      <c r="I136" s="426">
        <v>3</v>
      </c>
      <c r="J136" s="426">
        <v>3</v>
      </c>
      <c r="L136" s="426" t="s">
        <v>509</v>
      </c>
      <c r="N136" s="426" t="s">
        <v>740</v>
      </c>
      <c r="P136" s="426">
        <v>4</v>
      </c>
      <c r="Q136" s="426">
        <v>3</v>
      </c>
      <c r="R136" s="426">
        <v>3</v>
      </c>
      <c r="T136" s="426" t="s">
        <v>868</v>
      </c>
      <c r="U136" s="426" t="s">
        <v>869</v>
      </c>
      <c r="V136" s="426" t="s">
        <v>870</v>
      </c>
      <c r="W136" s="426" t="s">
        <v>871</v>
      </c>
      <c r="X136" s="426" t="s">
        <v>872</v>
      </c>
      <c r="Y136" s="426" t="s">
        <v>873</v>
      </c>
      <c r="Z136" s="426">
        <v>2</v>
      </c>
      <c r="AA136" s="426">
        <v>4</v>
      </c>
      <c r="AB136" s="426">
        <v>3</v>
      </c>
      <c r="AC136" s="426">
        <v>5</v>
      </c>
      <c r="AD136" s="426">
        <v>5</v>
      </c>
      <c r="AE136" s="426">
        <v>5</v>
      </c>
      <c r="AG136" s="426" t="s">
        <v>800</v>
      </c>
    </row>
    <row r="137" spans="1:33" ht="115.2" hidden="1">
      <c r="A137" s="426" t="s">
        <v>866</v>
      </c>
      <c r="B137" s="426" t="s">
        <v>403</v>
      </c>
      <c r="C137" s="426" t="s">
        <v>447</v>
      </c>
      <c r="D137" s="426" t="s">
        <v>448</v>
      </c>
      <c r="E137" s="426">
        <v>4</v>
      </c>
      <c r="F137" s="426">
        <v>4</v>
      </c>
      <c r="G137" s="426">
        <v>4</v>
      </c>
      <c r="H137" s="426">
        <v>4</v>
      </c>
      <c r="I137" s="426">
        <v>4</v>
      </c>
      <c r="J137" s="426">
        <v>4</v>
      </c>
      <c r="L137" s="426" t="s">
        <v>449</v>
      </c>
      <c r="N137" s="426" t="s">
        <v>740</v>
      </c>
      <c r="P137" s="426">
        <v>4</v>
      </c>
      <c r="Q137" s="426">
        <v>4</v>
      </c>
      <c r="R137" s="426">
        <v>4</v>
      </c>
      <c r="T137" s="426" t="s">
        <v>842</v>
      </c>
      <c r="U137" s="426" t="s">
        <v>465</v>
      </c>
      <c r="V137" s="426" t="s">
        <v>685</v>
      </c>
      <c r="W137" s="426" t="s">
        <v>465</v>
      </c>
      <c r="X137" s="426" t="s">
        <v>874</v>
      </c>
      <c r="Y137" s="426" t="s">
        <v>875</v>
      </c>
      <c r="Z137" s="426">
        <v>4</v>
      </c>
      <c r="AA137" s="426">
        <v>4</v>
      </c>
      <c r="AB137" s="426">
        <v>4</v>
      </c>
      <c r="AC137" s="426">
        <v>4</v>
      </c>
      <c r="AD137" s="426">
        <v>4</v>
      </c>
      <c r="AE137" s="426">
        <v>4</v>
      </c>
      <c r="AG137" s="426" t="s">
        <v>546</v>
      </c>
    </row>
    <row r="138" spans="1:33" ht="115.2" hidden="1">
      <c r="A138" s="426" t="s">
        <v>876</v>
      </c>
      <c r="B138" s="426" t="s">
        <v>877</v>
      </c>
      <c r="C138" s="426" t="s">
        <v>447</v>
      </c>
      <c r="D138" s="426" t="s">
        <v>448</v>
      </c>
      <c r="E138" s="426">
        <v>4</v>
      </c>
      <c r="F138" s="426">
        <v>4</v>
      </c>
      <c r="G138" s="426">
        <v>3</v>
      </c>
      <c r="H138" s="426">
        <v>4</v>
      </c>
      <c r="I138" s="426">
        <v>4</v>
      </c>
      <c r="J138" s="426">
        <v>4</v>
      </c>
      <c r="L138" s="426" t="s">
        <v>554</v>
      </c>
      <c r="N138" s="426" t="s">
        <v>450</v>
      </c>
      <c r="P138" s="426">
        <v>3</v>
      </c>
      <c r="Q138" s="426">
        <v>4</v>
      </c>
      <c r="R138" s="426">
        <v>4</v>
      </c>
      <c r="T138" s="426" t="s">
        <v>878</v>
      </c>
      <c r="U138" s="426" t="s">
        <v>879</v>
      </c>
      <c r="V138" s="426" t="s">
        <v>880</v>
      </c>
      <c r="W138" s="426" t="s">
        <v>881</v>
      </c>
      <c r="X138" s="426" t="s">
        <v>882</v>
      </c>
      <c r="Y138" s="426" t="s">
        <v>883</v>
      </c>
      <c r="Z138" s="426">
        <v>4</v>
      </c>
      <c r="AA138" s="426">
        <v>5</v>
      </c>
      <c r="AB138" s="426">
        <v>4</v>
      </c>
      <c r="AC138" s="426">
        <v>4</v>
      </c>
      <c r="AD138" s="426">
        <v>4</v>
      </c>
      <c r="AE138" s="426">
        <v>4</v>
      </c>
      <c r="AG138" s="426" t="s">
        <v>264</v>
      </c>
    </row>
    <row r="139" spans="1:33" ht="28.8" hidden="1">
      <c r="A139" s="426" t="s">
        <v>876</v>
      </c>
      <c r="B139" s="426" t="s">
        <v>877</v>
      </c>
      <c r="C139" s="426" t="s">
        <v>447</v>
      </c>
      <c r="D139" s="426" t="s">
        <v>461</v>
      </c>
      <c r="Z139" s="426">
        <v>1</v>
      </c>
      <c r="AA139" s="426">
        <v>1</v>
      </c>
      <c r="AB139" s="426">
        <v>1</v>
      </c>
      <c r="AC139" s="426">
        <v>1</v>
      </c>
      <c r="AD139" s="426">
        <v>1</v>
      </c>
      <c r="AE139" s="426">
        <v>1</v>
      </c>
      <c r="AG139" s="426" t="s">
        <v>462</v>
      </c>
    </row>
    <row r="140" spans="1:33" ht="403.2" hidden="1">
      <c r="A140" s="426" t="s">
        <v>876</v>
      </c>
      <c r="B140" s="426" t="s">
        <v>877</v>
      </c>
      <c r="C140" s="426" t="s">
        <v>447</v>
      </c>
      <c r="D140" s="426" t="s">
        <v>448</v>
      </c>
      <c r="E140" s="426">
        <v>5</v>
      </c>
      <c r="F140" s="426">
        <v>5</v>
      </c>
      <c r="G140" s="426">
        <v>5</v>
      </c>
      <c r="H140" s="426">
        <v>5</v>
      </c>
      <c r="I140" s="426">
        <v>5</v>
      </c>
      <c r="J140" s="426">
        <v>5</v>
      </c>
      <c r="L140" s="426" t="s">
        <v>449</v>
      </c>
      <c r="N140" s="426" t="s">
        <v>463</v>
      </c>
      <c r="P140" s="426">
        <v>5</v>
      </c>
      <c r="Q140" s="426">
        <v>5</v>
      </c>
      <c r="R140" s="426">
        <v>5</v>
      </c>
      <c r="T140" s="426" t="s">
        <v>884</v>
      </c>
      <c r="U140" s="426" t="s">
        <v>885</v>
      </c>
      <c r="V140" s="426" t="s">
        <v>886</v>
      </c>
      <c r="W140" s="426" t="s">
        <v>637</v>
      </c>
      <c r="X140" s="426" t="s">
        <v>887</v>
      </c>
      <c r="Y140" s="426" t="s">
        <v>888</v>
      </c>
      <c r="Z140" s="426">
        <v>5</v>
      </c>
      <c r="AA140" s="426">
        <v>5</v>
      </c>
      <c r="AB140" s="426">
        <v>5</v>
      </c>
      <c r="AC140" s="426">
        <v>5</v>
      </c>
      <c r="AD140" s="426">
        <v>5</v>
      </c>
      <c r="AE140" s="426">
        <v>5</v>
      </c>
      <c r="AG140" s="426" t="s">
        <v>889</v>
      </c>
    </row>
    <row r="141" spans="1:33" hidden="1">
      <c r="A141" s="426" t="s">
        <v>890</v>
      </c>
      <c r="B141" s="426" t="s">
        <v>891</v>
      </c>
      <c r="C141" s="426" t="s">
        <v>447</v>
      </c>
      <c r="D141" s="426" t="s">
        <v>461</v>
      </c>
    </row>
    <row r="142" spans="1:33" ht="409.6" hidden="1">
      <c r="A142" s="426" t="s">
        <v>890</v>
      </c>
      <c r="B142" s="426" t="s">
        <v>891</v>
      </c>
      <c r="C142" s="426" t="s">
        <v>447</v>
      </c>
      <c r="D142" s="426" t="s">
        <v>461</v>
      </c>
      <c r="Z142" s="426">
        <v>4</v>
      </c>
      <c r="AA142" s="426">
        <v>5</v>
      </c>
      <c r="AB142" s="426">
        <v>4</v>
      </c>
      <c r="AC142" s="426">
        <v>5</v>
      </c>
      <c r="AD142" s="426">
        <v>5</v>
      </c>
      <c r="AE142" s="426">
        <v>5</v>
      </c>
      <c r="AG142" s="426" t="s">
        <v>892</v>
      </c>
    </row>
    <row r="143" spans="1:33" ht="144" hidden="1">
      <c r="A143" s="426" t="s">
        <v>890</v>
      </c>
      <c r="B143" s="426" t="s">
        <v>891</v>
      </c>
      <c r="C143" s="426" t="s">
        <v>447</v>
      </c>
      <c r="D143" s="426" t="s">
        <v>448</v>
      </c>
      <c r="E143" s="426">
        <v>5</v>
      </c>
      <c r="F143" s="426">
        <v>5</v>
      </c>
      <c r="G143" s="426">
        <v>5</v>
      </c>
      <c r="H143" s="426">
        <v>5</v>
      </c>
      <c r="I143" s="426">
        <v>5</v>
      </c>
      <c r="J143" s="426">
        <v>5</v>
      </c>
      <c r="L143" s="426" t="s">
        <v>497</v>
      </c>
      <c r="N143" s="426" t="s">
        <v>463</v>
      </c>
      <c r="P143" s="426">
        <v>5</v>
      </c>
      <c r="Q143" s="426">
        <v>5</v>
      </c>
      <c r="R143" s="426">
        <v>5</v>
      </c>
      <c r="T143" s="426" t="s">
        <v>797</v>
      </c>
      <c r="U143" s="426" t="s">
        <v>465</v>
      </c>
      <c r="V143" s="426" t="s">
        <v>842</v>
      </c>
      <c r="W143" s="426" t="s">
        <v>465</v>
      </c>
      <c r="X143" s="426" t="s">
        <v>843</v>
      </c>
      <c r="Y143" s="426" t="s">
        <v>843</v>
      </c>
      <c r="Z143" s="426">
        <v>5</v>
      </c>
      <c r="AA143" s="426">
        <v>5</v>
      </c>
      <c r="AB143" s="426">
        <v>5</v>
      </c>
      <c r="AC143" s="426">
        <v>5</v>
      </c>
      <c r="AD143" s="426">
        <v>5</v>
      </c>
      <c r="AE143" s="426">
        <v>5</v>
      </c>
      <c r="AG143" s="426" t="s">
        <v>893</v>
      </c>
    </row>
    <row r="144" spans="1:33" ht="144" hidden="1">
      <c r="A144" s="426" t="s">
        <v>890</v>
      </c>
      <c r="B144" s="426" t="s">
        <v>891</v>
      </c>
      <c r="C144" s="426" t="s">
        <v>447</v>
      </c>
      <c r="D144" s="426" t="s">
        <v>448</v>
      </c>
      <c r="E144" s="426">
        <v>5</v>
      </c>
      <c r="F144" s="426">
        <v>5</v>
      </c>
      <c r="G144" s="426">
        <v>5</v>
      </c>
      <c r="H144" s="426">
        <v>5</v>
      </c>
      <c r="I144" s="426">
        <v>5</v>
      </c>
      <c r="J144" s="426">
        <v>5</v>
      </c>
      <c r="L144" s="426" t="s">
        <v>449</v>
      </c>
      <c r="N144" s="426" t="s">
        <v>463</v>
      </c>
      <c r="P144" s="426">
        <v>5</v>
      </c>
      <c r="Q144" s="426">
        <v>5</v>
      </c>
      <c r="R144" s="426">
        <v>5</v>
      </c>
      <c r="T144" s="426" t="s">
        <v>478</v>
      </c>
      <c r="U144" s="426" t="s">
        <v>454</v>
      </c>
      <c r="V144" s="426" t="s">
        <v>479</v>
      </c>
      <c r="W144" s="426" t="s">
        <v>480</v>
      </c>
      <c r="X144" s="426" t="s">
        <v>481</v>
      </c>
      <c r="Y144" s="426" t="s">
        <v>481</v>
      </c>
      <c r="Z144" s="426">
        <v>5</v>
      </c>
      <c r="AA144" s="426">
        <v>5</v>
      </c>
      <c r="AB144" s="426">
        <v>5</v>
      </c>
      <c r="AC144" s="426">
        <v>5</v>
      </c>
      <c r="AD144" s="426">
        <v>5</v>
      </c>
      <c r="AE144" s="426">
        <v>5</v>
      </c>
      <c r="AG144" s="426" t="s">
        <v>661</v>
      </c>
    </row>
    <row r="145" spans="1:33" ht="144" hidden="1">
      <c r="A145" s="426" t="s">
        <v>894</v>
      </c>
      <c r="B145" s="426" t="s">
        <v>406</v>
      </c>
      <c r="C145" s="426" t="s">
        <v>447</v>
      </c>
      <c r="D145" s="426" t="s">
        <v>448</v>
      </c>
      <c r="E145" s="426">
        <v>5</v>
      </c>
      <c r="F145" s="426">
        <v>5</v>
      </c>
      <c r="G145" s="426">
        <v>4</v>
      </c>
      <c r="H145" s="426">
        <v>5</v>
      </c>
      <c r="I145" s="426">
        <v>5</v>
      </c>
      <c r="J145" s="426">
        <v>5</v>
      </c>
      <c r="L145" s="426" t="s">
        <v>449</v>
      </c>
      <c r="N145" s="426" t="s">
        <v>463</v>
      </c>
      <c r="P145" s="426">
        <v>5</v>
      </c>
      <c r="Q145" s="426">
        <v>5</v>
      </c>
      <c r="R145" s="426">
        <v>4</v>
      </c>
      <c r="T145" s="426" t="s">
        <v>465</v>
      </c>
      <c r="U145" s="426" t="s">
        <v>895</v>
      </c>
      <c r="V145" s="426" t="s">
        <v>465</v>
      </c>
      <c r="W145" s="426" t="s">
        <v>465</v>
      </c>
      <c r="X145" s="426" t="s">
        <v>264</v>
      </c>
      <c r="Y145" s="426" t="s">
        <v>264</v>
      </c>
      <c r="Z145" s="426">
        <v>5</v>
      </c>
      <c r="AA145" s="426">
        <v>5</v>
      </c>
      <c r="AB145" s="426">
        <v>4</v>
      </c>
      <c r="AC145" s="426">
        <v>5</v>
      </c>
      <c r="AD145" s="426">
        <v>5</v>
      </c>
      <c r="AE145" s="426">
        <v>5</v>
      </c>
      <c r="AG145" s="426" t="s">
        <v>264</v>
      </c>
    </row>
    <row r="146" spans="1:33" ht="86.4" hidden="1">
      <c r="A146" s="426" t="s">
        <v>896</v>
      </c>
      <c r="B146" s="426" t="s">
        <v>406</v>
      </c>
      <c r="C146" s="426" t="s">
        <v>447</v>
      </c>
      <c r="D146" s="426" t="s">
        <v>461</v>
      </c>
      <c r="Z146" s="426">
        <v>5</v>
      </c>
      <c r="AA146" s="426">
        <v>4</v>
      </c>
      <c r="AB146" s="426">
        <v>5</v>
      </c>
      <c r="AC146" s="426">
        <v>5</v>
      </c>
      <c r="AD146" s="426">
        <v>5</v>
      </c>
      <c r="AE146" s="426">
        <v>5</v>
      </c>
      <c r="AG146" s="426" t="s">
        <v>897</v>
      </c>
    </row>
    <row r="147" spans="1:33" ht="144" hidden="1">
      <c r="A147" s="426" t="s">
        <v>898</v>
      </c>
      <c r="B147" s="426" t="s">
        <v>406</v>
      </c>
      <c r="C147" s="426" t="s">
        <v>447</v>
      </c>
      <c r="D147" s="426" t="s">
        <v>448</v>
      </c>
      <c r="E147" s="426">
        <v>5</v>
      </c>
      <c r="F147" s="426">
        <v>4</v>
      </c>
      <c r="G147" s="426">
        <v>4</v>
      </c>
      <c r="H147" s="426">
        <v>5</v>
      </c>
      <c r="I147" s="426">
        <v>5</v>
      </c>
      <c r="J147" s="426">
        <v>5</v>
      </c>
      <c r="L147" s="426" t="s">
        <v>449</v>
      </c>
      <c r="N147" s="426" t="s">
        <v>463</v>
      </c>
      <c r="P147" s="426">
        <v>4</v>
      </c>
      <c r="Q147" s="426">
        <v>4</v>
      </c>
      <c r="R147" s="426">
        <v>4</v>
      </c>
      <c r="T147" s="426" t="s">
        <v>899</v>
      </c>
    </row>
    <row r="148" spans="1:33" ht="144" hidden="1">
      <c r="A148" s="426" t="s">
        <v>900</v>
      </c>
      <c r="B148" s="426" t="s">
        <v>406</v>
      </c>
      <c r="C148" s="426" t="s">
        <v>447</v>
      </c>
      <c r="D148" s="426" t="s">
        <v>448</v>
      </c>
      <c r="E148" s="426">
        <v>5</v>
      </c>
      <c r="F148" s="426">
        <v>4</v>
      </c>
      <c r="G148" s="426">
        <v>5</v>
      </c>
      <c r="H148" s="426">
        <v>4</v>
      </c>
      <c r="I148" s="426">
        <v>5</v>
      </c>
      <c r="J148" s="426">
        <v>4</v>
      </c>
      <c r="L148" s="426" t="s">
        <v>449</v>
      </c>
      <c r="N148" s="426" t="s">
        <v>463</v>
      </c>
      <c r="P148" s="426">
        <v>4</v>
      </c>
      <c r="Q148" s="426">
        <v>5</v>
      </c>
      <c r="R148" s="426">
        <v>4</v>
      </c>
      <c r="T148" s="426" t="s">
        <v>901</v>
      </c>
      <c r="U148" s="426" t="s">
        <v>902</v>
      </c>
      <c r="V148" s="426" t="s">
        <v>903</v>
      </c>
      <c r="W148" s="426" t="s">
        <v>904</v>
      </c>
      <c r="X148" s="426" t="s">
        <v>481</v>
      </c>
      <c r="Y148" s="426" t="s">
        <v>905</v>
      </c>
      <c r="Z148" s="426">
        <v>4</v>
      </c>
      <c r="AA148" s="426">
        <v>4</v>
      </c>
      <c r="AB148" s="426">
        <v>4</v>
      </c>
      <c r="AC148" s="426">
        <v>5</v>
      </c>
      <c r="AD148" s="426">
        <v>5</v>
      </c>
      <c r="AE148" s="426">
        <v>5</v>
      </c>
      <c r="AG148" s="426" t="s">
        <v>481</v>
      </c>
    </row>
    <row r="149" spans="1:33" ht="158.4" hidden="1">
      <c r="A149" s="426" t="s">
        <v>906</v>
      </c>
      <c r="B149" s="426" t="s">
        <v>80</v>
      </c>
      <c r="C149" s="426" t="s">
        <v>447</v>
      </c>
      <c r="D149" s="426" t="s">
        <v>448</v>
      </c>
      <c r="E149" s="426">
        <v>5</v>
      </c>
      <c r="F149" s="426">
        <v>5</v>
      </c>
      <c r="G149" s="426">
        <v>5</v>
      </c>
      <c r="H149" s="426">
        <v>5</v>
      </c>
      <c r="I149" s="426">
        <v>5</v>
      </c>
      <c r="J149" s="426">
        <v>5</v>
      </c>
      <c r="L149" s="426" t="s">
        <v>449</v>
      </c>
      <c r="N149" s="426" t="s">
        <v>463</v>
      </c>
      <c r="P149" s="426">
        <v>5</v>
      </c>
      <c r="Q149" s="426">
        <v>5</v>
      </c>
      <c r="R149" s="426">
        <v>5</v>
      </c>
      <c r="T149" s="426" t="s">
        <v>517</v>
      </c>
      <c r="U149" s="426" t="s">
        <v>518</v>
      </c>
      <c r="V149" s="426" t="s">
        <v>907</v>
      </c>
      <c r="W149" s="426" t="s">
        <v>520</v>
      </c>
      <c r="X149" s="426" t="s">
        <v>506</v>
      </c>
      <c r="Y149" s="426" t="s">
        <v>908</v>
      </c>
      <c r="Z149" s="426">
        <v>5</v>
      </c>
      <c r="AA149" s="426">
        <v>5</v>
      </c>
      <c r="AB149" s="426">
        <v>5</v>
      </c>
      <c r="AC149" s="426">
        <v>5</v>
      </c>
      <c r="AD149" s="426">
        <v>5</v>
      </c>
      <c r="AE149" s="426">
        <v>5</v>
      </c>
      <c r="AG149" s="426" t="s">
        <v>909</v>
      </c>
    </row>
    <row r="150" spans="1:33" ht="100.8" hidden="1">
      <c r="A150" s="426" t="s">
        <v>906</v>
      </c>
      <c r="B150" s="426" t="s">
        <v>80</v>
      </c>
      <c r="C150" s="426" t="s">
        <v>447</v>
      </c>
      <c r="D150" s="426" t="s">
        <v>461</v>
      </c>
      <c r="Z150" s="426">
        <v>4</v>
      </c>
      <c r="AA150" s="426">
        <v>4</v>
      </c>
      <c r="AB150" s="426">
        <v>4</v>
      </c>
      <c r="AC150" s="426">
        <v>4</v>
      </c>
      <c r="AD150" s="426">
        <v>4</v>
      </c>
      <c r="AE150" s="426">
        <v>4</v>
      </c>
      <c r="AG150" s="426" t="s">
        <v>910</v>
      </c>
    </row>
    <row r="151" spans="1:33" ht="28.8" hidden="1">
      <c r="A151" s="426" t="s">
        <v>906</v>
      </c>
      <c r="B151" s="426" t="s">
        <v>80</v>
      </c>
      <c r="C151" s="426" t="s">
        <v>447</v>
      </c>
      <c r="D151" s="426" t="s">
        <v>461</v>
      </c>
      <c r="Z151" s="426">
        <v>5</v>
      </c>
      <c r="AA151" s="426">
        <v>5</v>
      </c>
      <c r="AB151" s="426">
        <v>5</v>
      </c>
      <c r="AC151" s="426">
        <v>5</v>
      </c>
      <c r="AD151" s="426">
        <v>5</v>
      </c>
      <c r="AE151" s="426">
        <v>5</v>
      </c>
      <c r="AG151" s="426" t="s">
        <v>264</v>
      </c>
    </row>
    <row r="152" spans="1:33" ht="144" hidden="1">
      <c r="A152" s="426" t="s">
        <v>911</v>
      </c>
      <c r="B152" s="426" t="s">
        <v>407</v>
      </c>
      <c r="C152" s="426" t="s">
        <v>447</v>
      </c>
      <c r="D152" s="426" t="s">
        <v>448</v>
      </c>
      <c r="E152" s="426">
        <v>5</v>
      </c>
      <c r="F152" s="426">
        <v>5</v>
      </c>
      <c r="G152" s="426">
        <v>5</v>
      </c>
      <c r="H152" s="426">
        <v>4</v>
      </c>
      <c r="I152" s="426">
        <v>5</v>
      </c>
      <c r="J152" s="426">
        <v>4</v>
      </c>
      <c r="L152" s="426" t="s">
        <v>449</v>
      </c>
      <c r="N152" s="426" t="s">
        <v>463</v>
      </c>
      <c r="P152" s="426">
        <v>4</v>
      </c>
      <c r="Q152" s="426">
        <v>5</v>
      </c>
      <c r="R152" s="426">
        <v>4</v>
      </c>
      <c r="U152" s="426" t="s">
        <v>912</v>
      </c>
      <c r="X152" s="426" t="s">
        <v>913</v>
      </c>
      <c r="Y152" s="426" t="s">
        <v>914</v>
      </c>
    </row>
    <row r="153" spans="1:33" ht="144" hidden="1">
      <c r="A153" s="426" t="s">
        <v>911</v>
      </c>
      <c r="B153" s="426" t="s">
        <v>407</v>
      </c>
      <c r="C153" s="426" t="s">
        <v>447</v>
      </c>
      <c r="D153" s="426" t="s">
        <v>448</v>
      </c>
      <c r="E153" s="426">
        <v>5</v>
      </c>
      <c r="F153" s="426">
        <v>4</v>
      </c>
      <c r="G153" s="426">
        <v>5</v>
      </c>
      <c r="H153" s="426">
        <v>4</v>
      </c>
      <c r="I153" s="426">
        <v>5</v>
      </c>
      <c r="J153" s="426">
        <v>4</v>
      </c>
      <c r="L153" s="426" t="s">
        <v>449</v>
      </c>
      <c r="N153" s="426" t="s">
        <v>463</v>
      </c>
      <c r="P153" s="426">
        <v>5</v>
      </c>
      <c r="Q153" s="426">
        <v>4</v>
      </c>
      <c r="R153" s="426">
        <v>4</v>
      </c>
      <c r="T153" s="426" t="s">
        <v>915</v>
      </c>
      <c r="U153" s="426" t="s">
        <v>916</v>
      </c>
      <c r="V153" s="426" t="s">
        <v>669</v>
      </c>
      <c r="W153" s="426" t="s">
        <v>264</v>
      </c>
      <c r="X153" s="426" t="s">
        <v>506</v>
      </c>
      <c r="Y153" s="426" t="s">
        <v>506</v>
      </c>
      <c r="Z153" s="426">
        <v>3</v>
      </c>
      <c r="AA153" s="426">
        <v>3</v>
      </c>
      <c r="AB153" s="426">
        <v>3</v>
      </c>
      <c r="AC153" s="426">
        <v>5</v>
      </c>
      <c r="AD153" s="426">
        <v>4</v>
      </c>
      <c r="AE153" s="426">
        <v>4</v>
      </c>
      <c r="AG153" s="426" t="s">
        <v>506</v>
      </c>
    </row>
    <row r="154" spans="1:33" ht="57.6" hidden="1">
      <c r="A154" s="426" t="s">
        <v>911</v>
      </c>
      <c r="B154" s="426" t="s">
        <v>407</v>
      </c>
      <c r="C154" s="426" t="s">
        <v>447</v>
      </c>
      <c r="D154" s="426" t="s">
        <v>461</v>
      </c>
      <c r="Z154" s="426">
        <v>5</v>
      </c>
      <c r="AA154" s="426">
        <v>5</v>
      </c>
      <c r="AB154" s="426">
        <v>5</v>
      </c>
      <c r="AC154" s="426">
        <v>5</v>
      </c>
      <c r="AD154" s="426">
        <v>5</v>
      </c>
      <c r="AE154" s="426">
        <v>5</v>
      </c>
      <c r="AG154" s="426" t="s">
        <v>917</v>
      </c>
    </row>
    <row r="155" spans="1:33" ht="57.6" hidden="1">
      <c r="A155" s="426" t="s">
        <v>911</v>
      </c>
      <c r="B155" s="426" t="s">
        <v>407</v>
      </c>
      <c r="C155" s="426" t="s">
        <v>447</v>
      </c>
      <c r="D155" s="426" t="s">
        <v>461</v>
      </c>
      <c r="Z155" s="426">
        <v>5</v>
      </c>
      <c r="AA155" s="426">
        <v>5</v>
      </c>
      <c r="AB155" s="426">
        <v>5</v>
      </c>
      <c r="AC155" s="426">
        <v>5</v>
      </c>
      <c r="AD155" s="426">
        <v>5</v>
      </c>
      <c r="AE155" s="426">
        <v>5</v>
      </c>
      <c r="AG155" s="426" t="s">
        <v>918</v>
      </c>
    </row>
    <row r="156" spans="1:33" ht="86.4" hidden="1">
      <c r="A156" s="426" t="s">
        <v>919</v>
      </c>
      <c r="B156" s="426" t="s">
        <v>408</v>
      </c>
      <c r="C156" s="426" t="s">
        <v>447</v>
      </c>
      <c r="D156" s="426" t="s">
        <v>448</v>
      </c>
      <c r="E156" s="426">
        <v>5</v>
      </c>
      <c r="F156" s="426">
        <v>5</v>
      </c>
      <c r="G156" s="426">
        <v>4</v>
      </c>
      <c r="H156" s="426">
        <v>5</v>
      </c>
      <c r="I156" s="426">
        <v>4</v>
      </c>
      <c r="J156" s="426">
        <v>4</v>
      </c>
      <c r="L156" s="426" t="s">
        <v>554</v>
      </c>
      <c r="N156" s="426" t="s">
        <v>450</v>
      </c>
      <c r="P156" s="426">
        <v>5</v>
      </c>
      <c r="Q156" s="426">
        <v>3</v>
      </c>
      <c r="R156" s="426">
        <v>5</v>
      </c>
      <c r="T156" s="426" t="s">
        <v>920</v>
      </c>
      <c r="U156" s="426" t="s">
        <v>869</v>
      </c>
      <c r="V156" s="426" t="s">
        <v>870</v>
      </c>
      <c r="W156" s="426" t="s">
        <v>921</v>
      </c>
      <c r="X156" s="426" t="s">
        <v>922</v>
      </c>
      <c r="Y156" s="426" t="s">
        <v>923</v>
      </c>
      <c r="Z156" s="426">
        <v>3</v>
      </c>
      <c r="AA156" s="426">
        <v>5</v>
      </c>
      <c r="AB156" s="426">
        <v>5</v>
      </c>
      <c r="AC156" s="426">
        <v>4</v>
      </c>
      <c r="AD156" s="426">
        <v>4</v>
      </c>
      <c r="AE156" s="426">
        <v>5</v>
      </c>
      <c r="AG156" s="426" t="s">
        <v>800</v>
      </c>
    </row>
    <row r="157" spans="1:33" ht="144" hidden="1">
      <c r="A157" s="426" t="s">
        <v>919</v>
      </c>
      <c r="B157" s="426" t="s">
        <v>408</v>
      </c>
      <c r="C157" s="426" t="s">
        <v>447</v>
      </c>
      <c r="D157" s="426" t="s">
        <v>448</v>
      </c>
      <c r="E157" s="426">
        <v>4</v>
      </c>
      <c r="F157" s="426">
        <v>5</v>
      </c>
      <c r="G157" s="426">
        <v>5</v>
      </c>
      <c r="H157" s="426">
        <v>5</v>
      </c>
      <c r="I157" s="426">
        <v>4</v>
      </c>
      <c r="J157" s="426">
        <v>4</v>
      </c>
      <c r="L157" s="426" t="s">
        <v>449</v>
      </c>
      <c r="N157" s="426" t="s">
        <v>463</v>
      </c>
      <c r="P157" s="426">
        <v>4</v>
      </c>
      <c r="Q157" s="426">
        <v>4</v>
      </c>
      <c r="R157" s="426">
        <v>3</v>
      </c>
      <c r="T157" s="426" t="s">
        <v>924</v>
      </c>
      <c r="U157" s="426" t="s">
        <v>925</v>
      </c>
      <c r="V157" s="426" t="s">
        <v>926</v>
      </c>
      <c r="W157" s="426" t="s">
        <v>927</v>
      </c>
      <c r="X157" s="426" t="s">
        <v>928</v>
      </c>
      <c r="Y157" s="426" t="s">
        <v>929</v>
      </c>
      <c r="Z157" s="426">
        <v>4</v>
      </c>
      <c r="AA157" s="426">
        <v>4</v>
      </c>
      <c r="AB157" s="426">
        <v>4</v>
      </c>
      <c r="AC157" s="426">
        <v>4</v>
      </c>
      <c r="AD157" s="426">
        <v>4</v>
      </c>
      <c r="AE157" s="426">
        <v>5</v>
      </c>
      <c r="AG157" s="426" t="s">
        <v>930</v>
      </c>
    </row>
    <row r="158" spans="1:33" ht="144" hidden="1">
      <c r="A158" s="426" t="s">
        <v>931</v>
      </c>
      <c r="B158" s="426" t="s">
        <v>90</v>
      </c>
      <c r="C158" s="426" t="s">
        <v>516</v>
      </c>
      <c r="D158" s="426" t="s">
        <v>448</v>
      </c>
      <c r="E158" s="426">
        <v>5</v>
      </c>
      <c r="F158" s="426">
        <v>5</v>
      </c>
      <c r="G158" s="426">
        <v>5</v>
      </c>
      <c r="H158" s="426">
        <v>4</v>
      </c>
      <c r="I158" s="426">
        <v>5</v>
      </c>
      <c r="J158" s="426">
        <v>5</v>
      </c>
      <c r="L158" s="426" t="s">
        <v>449</v>
      </c>
      <c r="N158" s="426" t="s">
        <v>463</v>
      </c>
      <c r="P158" s="426">
        <v>5</v>
      </c>
      <c r="Q158" s="426">
        <v>4</v>
      </c>
      <c r="R158" s="426">
        <v>5</v>
      </c>
      <c r="T158" s="426" t="s">
        <v>932</v>
      </c>
      <c r="U158" s="426" t="s">
        <v>465</v>
      </c>
      <c r="V158" s="426" t="s">
        <v>465</v>
      </c>
      <c r="W158" s="426" t="s">
        <v>933</v>
      </c>
      <c r="X158" s="426" t="s">
        <v>794</v>
      </c>
      <c r="Y158" s="426" t="s">
        <v>794</v>
      </c>
      <c r="Z158" s="426">
        <v>5</v>
      </c>
      <c r="AA158" s="426">
        <v>4</v>
      </c>
      <c r="AB158" s="426">
        <v>5</v>
      </c>
      <c r="AC158" s="426">
        <v>5</v>
      </c>
      <c r="AD158" s="426">
        <v>5</v>
      </c>
      <c r="AE158" s="426">
        <v>5</v>
      </c>
      <c r="AG158" s="426" t="s">
        <v>794</v>
      </c>
    </row>
    <row r="159" spans="1:33" ht="144" hidden="1">
      <c r="A159" s="426" t="s">
        <v>931</v>
      </c>
      <c r="B159" s="426" t="s">
        <v>90</v>
      </c>
      <c r="C159" s="426" t="s">
        <v>516</v>
      </c>
      <c r="D159" s="426" t="s">
        <v>448</v>
      </c>
      <c r="E159" s="426">
        <v>5</v>
      </c>
      <c r="F159" s="426">
        <v>3</v>
      </c>
      <c r="G159" s="426">
        <v>5</v>
      </c>
      <c r="H159" s="426">
        <v>5</v>
      </c>
      <c r="I159" s="426">
        <v>4</v>
      </c>
      <c r="J159" s="426">
        <v>5</v>
      </c>
      <c r="L159" s="426" t="s">
        <v>497</v>
      </c>
      <c r="N159" s="426" t="s">
        <v>463</v>
      </c>
      <c r="P159" s="426">
        <v>4</v>
      </c>
      <c r="Q159" s="426">
        <v>4</v>
      </c>
      <c r="R159" s="426">
        <v>4</v>
      </c>
      <c r="T159" s="426" t="s">
        <v>632</v>
      </c>
      <c r="U159" s="426" t="s">
        <v>454</v>
      </c>
      <c r="V159" s="426" t="s">
        <v>744</v>
      </c>
      <c r="W159" s="426" t="s">
        <v>454</v>
      </c>
      <c r="X159" s="426" t="s">
        <v>495</v>
      </c>
      <c r="Y159" s="426" t="s">
        <v>934</v>
      </c>
      <c r="Z159" s="426">
        <v>5</v>
      </c>
      <c r="AA159" s="426">
        <v>4</v>
      </c>
      <c r="AB159" s="426">
        <v>4</v>
      </c>
      <c r="AC159" s="426">
        <v>4</v>
      </c>
      <c r="AD159" s="426">
        <v>4</v>
      </c>
      <c r="AE159" s="426">
        <v>3</v>
      </c>
      <c r="AG159" s="426" t="s">
        <v>633</v>
      </c>
    </row>
    <row r="160" spans="1:33" ht="43.2" hidden="1">
      <c r="A160" s="426" t="s">
        <v>931</v>
      </c>
      <c r="B160" s="426" t="s">
        <v>90</v>
      </c>
      <c r="C160" s="426" t="s">
        <v>516</v>
      </c>
      <c r="D160" s="426" t="s">
        <v>461</v>
      </c>
      <c r="Z160" s="426">
        <v>5</v>
      </c>
      <c r="AA160" s="426">
        <v>4</v>
      </c>
      <c r="AB160" s="426">
        <v>5</v>
      </c>
      <c r="AC160" s="426">
        <v>5</v>
      </c>
      <c r="AD160" s="426">
        <v>5</v>
      </c>
      <c r="AE160" s="426">
        <v>5</v>
      </c>
      <c r="AG160" s="426" t="s">
        <v>935</v>
      </c>
    </row>
    <row r="161" spans="1:33" ht="144" hidden="1">
      <c r="A161" s="426" t="s">
        <v>931</v>
      </c>
      <c r="B161" s="426" t="s">
        <v>90</v>
      </c>
      <c r="C161" s="426" t="s">
        <v>516</v>
      </c>
      <c r="D161" s="426" t="s">
        <v>448</v>
      </c>
      <c r="E161" s="426">
        <v>5</v>
      </c>
      <c r="F161" s="426">
        <v>5</v>
      </c>
      <c r="G161" s="426">
        <v>5</v>
      </c>
      <c r="H161" s="426">
        <v>5</v>
      </c>
      <c r="I161" s="426">
        <v>5</v>
      </c>
      <c r="J161" s="426">
        <v>5</v>
      </c>
      <c r="L161" s="426" t="s">
        <v>449</v>
      </c>
      <c r="N161" s="426" t="s">
        <v>463</v>
      </c>
      <c r="P161" s="426">
        <v>5</v>
      </c>
      <c r="Q161" s="426">
        <v>5</v>
      </c>
      <c r="R161" s="426">
        <v>5</v>
      </c>
      <c r="T161" s="426" t="s">
        <v>936</v>
      </c>
      <c r="U161" s="426" t="s">
        <v>822</v>
      </c>
      <c r="V161" s="426" t="s">
        <v>822</v>
      </c>
      <c r="W161" s="426" t="s">
        <v>822</v>
      </c>
      <c r="X161" s="426" t="s">
        <v>264</v>
      </c>
      <c r="Y161" s="426" t="s">
        <v>264</v>
      </c>
      <c r="Z161" s="426">
        <v>5</v>
      </c>
      <c r="AA161" s="426">
        <v>5</v>
      </c>
      <c r="AB161" s="426">
        <v>5</v>
      </c>
      <c r="AC161" s="426">
        <v>5</v>
      </c>
      <c r="AD161" s="426">
        <v>5</v>
      </c>
      <c r="AE161" s="426">
        <v>5</v>
      </c>
      <c r="AG161" s="426" t="s">
        <v>937</v>
      </c>
    </row>
    <row r="162" spans="1:33" ht="409.6" hidden="1">
      <c r="A162" s="426" t="s">
        <v>931</v>
      </c>
      <c r="B162" s="426" t="s">
        <v>90</v>
      </c>
      <c r="C162" s="426" t="s">
        <v>516</v>
      </c>
      <c r="D162" s="426" t="s">
        <v>448</v>
      </c>
      <c r="E162" s="426">
        <v>5</v>
      </c>
      <c r="F162" s="426">
        <v>4</v>
      </c>
      <c r="G162" s="426">
        <v>5</v>
      </c>
      <c r="H162" s="426">
        <v>5</v>
      </c>
      <c r="I162" s="426">
        <v>4</v>
      </c>
      <c r="J162" s="426">
        <v>5</v>
      </c>
      <c r="L162" s="426" t="s">
        <v>449</v>
      </c>
      <c r="N162" s="426" t="s">
        <v>463</v>
      </c>
      <c r="P162" s="426">
        <v>4</v>
      </c>
      <c r="Q162" s="426">
        <v>4</v>
      </c>
      <c r="R162" s="426">
        <v>4</v>
      </c>
      <c r="T162" s="426" t="s">
        <v>938</v>
      </c>
      <c r="U162" s="426" t="s">
        <v>939</v>
      </c>
      <c r="V162" s="426" t="s">
        <v>940</v>
      </c>
      <c r="W162" s="426" t="s">
        <v>637</v>
      </c>
      <c r="X162" s="426" t="s">
        <v>941</v>
      </c>
      <c r="Y162" s="426" t="s">
        <v>942</v>
      </c>
      <c r="Z162" s="426">
        <v>5</v>
      </c>
      <c r="AA162" s="426">
        <v>3</v>
      </c>
      <c r="AB162" s="426">
        <v>4</v>
      </c>
      <c r="AC162" s="426">
        <v>4</v>
      </c>
      <c r="AD162" s="426">
        <v>4</v>
      </c>
      <c r="AE162" s="426">
        <v>4</v>
      </c>
      <c r="AG162" s="426" t="s">
        <v>638</v>
      </c>
    </row>
    <row r="163" spans="1:33" ht="144" hidden="1">
      <c r="A163" s="426" t="s">
        <v>943</v>
      </c>
      <c r="B163" s="426" t="s">
        <v>75</v>
      </c>
      <c r="C163" s="426" t="s">
        <v>447</v>
      </c>
      <c r="D163" s="426" t="s">
        <v>448</v>
      </c>
      <c r="E163" s="426">
        <v>5</v>
      </c>
      <c r="F163" s="426">
        <v>5</v>
      </c>
      <c r="G163" s="426">
        <v>5</v>
      </c>
      <c r="H163" s="426">
        <v>5</v>
      </c>
      <c r="I163" s="426">
        <v>5</v>
      </c>
      <c r="J163" s="426">
        <v>5</v>
      </c>
      <c r="L163" s="426" t="s">
        <v>497</v>
      </c>
      <c r="N163" s="426" t="s">
        <v>463</v>
      </c>
      <c r="P163" s="426">
        <v>5</v>
      </c>
      <c r="Q163" s="426">
        <v>5</v>
      </c>
      <c r="R163" s="426">
        <v>5</v>
      </c>
      <c r="T163" s="426" t="s">
        <v>944</v>
      </c>
      <c r="U163" s="426" t="s">
        <v>945</v>
      </c>
      <c r="V163" s="426" t="s">
        <v>946</v>
      </c>
      <c r="W163" s="426" t="s">
        <v>947</v>
      </c>
      <c r="X163" s="426" t="s">
        <v>264</v>
      </c>
      <c r="Y163" s="426" t="s">
        <v>264</v>
      </c>
      <c r="Z163" s="426">
        <v>5</v>
      </c>
      <c r="AA163" s="426">
        <v>5</v>
      </c>
      <c r="AB163" s="426">
        <v>5</v>
      </c>
      <c r="AC163" s="426">
        <v>5</v>
      </c>
      <c r="AD163" s="426">
        <v>5</v>
      </c>
      <c r="AE163" s="426">
        <v>5</v>
      </c>
      <c r="AG163" s="426" t="s">
        <v>264</v>
      </c>
    </row>
    <row r="164" spans="1:33" ht="158.4" hidden="1">
      <c r="A164" s="426" t="s">
        <v>943</v>
      </c>
      <c r="B164" s="426" t="s">
        <v>75</v>
      </c>
      <c r="C164" s="426" t="s">
        <v>447</v>
      </c>
      <c r="D164" s="426" t="s">
        <v>448</v>
      </c>
      <c r="E164" s="426">
        <v>5</v>
      </c>
      <c r="F164" s="426">
        <v>4</v>
      </c>
      <c r="G164" s="426">
        <v>4</v>
      </c>
      <c r="H164" s="426">
        <v>4</v>
      </c>
      <c r="I164" s="426">
        <v>4</v>
      </c>
      <c r="J164" s="426">
        <v>5</v>
      </c>
      <c r="L164" s="426" t="s">
        <v>449</v>
      </c>
      <c r="N164" s="426" t="s">
        <v>463</v>
      </c>
      <c r="P164" s="426">
        <v>4</v>
      </c>
      <c r="Q164" s="426">
        <v>5</v>
      </c>
      <c r="R164" s="426">
        <v>4</v>
      </c>
      <c r="T164" s="426" t="s">
        <v>948</v>
      </c>
      <c r="U164" s="426" t="s">
        <v>949</v>
      </c>
      <c r="V164" s="426" t="s">
        <v>950</v>
      </c>
      <c r="W164" s="426" t="s">
        <v>951</v>
      </c>
      <c r="X164" s="426" t="s">
        <v>952</v>
      </c>
      <c r="Y164" s="426" t="s">
        <v>953</v>
      </c>
      <c r="Z164" s="426">
        <v>5</v>
      </c>
      <c r="AA164" s="426">
        <v>4</v>
      </c>
      <c r="AB164" s="426">
        <v>3</v>
      </c>
      <c r="AC164" s="426">
        <v>5</v>
      </c>
      <c r="AD164" s="426">
        <v>5</v>
      </c>
      <c r="AE164" s="426">
        <v>4</v>
      </c>
      <c r="AG164" s="426" t="s">
        <v>954</v>
      </c>
    </row>
    <row r="165" spans="1:33" ht="86.4" hidden="1">
      <c r="A165" s="426" t="s">
        <v>943</v>
      </c>
      <c r="B165" s="426" t="s">
        <v>75</v>
      </c>
      <c r="C165" s="426" t="s">
        <v>447</v>
      </c>
      <c r="D165" s="426" t="s">
        <v>461</v>
      </c>
      <c r="Z165" s="426">
        <v>5</v>
      </c>
      <c r="AA165" s="426">
        <v>5</v>
      </c>
      <c r="AB165" s="426">
        <v>4</v>
      </c>
      <c r="AC165" s="426">
        <v>5</v>
      </c>
      <c r="AD165" s="426">
        <v>5</v>
      </c>
      <c r="AE165" s="426">
        <v>5</v>
      </c>
      <c r="AG165" s="426" t="s">
        <v>955</v>
      </c>
    </row>
    <row r="166" spans="1:33" ht="28.8" hidden="1">
      <c r="A166" s="426" t="s">
        <v>956</v>
      </c>
      <c r="B166" s="426" t="s">
        <v>409</v>
      </c>
      <c r="C166" s="426" t="s">
        <v>447</v>
      </c>
      <c r="D166" s="426" t="s">
        <v>461</v>
      </c>
      <c r="Z166" s="426">
        <v>4</v>
      </c>
      <c r="AA166" s="426">
        <v>4</v>
      </c>
      <c r="AB166" s="426">
        <v>4</v>
      </c>
      <c r="AC166" s="426">
        <v>4</v>
      </c>
      <c r="AD166" s="426">
        <v>5</v>
      </c>
      <c r="AE166" s="426">
        <v>4</v>
      </c>
    </row>
    <row r="167" spans="1:33" ht="144" hidden="1">
      <c r="A167" s="426" t="s">
        <v>956</v>
      </c>
      <c r="B167" s="426" t="s">
        <v>409</v>
      </c>
      <c r="C167" s="426" t="s">
        <v>447</v>
      </c>
      <c r="D167" s="426" t="s">
        <v>448</v>
      </c>
      <c r="E167" s="426">
        <v>5</v>
      </c>
      <c r="F167" s="426">
        <v>5</v>
      </c>
      <c r="G167" s="426">
        <v>5</v>
      </c>
      <c r="H167" s="426">
        <v>5</v>
      </c>
      <c r="I167" s="426">
        <v>5</v>
      </c>
      <c r="J167" s="426">
        <v>5</v>
      </c>
      <c r="L167" s="426" t="s">
        <v>449</v>
      </c>
      <c r="N167" s="426" t="s">
        <v>463</v>
      </c>
      <c r="P167" s="426">
        <v>4</v>
      </c>
      <c r="Q167" s="426">
        <v>5</v>
      </c>
      <c r="R167" s="426">
        <v>5</v>
      </c>
      <c r="T167" s="426" t="s">
        <v>957</v>
      </c>
      <c r="U167" s="426" t="s">
        <v>958</v>
      </c>
      <c r="V167" s="426" t="s">
        <v>465</v>
      </c>
      <c r="W167" s="426" t="s">
        <v>959</v>
      </c>
      <c r="X167" s="426" t="s">
        <v>794</v>
      </c>
      <c r="Y167" s="426" t="s">
        <v>794</v>
      </c>
      <c r="Z167" s="426">
        <v>4</v>
      </c>
      <c r="AA167" s="426">
        <v>5</v>
      </c>
      <c r="AB167" s="426">
        <v>5</v>
      </c>
      <c r="AC167" s="426">
        <v>4</v>
      </c>
      <c r="AD167" s="426">
        <v>5</v>
      </c>
      <c r="AE167" s="426">
        <v>5</v>
      </c>
      <c r="AG167" s="426" t="s">
        <v>794</v>
      </c>
    </row>
    <row r="168" spans="1:33" ht="28.8" hidden="1">
      <c r="A168" s="426" t="s">
        <v>956</v>
      </c>
      <c r="B168" s="426" t="s">
        <v>409</v>
      </c>
      <c r="C168" s="426" t="s">
        <v>447</v>
      </c>
      <c r="D168" s="426" t="s">
        <v>461</v>
      </c>
      <c r="Z168" s="426">
        <v>5</v>
      </c>
      <c r="AA168" s="426">
        <v>5</v>
      </c>
      <c r="AB168" s="426">
        <v>5</v>
      </c>
      <c r="AC168" s="426">
        <v>5</v>
      </c>
      <c r="AD168" s="426">
        <v>5</v>
      </c>
      <c r="AE168" s="426">
        <v>5</v>
      </c>
      <c r="AG168" s="426" t="s">
        <v>495</v>
      </c>
    </row>
    <row r="169" spans="1:33" ht="28.8" hidden="1">
      <c r="A169" s="426" t="s">
        <v>956</v>
      </c>
      <c r="B169" s="426" t="s">
        <v>409</v>
      </c>
      <c r="C169" s="426" t="s">
        <v>447</v>
      </c>
      <c r="D169" s="426" t="s">
        <v>461</v>
      </c>
      <c r="Z169" s="426">
        <v>1</v>
      </c>
      <c r="AA169" s="426">
        <v>1</v>
      </c>
      <c r="AB169" s="426">
        <v>1</v>
      </c>
      <c r="AC169" s="426">
        <v>1</v>
      </c>
      <c r="AD169" s="426">
        <v>1</v>
      </c>
      <c r="AE169" s="426">
        <v>1</v>
      </c>
      <c r="AG169" s="426" t="s">
        <v>264</v>
      </c>
    </row>
    <row r="170" spans="1:33" ht="230.4" hidden="1">
      <c r="A170" s="426" t="s">
        <v>960</v>
      </c>
      <c r="B170" s="426" t="s">
        <v>410</v>
      </c>
      <c r="C170" s="426" t="s">
        <v>447</v>
      </c>
      <c r="D170" s="426" t="s">
        <v>461</v>
      </c>
      <c r="Z170" s="426">
        <v>4</v>
      </c>
      <c r="AA170" s="426">
        <v>4</v>
      </c>
      <c r="AB170" s="426">
        <v>4</v>
      </c>
      <c r="AC170" s="426">
        <v>3</v>
      </c>
      <c r="AD170" s="426">
        <v>4</v>
      </c>
      <c r="AE170" s="426">
        <v>4</v>
      </c>
      <c r="AF170" s="426" t="s">
        <v>961</v>
      </c>
      <c r="AG170" s="426" t="s">
        <v>679</v>
      </c>
    </row>
    <row r="171" spans="1:33" ht="144" hidden="1">
      <c r="A171" s="426" t="s">
        <v>960</v>
      </c>
      <c r="B171" s="426" t="s">
        <v>410</v>
      </c>
      <c r="C171" s="426" t="s">
        <v>447</v>
      </c>
      <c r="D171" s="426" t="s">
        <v>448</v>
      </c>
      <c r="E171" s="426">
        <v>5</v>
      </c>
      <c r="F171" s="426">
        <v>5</v>
      </c>
      <c r="G171" s="426">
        <v>5</v>
      </c>
      <c r="H171" s="426">
        <v>5</v>
      </c>
      <c r="I171" s="426">
        <v>5</v>
      </c>
      <c r="J171" s="426">
        <v>5</v>
      </c>
      <c r="L171" s="426" t="s">
        <v>449</v>
      </c>
      <c r="N171" s="426" t="s">
        <v>463</v>
      </c>
      <c r="P171" s="426">
        <v>5</v>
      </c>
      <c r="Q171" s="426">
        <v>5</v>
      </c>
      <c r="R171" s="426">
        <v>5</v>
      </c>
      <c r="T171" s="426" t="s">
        <v>854</v>
      </c>
      <c r="U171" s="426" t="s">
        <v>575</v>
      </c>
      <c r="V171" s="426" t="s">
        <v>855</v>
      </c>
      <c r="W171" s="426" t="s">
        <v>856</v>
      </c>
      <c r="X171" s="426" t="s">
        <v>962</v>
      </c>
      <c r="Y171" s="426" t="s">
        <v>962</v>
      </c>
      <c r="Z171" s="426">
        <v>5</v>
      </c>
      <c r="AA171" s="426">
        <v>5</v>
      </c>
      <c r="AB171" s="426">
        <v>5</v>
      </c>
      <c r="AC171" s="426">
        <v>5</v>
      </c>
      <c r="AD171" s="426">
        <v>5</v>
      </c>
      <c r="AE171" s="426">
        <v>5</v>
      </c>
      <c r="AG171" s="426" t="s">
        <v>963</v>
      </c>
    </row>
    <row r="172" spans="1:33" hidden="1">
      <c r="A172" s="426" t="s">
        <v>960</v>
      </c>
      <c r="B172" s="426" t="s">
        <v>410</v>
      </c>
      <c r="C172" s="426" t="s">
        <v>447</v>
      </c>
      <c r="D172" s="426" t="s">
        <v>461</v>
      </c>
      <c r="Z172" s="426">
        <v>5</v>
      </c>
      <c r="AA172" s="426">
        <v>5</v>
      </c>
      <c r="AB172" s="426">
        <v>5</v>
      </c>
      <c r="AC172" s="426">
        <v>5</v>
      </c>
      <c r="AD172" s="426">
        <v>5</v>
      </c>
      <c r="AE172" s="426">
        <v>5</v>
      </c>
      <c r="AG172" s="426" t="s">
        <v>264</v>
      </c>
    </row>
    <row r="173" spans="1:33" ht="144" hidden="1">
      <c r="A173" s="426" t="s">
        <v>964</v>
      </c>
      <c r="B173" s="426" t="s">
        <v>411</v>
      </c>
      <c r="C173" s="426" t="s">
        <v>516</v>
      </c>
      <c r="D173" s="426" t="s">
        <v>448</v>
      </c>
      <c r="E173" s="426">
        <v>5</v>
      </c>
      <c r="F173" s="426">
        <v>5</v>
      </c>
      <c r="G173" s="426">
        <v>5</v>
      </c>
      <c r="H173" s="426">
        <v>5</v>
      </c>
      <c r="I173" s="426">
        <v>5</v>
      </c>
      <c r="J173" s="426">
        <v>5</v>
      </c>
      <c r="L173" s="426" t="s">
        <v>497</v>
      </c>
      <c r="N173" s="426" t="s">
        <v>463</v>
      </c>
      <c r="P173" s="426">
        <v>5</v>
      </c>
      <c r="Q173" s="426">
        <v>5</v>
      </c>
      <c r="R173" s="426">
        <v>5</v>
      </c>
    </row>
    <row r="174" spans="1:33" ht="144" hidden="1">
      <c r="A174" s="426" t="s">
        <v>964</v>
      </c>
      <c r="B174" s="426" t="s">
        <v>411</v>
      </c>
      <c r="C174" s="426" t="s">
        <v>516</v>
      </c>
      <c r="D174" s="426" t="s">
        <v>448</v>
      </c>
      <c r="E174" s="426">
        <v>5</v>
      </c>
      <c r="F174" s="426">
        <v>5</v>
      </c>
      <c r="G174" s="426">
        <v>5</v>
      </c>
      <c r="H174" s="426">
        <v>5</v>
      </c>
      <c r="I174" s="426">
        <v>5</v>
      </c>
      <c r="J174" s="426">
        <v>5</v>
      </c>
      <c r="L174" s="426" t="s">
        <v>449</v>
      </c>
      <c r="N174" s="426" t="s">
        <v>463</v>
      </c>
      <c r="P174" s="426">
        <v>5</v>
      </c>
      <c r="Q174" s="426">
        <v>5</v>
      </c>
      <c r="R174" s="426">
        <v>5</v>
      </c>
      <c r="T174" s="426" t="s">
        <v>965</v>
      </c>
      <c r="U174" s="426" t="s">
        <v>965</v>
      </c>
      <c r="V174" s="426" t="s">
        <v>965</v>
      </c>
      <c r="W174" s="426" t="s">
        <v>454</v>
      </c>
      <c r="X174" s="426" t="s">
        <v>966</v>
      </c>
      <c r="Y174" s="426" t="s">
        <v>967</v>
      </c>
      <c r="Z174" s="426">
        <v>5</v>
      </c>
      <c r="AA174" s="426">
        <v>5</v>
      </c>
      <c r="AB174" s="426">
        <v>4</v>
      </c>
      <c r="AC174" s="426">
        <v>5</v>
      </c>
      <c r="AD174" s="426">
        <v>5</v>
      </c>
      <c r="AE174" s="426">
        <v>5</v>
      </c>
      <c r="AG174" s="426" t="s">
        <v>968</v>
      </c>
    </row>
    <row r="175" spans="1:33" ht="144" hidden="1">
      <c r="A175" s="426" t="s">
        <v>964</v>
      </c>
      <c r="B175" s="426" t="s">
        <v>411</v>
      </c>
      <c r="C175" s="426" t="s">
        <v>516</v>
      </c>
      <c r="D175" s="426" t="s">
        <v>448</v>
      </c>
      <c r="E175" s="426">
        <v>5</v>
      </c>
      <c r="F175" s="426">
        <v>5</v>
      </c>
      <c r="G175" s="426">
        <v>5</v>
      </c>
      <c r="H175" s="426">
        <v>5</v>
      </c>
      <c r="I175" s="426">
        <v>5</v>
      </c>
      <c r="J175" s="426">
        <v>5</v>
      </c>
      <c r="L175" s="426" t="s">
        <v>497</v>
      </c>
      <c r="N175" s="426" t="s">
        <v>463</v>
      </c>
      <c r="P175" s="426">
        <v>5</v>
      </c>
      <c r="Q175" s="426">
        <v>5</v>
      </c>
      <c r="R175" s="426">
        <v>5</v>
      </c>
      <c r="T175" s="426" t="s">
        <v>969</v>
      </c>
      <c r="U175" s="426" t="s">
        <v>970</v>
      </c>
      <c r="V175" s="426" t="s">
        <v>971</v>
      </c>
      <c r="W175" s="426" t="s">
        <v>465</v>
      </c>
      <c r="X175" s="426" t="s">
        <v>495</v>
      </c>
      <c r="Y175" s="426" t="s">
        <v>495</v>
      </c>
      <c r="Z175" s="426">
        <v>5</v>
      </c>
      <c r="AA175" s="426">
        <v>5</v>
      </c>
      <c r="AB175" s="426">
        <v>5</v>
      </c>
      <c r="AC175" s="426">
        <v>5</v>
      </c>
      <c r="AD175" s="426">
        <v>5</v>
      </c>
      <c r="AE175" s="426">
        <v>5</v>
      </c>
      <c r="AG175" s="426" t="s">
        <v>495</v>
      </c>
    </row>
    <row r="176" spans="1:33" ht="144" hidden="1">
      <c r="A176" s="426" t="s">
        <v>964</v>
      </c>
      <c r="B176" s="426" t="s">
        <v>411</v>
      </c>
      <c r="C176" s="426" t="s">
        <v>516</v>
      </c>
      <c r="D176" s="426" t="s">
        <v>448</v>
      </c>
      <c r="E176" s="426">
        <v>4</v>
      </c>
      <c r="F176" s="426">
        <v>4</v>
      </c>
      <c r="G176" s="426">
        <v>4</v>
      </c>
      <c r="H176" s="426">
        <v>4</v>
      </c>
      <c r="I176" s="426">
        <v>4</v>
      </c>
      <c r="J176" s="426">
        <v>4</v>
      </c>
      <c r="L176" s="426" t="s">
        <v>449</v>
      </c>
      <c r="N176" s="426" t="s">
        <v>463</v>
      </c>
      <c r="P176" s="426">
        <v>4</v>
      </c>
      <c r="Q176" s="426">
        <v>4</v>
      </c>
      <c r="R176" s="426">
        <v>4</v>
      </c>
      <c r="T176" s="426" t="s">
        <v>972</v>
      </c>
      <c r="U176" s="426" t="s">
        <v>973</v>
      </c>
      <c r="V176" s="426" t="s">
        <v>822</v>
      </c>
      <c r="W176" s="426" t="s">
        <v>974</v>
      </c>
      <c r="X176" s="426" t="s">
        <v>541</v>
      </c>
      <c r="Y176" s="426" t="s">
        <v>975</v>
      </c>
      <c r="Z176" s="426">
        <v>4</v>
      </c>
      <c r="AA176" s="426">
        <v>4</v>
      </c>
      <c r="AB176" s="426">
        <v>4</v>
      </c>
      <c r="AC176" s="426">
        <v>4</v>
      </c>
      <c r="AD176" s="426">
        <v>4</v>
      </c>
      <c r="AE176" s="426">
        <v>4</v>
      </c>
      <c r="AG176" s="426" t="s">
        <v>541</v>
      </c>
    </row>
    <row r="177" spans="1:33" ht="144" hidden="1">
      <c r="A177" s="426" t="s">
        <v>964</v>
      </c>
      <c r="B177" s="426" t="s">
        <v>411</v>
      </c>
      <c r="C177" s="426" t="s">
        <v>516</v>
      </c>
      <c r="D177" s="426" t="s">
        <v>448</v>
      </c>
      <c r="E177" s="426">
        <v>5</v>
      </c>
      <c r="F177" s="426">
        <v>5</v>
      </c>
      <c r="G177" s="426">
        <v>5</v>
      </c>
      <c r="H177" s="426">
        <v>5</v>
      </c>
      <c r="I177" s="426">
        <v>5</v>
      </c>
      <c r="J177" s="426">
        <v>5</v>
      </c>
      <c r="L177" s="426" t="s">
        <v>449</v>
      </c>
      <c r="N177" s="426" t="s">
        <v>463</v>
      </c>
      <c r="P177" s="426">
        <v>4</v>
      </c>
      <c r="Q177" s="426">
        <v>4</v>
      </c>
      <c r="R177" s="426">
        <v>5</v>
      </c>
      <c r="T177" s="426" t="s">
        <v>494</v>
      </c>
      <c r="U177" s="426" t="s">
        <v>454</v>
      </c>
      <c r="V177" s="426" t="s">
        <v>976</v>
      </c>
      <c r="W177" s="426" t="s">
        <v>465</v>
      </c>
      <c r="X177" s="426" t="s">
        <v>977</v>
      </c>
      <c r="Y177" s="426" t="s">
        <v>977</v>
      </c>
      <c r="Z177" s="426">
        <v>1</v>
      </c>
      <c r="AA177" s="426">
        <v>1</v>
      </c>
      <c r="AB177" s="426">
        <v>1</v>
      </c>
      <c r="AC177" s="426">
        <v>1</v>
      </c>
      <c r="AD177" s="426">
        <v>1</v>
      </c>
      <c r="AE177" s="426">
        <v>1</v>
      </c>
      <c r="AG177" s="426" t="s">
        <v>495</v>
      </c>
    </row>
    <row r="178" spans="1:33" ht="172.8" hidden="1">
      <c r="A178" s="426" t="s">
        <v>964</v>
      </c>
      <c r="B178" s="426" t="s">
        <v>411</v>
      </c>
      <c r="C178" s="426" t="s">
        <v>516</v>
      </c>
      <c r="D178" s="426" t="s">
        <v>448</v>
      </c>
      <c r="E178" s="426">
        <v>5</v>
      </c>
      <c r="F178" s="426">
        <v>5</v>
      </c>
      <c r="G178" s="426">
        <v>5</v>
      </c>
      <c r="H178" s="426">
        <v>5</v>
      </c>
      <c r="I178" s="426">
        <v>5</v>
      </c>
      <c r="J178" s="426">
        <v>5</v>
      </c>
      <c r="L178" s="426" t="s">
        <v>497</v>
      </c>
      <c r="N178" s="426" t="s">
        <v>463</v>
      </c>
      <c r="P178" s="426">
        <v>5</v>
      </c>
      <c r="Q178" s="426">
        <v>5</v>
      </c>
      <c r="R178" s="426">
        <v>5</v>
      </c>
      <c r="T178" s="426" t="s">
        <v>978</v>
      </c>
      <c r="U178" s="426" t="s">
        <v>668</v>
      </c>
      <c r="V178" s="426" t="s">
        <v>979</v>
      </c>
      <c r="W178" s="426" t="s">
        <v>264</v>
      </c>
      <c r="X178" s="426" t="s">
        <v>264</v>
      </c>
      <c r="Y178" s="426" t="s">
        <v>980</v>
      </c>
      <c r="Z178" s="426">
        <v>5</v>
      </c>
      <c r="AA178" s="426">
        <v>5</v>
      </c>
      <c r="AB178" s="426">
        <v>5</v>
      </c>
      <c r="AC178" s="426">
        <v>5</v>
      </c>
      <c r="AD178" s="426">
        <v>5</v>
      </c>
      <c r="AE178" s="426">
        <v>5</v>
      </c>
      <c r="AG178" s="426" t="s">
        <v>264</v>
      </c>
    </row>
    <row r="179" spans="1:33" hidden="1">
      <c r="A179" s="426" t="s">
        <v>964</v>
      </c>
      <c r="B179" s="426" t="s">
        <v>411</v>
      </c>
      <c r="C179" s="426" t="s">
        <v>516</v>
      </c>
      <c r="D179" s="426" t="s">
        <v>461</v>
      </c>
      <c r="Z179" s="426">
        <v>5</v>
      </c>
      <c r="AA179" s="426">
        <v>4</v>
      </c>
      <c r="AB179" s="426">
        <v>5</v>
      </c>
      <c r="AC179" s="426">
        <v>5</v>
      </c>
      <c r="AD179" s="426">
        <v>5</v>
      </c>
      <c r="AE179" s="426">
        <v>5</v>
      </c>
      <c r="AG179" s="426" t="s">
        <v>541</v>
      </c>
    </row>
    <row r="180" spans="1:33" hidden="1">
      <c r="A180" s="426" t="s">
        <v>981</v>
      </c>
      <c r="B180" s="426" t="s">
        <v>412</v>
      </c>
      <c r="C180" s="426" t="s">
        <v>447</v>
      </c>
      <c r="D180" s="426" t="s">
        <v>461</v>
      </c>
      <c r="Z180" s="426">
        <v>4</v>
      </c>
      <c r="AA180" s="426">
        <v>4</v>
      </c>
      <c r="AB180" s="426">
        <v>4</v>
      </c>
      <c r="AC180" s="426">
        <v>4</v>
      </c>
      <c r="AD180" s="426">
        <v>5</v>
      </c>
      <c r="AE180" s="426">
        <v>5</v>
      </c>
      <c r="AG180" s="426" t="s">
        <v>495</v>
      </c>
    </row>
    <row r="181" spans="1:33" ht="259.2" hidden="1">
      <c r="A181" s="426" t="s">
        <v>981</v>
      </c>
      <c r="B181" s="426" t="s">
        <v>412</v>
      </c>
      <c r="C181" s="426" t="s">
        <v>447</v>
      </c>
      <c r="D181" s="426" t="s">
        <v>461</v>
      </c>
      <c r="Z181" s="426">
        <v>5</v>
      </c>
      <c r="AA181" s="426">
        <v>5</v>
      </c>
      <c r="AB181" s="426">
        <v>5</v>
      </c>
      <c r="AC181" s="426">
        <v>5</v>
      </c>
      <c r="AD181" s="426">
        <v>5</v>
      </c>
      <c r="AE181" s="426">
        <v>5</v>
      </c>
      <c r="AG181" s="426" t="s">
        <v>982</v>
      </c>
    </row>
    <row r="182" spans="1:33" hidden="1">
      <c r="A182" s="426" t="s">
        <v>981</v>
      </c>
      <c r="B182" s="426" t="s">
        <v>412</v>
      </c>
      <c r="C182" s="426" t="s">
        <v>447</v>
      </c>
      <c r="D182" s="426" t="s">
        <v>448</v>
      </c>
      <c r="E182" s="426">
        <v>5</v>
      </c>
      <c r="F182" s="426">
        <v>5</v>
      </c>
      <c r="G182" s="426">
        <v>5</v>
      </c>
      <c r="H182" s="426">
        <v>5</v>
      </c>
      <c r="I182" s="426">
        <v>5</v>
      </c>
      <c r="J182" s="426">
        <v>5</v>
      </c>
    </row>
    <row r="183" spans="1:33" ht="144" hidden="1">
      <c r="A183" s="426" t="s">
        <v>981</v>
      </c>
      <c r="B183" s="426" t="s">
        <v>412</v>
      </c>
      <c r="C183" s="426" t="s">
        <v>447</v>
      </c>
      <c r="D183" s="426" t="s">
        <v>448</v>
      </c>
      <c r="E183" s="426">
        <v>5</v>
      </c>
      <c r="F183" s="426">
        <v>5</v>
      </c>
      <c r="G183" s="426">
        <v>5</v>
      </c>
      <c r="H183" s="426">
        <v>5</v>
      </c>
      <c r="I183" s="426">
        <v>5</v>
      </c>
      <c r="J183" s="426">
        <v>5</v>
      </c>
      <c r="L183" s="426" t="s">
        <v>449</v>
      </c>
      <c r="N183" s="426" t="s">
        <v>463</v>
      </c>
      <c r="P183" s="426">
        <v>5</v>
      </c>
      <c r="Q183" s="426">
        <v>5</v>
      </c>
      <c r="R183" s="426">
        <v>5</v>
      </c>
      <c r="T183" s="426" t="s">
        <v>574</v>
      </c>
      <c r="U183" s="426" t="s">
        <v>575</v>
      </c>
      <c r="V183" s="426" t="s">
        <v>576</v>
      </c>
      <c r="W183" s="426" t="s">
        <v>577</v>
      </c>
      <c r="X183" s="426" t="s">
        <v>541</v>
      </c>
      <c r="Y183" s="426" t="s">
        <v>983</v>
      </c>
      <c r="Z183" s="426">
        <v>4</v>
      </c>
      <c r="AA183" s="426">
        <v>4</v>
      </c>
      <c r="AB183" s="426">
        <v>4</v>
      </c>
      <c r="AC183" s="426">
        <v>4</v>
      </c>
      <c r="AD183" s="426">
        <v>4</v>
      </c>
      <c r="AE183" s="426">
        <v>5</v>
      </c>
      <c r="AG183" s="426" t="s">
        <v>541</v>
      </c>
    </row>
    <row r="184" spans="1:33" ht="86.4" hidden="1">
      <c r="A184" s="426" t="s">
        <v>866</v>
      </c>
      <c r="B184" s="426" t="s">
        <v>413</v>
      </c>
      <c r="C184" s="426" t="s">
        <v>447</v>
      </c>
      <c r="D184" s="426" t="s">
        <v>461</v>
      </c>
      <c r="Z184" s="426">
        <v>5</v>
      </c>
      <c r="AA184" s="426">
        <v>5</v>
      </c>
      <c r="AB184" s="426">
        <v>5</v>
      </c>
      <c r="AC184" s="426">
        <v>5</v>
      </c>
      <c r="AD184" s="426">
        <v>5</v>
      </c>
      <c r="AE184" s="426">
        <v>5</v>
      </c>
      <c r="AG184" s="426" t="s">
        <v>482</v>
      </c>
    </row>
    <row r="185" spans="1:33" ht="57.6" hidden="1">
      <c r="A185" s="426" t="s">
        <v>866</v>
      </c>
      <c r="B185" s="426" t="s">
        <v>413</v>
      </c>
      <c r="C185" s="426" t="s">
        <v>447</v>
      </c>
      <c r="D185" s="426" t="s">
        <v>461</v>
      </c>
      <c r="Z185" s="426">
        <v>5</v>
      </c>
      <c r="AA185" s="426">
        <v>5</v>
      </c>
      <c r="AB185" s="426">
        <v>5</v>
      </c>
      <c r="AC185" s="426">
        <v>5</v>
      </c>
      <c r="AD185" s="426">
        <v>5</v>
      </c>
      <c r="AE185" s="426">
        <v>5</v>
      </c>
      <c r="AG185" s="426" t="s">
        <v>984</v>
      </c>
    </row>
    <row r="186" spans="1:33" ht="144" hidden="1">
      <c r="A186" s="426" t="s">
        <v>866</v>
      </c>
      <c r="B186" s="426" t="s">
        <v>413</v>
      </c>
      <c r="C186" s="426" t="s">
        <v>447</v>
      </c>
      <c r="D186" s="426" t="s">
        <v>448</v>
      </c>
      <c r="E186" s="426">
        <v>5</v>
      </c>
      <c r="F186" s="426">
        <v>4</v>
      </c>
      <c r="G186" s="426">
        <v>5</v>
      </c>
      <c r="H186" s="426">
        <v>5</v>
      </c>
      <c r="I186" s="426">
        <v>4</v>
      </c>
      <c r="J186" s="426">
        <v>5</v>
      </c>
      <c r="L186" s="426" t="s">
        <v>449</v>
      </c>
      <c r="N186" s="426" t="s">
        <v>463</v>
      </c>
      <c r="P186" s="426">
        <v>5</v>
      </c>
      <c r="Q186" s="426">
        <v>5</v>
      </c>
      <c r="R186" s="426">
        <v>5</v>
      </c>
      <c r="T186" s="426" t="s">
        <v>969</v>
      </c>
      <c r="U186" s="426" t="s">
        <v>970</v>
      </c>
      <c r="V186" s="426" t="s">
        <v>985</v>
      </c>
      <c r="W186" s="426" t="s">
        <v>465</v>
      </c>
      <c r="X186" s="426" t="s">
        <v>495</v>
      </c>
      <c r="Y186" s="426" t="s">
        <v>495</v>
      </c>
      <c r="Z186" s="426">
        <v>5</v>
      </c>
      <c r="AA186" s="426">
        <v>5</v>
      </c>
      <c r="AB186" s="426">
        <v>5</v>
      </c>
      <c r="AC186" s="426">
        <v>5</v>
      </c>
      <c r="AD186" s="426">
        <v>5</v>
      </c>
      <c r="AE186" s="426">
        <v>5</v>
      </c>
      <c r="AG186" s="426" t="s">
        <v>495</v>
      </c>
    </row>
    <row r="187" spans="1:33" ht="28.8" hidden="1">
      <c r="A187" s="426" t="s">
        <v>986</v>
      </c>
      <c r="B187" s="426" t="s">
        <v>987</v>
      </c>
      <c r="C187" s="426" t="s">
        <v>447</v>
      </c>
      <c r="D187" s="426" t="s">
        <v>461</v>
      </c>
      <c r="Z187" s="426">
        <v>5</v>
      </c>
      <c r="AA187" s="426">
        <v>5</v>
      </c>
      <c r="AB187" s="426">
        <v>5</v>
      </c>
      <c r="AC187" s="426">
        <v>5</v>
      </c>
      <c r="AD187" s="426">
        <v>5</v>
      </c>
      <c r="AE187" s="426">
        <v>5</v>
      </c>
      <c r="AG187" s="426" t="s">
        <v>988</v>
      </c>
    </row>
    <row r="188" spans="1:33" ht="129.6" hidden="1">
      <c r="A188" s="426" t="s">
        <v>986</v>
      </c>
      <c r="B188" s="426" t="s">
        <v>987</v>
      </c>
      <c r="C188" s="426" t="s">
        <v>447</v>
      </c>
      <c r="D188" s="426" t="s">
        <v>448</v>
      </c>
      <c r="E188" s="426">
        <v>3</v>
      </c>
      <c r="F188" s="426">
        <v>4</v>
      </c>
      <c r="G188" s="426">
        <v>3</v>
      </c>
      <c r="H188" s="426">
        <v>4</v>
      </c>
      <c r="I188" s="426">
        <v>4</v>
      </c>
      <c r="J188" s="426">
        <v>4</v>
      </c>
      <c r="L188" s="426" t="s">
        <v>554</v>
      </c>
      <c r="N188" s="426" t="s">
        <v>450</v>
      </c>
      <c r="P188" s="426">
        <v>4</v>
      </c>
      <c r="Q188" s="426">
        <v>4</v>
      </c>
      <c r="R188" s="426">
        <v>4</v>
      </c>
      <c r="T188" s="426" t="s">
        <v>989</v>
      </c>
      <c r="U188" s="426" t="s">
        <v>990</v>
      </c>
      <c r="V188" s="426" t="s">
        <v>881</v>
      </c>
      <c r="W188" s="426" t="s">
        <v>991</v>
      </c>
      <c r="X188" s="426" t="s">
        <v>992</v>
      </c>
      <c r="Y188" s="426" t="s">
        <v>993</v>
      </c>
      <c r="Z188" s="426">
        <v>4</v>
      </c>
      <c r="AA188" s="426">
        <v>5</v>
      </c>
      <c r="AB188" s="426">
        <v>5</v>
      </c>
      <c r="AC188" s="426">
        <v>4</v>
      </c>
      <c r="AD188" s="426">
        <v>4</v>
      </c>
      <c r="AE188" s="426">
        <v>4</v>
      </c>
      <c r="AG188" s="426" t="s">
        <v>264</v>
      </c>
    </row>
    <row r="189" spans="1:33" ht="144" hidden="1">
      <c r="A189" s="426" t="s">
        <v>986</v>
      </c>
      <c r="B189" s="426" t="s">
        <v>987</v>
      </c>
      <c r="C189" s="426" t="s">
        <v>447</v>
      </c>
      <c r="D189" s="426" t="s">
        <v>448</v>
      </c>
      <c r="E189" s="426">
        <v>3</v>
      </c>
      <c r="F189" s="426">
        <v>4</v>
      </c>
      <c r="G189" s="426">
        <v>4</v>
      </c>
      <c r="H189" s="426">
        <v>4</v>
      </c>
      <c r="I189" s="426">
        <v>4</v>
      </c>
      <c r="J189" s="426">
        <v>4</v>
      </c>
      <c r="L189" s="426" t="s">
        <v>449</v>
      </c>
      <c r="N189" s="426" t="s">
        <v>463</v>
      </c>
      <c r="P189" s="426">
        <v>4</v>
      </c>
      <c r="Q189" s="426">
        <v>4</v>
      </c>
      <c r="R189" s="426">
        <v>4</v>
      </c>
      <c r="T189" s="426" t="s">
        <v>994</v>
      </c>
      <c r="U189" s="426" t="s">
        <v>454</v>
      </c>
      <c r="V189" s="426" t="s">
        <v>454</v>
      </c>
      <c r="W189" s="426" t="s">
        <v>454</v>
      </c>
      <c r="X189" s="426" t="s">
        <v>495</v>
      </c>
      <c r="Y189" s="426" t="s">
        <v>495</v>
      </c>
      <c r="Z189" s="426">
        <v>4</v>
      </c>
      <c r="AA189" s="426">
        <v>5</v>
      </c>
      <c r="AB189" s="426">
        <v>4</v>
      </c>
      <c r="AC189" s="426">
        <v>4</v>
      </c>
      <c r="AD189" s="426">
        <v>4</v>
      </c>
      <c r="AE189" s="426">
        <v>4</v>
      </c>
      <c r="AG189" s="426" t="s">
        <v>633</v>
      </c>
    </row>
    <row r="190" spans="1:33" ht="43.2" hidden="1">
      <c r="A190" s="426" t="s">
        <v>919</v>
      </c>
      <c r="B190" s="426" t="s">
        <v>415</v>
      </c>
      <c r="C190" s="426" t="s">
        <v>447</v>
      </c>
      <c r="D190" s="426" t="s">
        <v>461</v>
      </c>
      <c r="Z190" s="426">
        <v>1</v>
      </c>
      <c r="AA190" s="426">
        <v>1</v>
      </c>
      <c r="AB190" s="426">
        <v>1</v>
      </c>
      <c r="AC190" s="426">
        <v>1</v>
      </c>
      <c r="AD190" s="426">
        <v>1</v>
      </c>
      <c r="AE190" s="426">
        <v>1</v>
      </c>
      <c r="AF190" s="426" t="s">
        <v>995</v>
      </c>
      <c r="AG190" s="426" t="s">
        <v>996</v>
      </c>
    </row>
    <row r="191" spans="1:33" ht="273.60000000000002" hidden="1">
      <c r="A191" s="426" t="s">
        <v>997</v>
      </c>
      <c r="B191" s="426" t="s">
        <v>415</v>
      </c>
      <c r="C191" s="426" t="s">
        <v>447</v>
      </c>
      <c r="D191" s="426" t="s">
        <v>461</v>
      </c>
      <c r="Z191" s="426">
        <v>4</v>
      </c>
      <c r="AA191" s="426">
        <v>5</v>
      </c>
      <c r="AB191" s="426">
        <v>3</v>
      </c>
      <c r="AC191" s="426">
        <v>4</v>
      </c>
      <c r="AD191" s="426">
        <v>4</v>
      </c>
      <c r="AE191" s="426">
        <v>5</v>
      </c>
      <c r="AG191" s="426" t="s">
        <v>998</v>
      </c>
    </row>
    <row r="192" spans="1:33" ht="43.2" hidden="1">
      <c r="A192" s="426" t="s">
        <v>446</v>
      </c>
      <c r="B192" s="426" t="s">
        <v>415</v>
      </c>
      <c r="C192" s="426" t="s">
        <v>447</v>
      </c>
      <c r="D192" s="426" t="s">
        <v>461</v>
      </c>
      <c r="Z192" s="426">
        <v>1</v>
      </c>
      <c r="AA192" s="426">
        <v>1</v>
      </c>
      <c r="AB192" s="426">
        <v>1</v>
      </c>
      <c r="AC192" s="426">
        <v>1</v>
      </c>
      <c r="AD192" s="426">
        <v>1</v>
      </c>
      <c r="AE192" s="426">
        <v>1</v>
      </c>
      <c r="AF192" s="426" t="s">
        <v>999</v>
      </c>
      <c r="AG192" s="426" t="s">
        <v>996</v>
      </c>
    </row>
    <row r="193" spans="1:33" ht="144" hidden="1">
      <c r="A193" s="426" t="s">
        <v>648</v>
      </c>
      <c r="B193" s="426" t="s">
        <v>415</v>
      </c>
      <c r="C193" s="426" t="s">
        <v>447</v>
      </c>
      <c r="D193" s="426" t="s">
        <v>448</v>
      </c>
      <c r="E193" s="426">
        <v>5</v>
      </c>
      <c r="F193" s="426">
        <v>5</v>
      </c>
      <c r="G193" s="426">
        <v>5</v>
      </c>
      <c r="H193" s="426">
        <v>5</v>
      </c>
      <c r="I193" s="426">
        <v>5</v>
      </c>
      <c r="J193" s="426">
        <v>5</v>
      </c>
      <c r="K193" s="426" t="s">
        <v>1000</v>
      </c>
      <c r="L193" s="426" t="s">
        <v>449</v>
      </c>
      <c r="M193" s="426" t="s">
        <v>720</v>
      </c>
      <c r="N193" s="426" t="s">
        <v>463</v>
      </c>
      <c r="P193" s="426">
        <v>1</v>
      </c>
      <c r="Q193" s="426">
        <v>1</v>
      </c>
      <c r="R193" s="426">
        <v>1</v>
      </c>
      <c r="S193" s="426" t="s">
        <v>1001</v>
      </c>
      <c r="T193" s="426" t="s">
        <v>762</v>
      </c>
      <c r="U193" s="426" t="s">
        <v>762</v>
      </c>
      <c r="V193" s="426" t="s">
        <v>762</v>
      </c>
      <c r="W193" s="426" t="s">
        <v>762</v>
      </c>
      <c r="X193" s="426" t="s">
        <v>462</v>
      </c>
      <c r="Y193" s="426" t="s">
        <v>462</v>
      </c>
      <c r="Z193" s="426">
        <v>5</v>
      </c>
      <c r="AA193" s="426">
        <v>5</v>
      </c>
      <c r="AB193" s="426">
        <v>5</v>
      </c>
      <c r="AC193" s="426">
        <v>5</v>
      </c>
      <c r="AD193" s="426">
        <v>5</v>
      </c>
      <c r="AE193" s="426">
        <v>5</v>
      </c>
      <c r="AG193" s="426" t="s">
        <v>996</v>
      </c>
    </row>
    <row r="194" spans="1:33" ht="144" hidden="1">
      <c r="A194" s="426" t="s">
        <v>691</v>
      </c>
      <c r="B194" s="426" t="s">
        <v>415</v>
      </c>
      <c r="C194" s="426" t="s">
        <v>447</v>
      </c>
      <c r="D194" s="426" t="s">
        <v>448</v>
      </c>
      <c r="E194" s="426">
        <v>5</v>
      </c>
      <c r="F194" s="426">
        <v>5</v>
      </c>
      <c r="G194" s="426">
        <v>5</v>
      </c>
      <c r="H194" s="426">
        <v>5</v>
      </c>
      <c r="I194" s="426">
        <v>5</v>
      </c>
      <c r="J194" s="426">
        <v>5</v>
      </c>
      <c r="K194" s="426" t="s">
        <v>1002</v>
      </c>
      <c r="L194" s="426" t="s">
        <v>497</v>
      </c>
      <c r="M194" s="426" t="s">
        <v>1003</v>
      </c>
      <c r="N194" s="426" t="s">
        <v>463</v>
      </c>
      <c r="P194" s="426">
        <v>5</v>
      </c>
      <c r="Q194" s="426">
        <v>5</v>
      </c>
      <c r="R194" s="426">
        <v>5</v>
      </c>
      <c r="S194" s="426" t="s">
        <v>1004</v>
      </c>
      <c r="T194" s="426" t="s">
        <v>762</v>
      </c>
      <c r="U194" s="426" t="s">
        <v>762</v>
      </c>
      <c r="V194" s="426" t="s">
        <v>762</v>
      </c>
      <c r="W194" s="426" t="s">
        <v>762</v>
      </c>
      <c r="X194" s="426" t="s">
        <v>1005</v>
      </c>
      <c r="Y194" s="426" t="s">
        <v>1006</v>
      </c>
      <c r="Z194" s="426">
        <v>5</v>
      </c>
      <c r="AA194" s="426">
        <v>5</v>
      </c>
      <c r="AB194" s="426">
        <v>5</v>
      </c>
      <c r="AC194" s="426">
        <v>5</v>
      </c>
      <c r="AD194" s="426">
        <v>5</v>
      </c>
      <c r="AE194" s="426">
        <v>5</v>
      </c>
      <c r="AG194" s="426" t="s">
        <v>996</v>
      </c>
    </row>
    <row r="195" spans="1:33" ht="28.8" hidden="1">
      <c r="A195" s="426" t="s">
        <v>919</v>
      </c>
      <c r="B195" s="426" t="s">
        <v>415</v>
      </c>
      <c r="C195" s="426" t="s">
        <v>447</v>
      </c>
      <c r="D195" s="426" t="s">
        <v>461</v>
      </c>
      <c r="Z195" s="426">
        <v>5</v>
      </c>
      <c r="AA195" s="426">
        <v>5</v>
      </c>
      <c r="AB195" s="426">
        <v>5</v>
      </c>
      <c r="AC195" s="426">
        <v>5</v>
      </c>
      <c r="AD195" s="426">
        <v>5</v>
      </c>
      <c r="AE195" s="426">
        <v>5</v>
      </c>
      <c r="AG195" s="426" t="s">
        <v>996</v>
      </c>
    </row>
    <row r="196" spans="1:33" ht="28.8" hidden="1">
      <c r="A196" s="426" t="s">
        <v>446</v>
      </c>
      <c r="B196" s="426" t="s">
        <v>415</v>
      </c>
      <c r="C196" s="426" t="s">
        <v>447</v>
      </c>
      <c r="D196" s="426" t="s">
        <v>461</v>
      </c>
      <c r="Z196" s="426">
        <v>5</v>
      </c>
      <c r="AA196" s="426">
        <v>5</v>
      </c>
      <c r="AB196" s="426">
        <v>5</v>
      </c>
      <c r="AC196" s="426">
        <v>5</v>
      </c>
      <c r="AD196" s="426">
        <v>5</v>
      </c>
      <c r="AE196" s="426">
        <v>5</v>
      </c>
      <c r="AG196" s="426" t="s">
        <v>996</v>
      </c>
    </row>
    <row r="197" spans="1:33" ht="28.8" hidden="1">
      <c r="A197" s="426" t="s">
        <v>1007</v>
      </c>
      <c r="B197" s="426" t="s">
        <v>415</v>
      </c>
      <c r="C197" s="426" t="s">
        <v>447</v>
      </c>
      <c r="D197" s="426" t="s">
        <v>461</v>
      </c>
      <c r="Z197" s="426">
        <v>5</v>
      </c>
      <c r="AA197" s="426">
        <v>5</v>
      </c>
      <c r="AB197" s="426">
        <v>5</v>
      </c>
      <c r="AC197" s="426">
        <v>5</v>
      </c>
      <c r="AD197" s="426">
        <v>5</v>
      </c>
      <c r="AE197" s="426">
        <v>5</v>
      </c>
      <c r="AG197" s="426" t="s">
        <v>264</v>
      </c>
    </row>
    <row r="198" spans="1:33" ht="28.8" hidden="1">
      <c r="A198" s="426" t="s">
        <v>1007</v>
      </c>
      <c r="B198" s="426" t="s">
        <v>415</v>
      </c>
      <c r="C198" s="426" t="s">
        <v>447</v>
      </c>
      <c r="D198" s="426" t="s">
        <v>461</v>
      </c>
      <c r="Z198" s="426">
        <v>5</v>
      </c>
      <c r="AA198" s="426">
        <v>5</v>
      </c>
      <c r="AB198" s="426">
        <v>5</v>
      </c>
      <c r="AC198" s="426">
        <v>5</v>
      </c>
      <c r="AD198" s="426">
        <v>5</v>
      </c>
      <c r="AE198" s="426">
        <v>5</v>
      </c>
      <c r="AG198" s="426" t="s">
        <v>264</v>
      </c>
    </row>
    <row r="199" spans="1:33" ht="144" hidden="1">
      <c r="A199" s="426" t="s">
        <v>1007</v>
      </c>
      <c r="B199" s="426" t="s">
        <v>415</v>
      </c>
      <c r="C199" s="426" t="s">
        <v>447</v>
      </c>
      <c r="D199" s="426" t="s">
        <v>461</v>
      </c>
      <c r="Z199" s="426">
        <v>5</v>
      </c>
      <c r="AA199" s="426">
        <v>4</v>
      </c>
      <c r="AB199" s="426">
        <v>4</v>
      </c>
      <c r="AC199" s="426">
        <v>4</v>
      </c>
      <c r="AD199" s="426">
        <v>5</v>
      </c>
      <c r="AE199" s="426">
        <v>5</v>
      </c>
      <c r="AG199" s="426" t="s">
        <v>1008</v>
      </c>
    </row>
    <row r="200" spans="1:33" ht="172.8" hidden="1">
      <c r="A200" s="426" t="s">
        <v>1007</v>
      </c>
      <c r="B200" s="426" t="s">
        <v>415</v>
      </c>
      <c r="C200" s="426" t="s">
        <v>447</v>
      </c>
      <c r="D200" s="426" t="s">
        <v>448</v>
      </c>
      <c r="E200" s="426">
        <v>4</v>
      </c>
      <c r="F200" s="426">
        <v>4</v>
      </c>
      <c r="G200" s="426">
        <v>5</v>
      </c>
      <c r="H200" s="426">
        <v>4</v>
      </c>
      <c r="I200" s="426">
        <v>4</v>
      </c>
      <c r="J200" s="426">
        <v>4</v>
      </c>
      <c r="L200" s="426" t="s">
        <v>554</v>
      </c>
      <c r="N200" s="426" t="s">
        <v>498</v>
      </c>
      <c r="P200" s="426">
        <v>5</v>
      </c>
      <c r="Q200" s="426">
        <v>5</v>
      </c>
      <c r="R200" s="426">
        <v>4</v>
      </c>
      <c r="T200" s="426" t="s">
        <v>1009</v>
      </c>
      <c r="U200" s="426" t="s">
        <v>1010</v>
      </c>
      <c r="V200" s="426" t="s">
        <v>1011</v>
      </c>
      <c r="W200" s="426" t="s">
        <v>1012</v>
      </c>
      <c r="X200" s="426" t="s">
        <v>1013</v>
      </c>
      <c r="Y200" s="426" t="s">
        <v>1014</v>
      </c>
      <c r="Z200" s="426">
        <v>5</v>
      </c>
      <c r="AA200" s="426">
        <v>4</v>
      </c>
      <c r="AB200" s="426">
        <v>5</v>
      </c>
      <c r="AC200" s="426">
        <v>4</v>
      </c>
      <c r="AD200" s="426">
        <v>4</v>
      </c>
      <c r="AE200" s="426">
        <v>4</v>
      </c>
      <c r="AG200" s="426" t="s">
        <v>1015</v>
      </c>
    </row>
    <row r="201" spans="1:33" ht="144" hidden="1">
      <c r="A201" s="426" t="s">
        <v>648</v>
      </c>
      <c r="B201" s="426" t="s">
        <v>415</v>
      </c>
      <c r="C201" s="426" t="s">
        <v>447</v>
      </c>
      <c r="D201" s="426" t="s">
        <v>448</v>
      </c>
      <c r="E201" s="426">
        <v>4</v>
      </c>
      <c r="F201" s="426">
        <v>4</v>
      </c>
      <c r="G201" s="426">
        <v>4</v>
      </c>
      <c r="H201" s="426">
        <v>4</v>
      </c>
      <c r="I201" s="426">
        <v>4</v>
      </c>
      <c r="J201" s="426">
        <v>4</v>
      </c>
      <c r="L201" s="426" t="s">
        <v>449</v>
      </c>
      <c r="N201" s="426" t="s">
        <v>463</v>
      </c>
      <c r="P201" s="426">
        <v>5</v>
      </c>
      <c r="Q201" s="426">
        <v>5</v>
      </c>
      <c r="R201" s="426">
        <v>5</v>
      </c>
      <c r="T201" s="426" t="s">
        <v>762</v>
      </c>
      <c r="U201" s="426" t="s">
        <v>762</v>
      </c>
      <c r="V201" s="426" t="s">
        <v>762</v>
      </c>
      <c r="W201" s="426" t="s">
        <v>762</v>
      </c>
      <c r="X201" s="426" t="s">
        <v>1016</v>
      </c>
      <c r="Y201" s="426" t="s">
        <v>1017</v>
      </c>
      <c r="Z201" s="426">
        <v>4</v>
      </c>
      <c r="AA201" s="426">
        <v>5</v>
      </c>
      <c r="AB201" s="426">
        <v>4</v>
      </c>
      <c r="AC201" s="426">
        <v>4</v>
      </c>
      <c r="AD201" s="426">
        <v>5</v>
      </c>
      <c r="AE201" s="426">
        <v>5</v>
      </c>
      <c r="AG201" s="426" t="s">
        <v>1018</v>
      </c>
    </row>
    <row r="202" spans="1:33" ht="43.2" hidden="1">
      <c r="A202" s="426" t="s">
        <v>1019</v>
      </c>
      <c r="B202" s="426" t="s">
        <v>416</v>
      </c>
      <c r="C202" s="426" t="s">
        <v>447</v>
      </c>
      <c r="D202" s="426" t="s">
        <v>461</v>
      </c>
      <c r="Z202" s="426">
        <v>5</v>
      </c>
      <c r="AA202" s="426">
        <v>4</v>
      </c>
      <c r="AB202" s="426">
        <v>5</v>
      </c>
      <c r="AC202" s="426">
        <v>5</v>
      </c>
      <c r="AD202" s="426">
        <v>5</v>
      </c>
      <c r="AE202" s="426">
        <v>5</v>
      </c>
      <c r="AG202" s="426" t="s">
        <v>1020</v>
      </c>
    </row>
    <row r="203" spans="1:33" ht="144" hidden="1">
      <c r="A203" s="426" t="s">
        <v>1019</v>
      </c>
      <c r="B203" s="426" t="s">
        <v>416</v>
      </c>
      <c r="C203" s="426" t="s">
        <v>447</v>
      </c>
      <c r="D203" s="426" t="s">
        <v>448</v>
      </c>
      <c r="E203" s="426">
        <v>4</v>
      </c>
      <c r="F203" s="426">
        <v>5</v>
      </c>
      <c r="G203" s="426">
        <v>4</v>
      </c>
      <c r="H203" s="426">
        <v>4</v>
      </c>
      <c r="I203" s="426">
        <v>5</v>
      </c>
      <c r="J203" s="426">
        <v>4</v>
      </c>
      <c r="L203" s="426" t="s">
        <v>449</v>
      </c>
      <c r="N203" s="426" t="s">
        <v>463</v>
      </c>
      <c r="P203" s="426">
        <v>4</v>
      </c>
      <c r="Q203" s="426">
        <v>4</v>
      </c>
      <c r="R203" s="426">
        <v>4</v>
      </c>
      <c r="T203" s="426" t="s">
        <v>563</v>
      </c>
      <c r="U203" s="426" t="s">
        <v>556</v>
      </c>
      <c r="V203" s="426" t="s">
        <v>1021</v>
      </c>
      <c r="W203" s="426" t="s">
        <v>1022</v>
      </c>
      <c r="X203" s="426" t="s">
        <v>1023</v>
      </c>
      <c r="Y203" s="426" t="s">
        <v>1024</v>
      </c>
      <c r="Z203" s="426">
        <v>4</v>
      </c>
      <c r="AA203" s="426">
        <v>5</v>
      </c>
      <c r="AB203" s="426">
        <v>4</v>
      </c>
      <c r="AC203" s="426">
        <v>4</v>
      </c>
      <c r="AD203" s="426">
        <v>5</v>
      </c>
      <c r="AE203" s="426">
        <v>5</v>
      </c>
      <c r="AG203" s="426" t="s">
        <v>1024</v>
      </c>
    </row>
    <row r="204" spans="1:33" hidden="1">
      <c r="A204" s="426" t="s">
        <v>1019</v>
      </c>
      <c r="B204" s="426" t="s">
        <v>416</v>
      </c>
      <c r="C204" s="426" t="s">
        <v>447</v>
      </c>
      <c r="D204" s="426" t="s">
        <v>461</v>
      </c>
      <c r="Z204" s="426">
        <v>5</v>
      </c>
      <c r="AA204" s="426">
        <v>5</v>
      </c>
      <c r="AB204" s="426">
        <v>5</v>
      </c>
      <c r="AC204" s="426">
        <v>5</v>
      </c>
      <c r="AD204" s="426">
        <v>5</v>
      </c>
      <c r="AE204" s="426">
        <v>5</v>
      </c>
      <c r="AG204" s="426" t="s">
        <v>543</v>
      </c>
    </row>
    <row r="205" spans="1:33" ht="144" hidden="1">
      <c r="A205" s="426" t="s">
        <v>1025</v>
      </c>
      <c r="B205" s="426" t="s">
        <v>417</v>
      </c>
      <c r="C205" s="426" t="s">
        <v>447</v>
      </c>
      <c r="D205" s="426" t="s">
        <v>448</v>
      </c>
      <c r="E205" s="426">
        <v>3</v>
      </c>
      <c r="F205" s="426">
        <v>4</v>
      </c>
      <c r="G205" s="426">
        <v>5</v>
      </c>
      <c r="H205" s="426">
        <v>4</v>
      </c>
      <c r="I205" s="426">
        <v>4</v>
      </c>
      <c r="J205" s="426">
        <v>5</v>
      </c>
      <c r="L205" s="426" t="s">
        <v>449</v>
      </c>
      <c r="N205" s="426" t="s">
        <v>463</v>
      </c>
      <c r="P205" s="426">
        <v>4</v>
      </c>
      <c r="Q205" s="426">
        <v>3</v>
      </c>
      <c r="R205" s="426">
        <v>5</v>
      </c>
      <c r="T205" s="426" t="s">
        <v>517</v>
      </c>
      <c r="U205" s="426" t="s">
        <v>518</v>
      </c>
      <c r="V205" s="426" t="s">
        <v>519</v>
      </c>
      <c r="W205" s="426" t="s">
        <v>520</v>
      </c>
      <c r="X205" s="426" t="s">
        <v>481</v>
      </c>
      <c r="Y205" s="426" t="s">
        <v>1026</v>
      </c>
      <c r="Z205" s="426">
        <v>4</v>
      </c>
      <c r="AA205" s="426">
        <v>5</v>
      </c>
      <c r="AB205" s="426">
        <v>4</v>
      </c>
      <c r="AC205" s="426">
        <v>4</v>
      </c>
      <c r="AD205" s="426">
        <v>4</v>
      </c>
      <c r="AE205" s="426">
        <v>5</v>
      </c>
      <c r="AG205" s="426" t="s">
        <v>1027</v>
      </c>
    </row>
    <row r="206" spans="1:33" ht="144" hidden="1">
      <c r="A206" s="426" t="s">
        <v>1025</v>
      </c>
      <c r="B206" s="426" t="s">
        <v>417</v>
      </c>
      <c r="C206" s="426" t="s">
        <v>447</v>
      </c>
      <c r="D206" s="426" t="s">
        <v>461</v>
      </c>
      <c r="Z206" s="426">
        <v>3</v>
      </c>
      <c r="AA206" s="426">
        <v>3</v>
      </c>
      <c r="AB206" s="426">
        <v>3</v>
      </c>
      <c r="AC206" s="426">
        <v>3</v>
      </c>
      <c r="AD206" s="426">
        <v>3</v>
      </c>
      <c r="AE206" s="426">
        <v>5</v>
      </c>
      <c r="AF206" s="426" t="s">
        <v>1028</v>
      </c>
      <c r="AG206" s="426" t="s">
        <v>1028</v>
      </c>
    </row>
    <row r="207" spans="1:33" ht="144" hidden="1">
      <c r="A207" s="426" t="s">
        <v>1025</v>
      </c>
      <c r="B207" s="426" t="s">
        <v>417</v>
      </c>
      <c r="C207" s="426" t="s">
        <v>447</v>
      </c>
      <c r="D207" s="426" t="s">
        <v>448</v>
      </c>
      <c r="E207" s="426">
        <v>5</v>
      </c>
      <c r="F207" s="426">
        <v>5</v>
      </c>
      <c r="G207" s="426">
        <v>5</v>
      </c>
      <c r="H207" s="426">
        <v>5</v>
      </c>
      <c r="I207" s="426">
        <v>5</v>
      </c>
      <c r="J207" s="426">
        <v>5</v>
      </c>
      <c r="L207" s="426" t="s">
        <v>449</v>
      </c>
      <c r="N207" s="426" t="s">
        <v>463</v>
      </c>
      <c r="P207" s="426">
        <v>5</v>
      </c>
      <c r="Q207" s="426">
        <v>5</v>
      </c>
      <c r="R207" s="426">
        <v>5</v>
      </c>
      <c r="T207" s="426" t="s">
        <v>465</v>
      </c>
      <c r="U207" s="426" t="s">
        <v>465</v>
      </c>
      <c r="V207" s="426" t="s">
        <v>465</v>
      </c>
      <c r="W207" s="426" t="s">
        <v>465</v>
      </c>
      <c r="X207" s="426" t="s">
        <v>506</v>
      </c>
      <c r="Y207" s="426" t="s">
        <v>1029</v>
      </c>
      <c r="Z207" s="426">
        <v>5</v>
      </c>
      <c r="AA207" s="426">
        <v>5</v>
      </c>
      <c r="AB207" s="426">
        <v>5</v>
      </c>
      <c r="AC207" s="426">
        <v>5</v>
      </c>
      <c r="AD207" s="426">
        <v>5</v>
      </c>
      <c r="AE207" s="426">
        <v>5</v>
      </c>
      <c r="AG207" s="426" t="s">
        <v>647</v>
      </c>
    </row>
    <row r="208" spans="1:33" ht="144" hidden="1">
      <c r="A208" s="426" t="s">
        <v>1030</v>
      </c>
      <c r="B208" s="426" t="s">
        <v>418</v>
      </c>
      <c r="C208" s="426" t="s">
        <v>447</v>
      </c>
      <c r="D208" s="426" t="s">
        <v>448</v>
      </c>
      <c r="E208" s="426">
        <v>5</v>
      </c>
      <c r="F208" s="426">
        <v>5</v>
      </c>
      <c r="G208" s="426">
        <v>5</v>
      </c>
      <c r="H208" s="426">
        <v>5</v>
      </c>
      <c r="I208" s="426">
        <v>5</v>
      </c>
      <c r="J208" s="426">
        <v>5</v>
      </c>
      <c r="L208" s="426" t="s">
        <v>497</v>
      </c>
      <c r="N208" s="426" t="s">
        <v>463</v>
      </c>
      <c r="P208" s="426">
        <v>5</v>
      </c>
      <c r="Q208" s="426">
        <v>5</v>
      </c>
      <c r="R208" s="426">
        <v>5</v>
      </c>
      <c r="T208" s="426" t="s">
        <v>1031</v>
      </c>
      <c r="U208" s="426" t="s">
        <v>1032</v>
      </c>
      <c r="V208" s="426" t="s">
        <v>842</v>
      </c>
      <c r="W208" s="426" t="s">
        <v>465</v>
      </c>
      <c r="X208" s="426" t="s">
        <v>843</v>
      </c>
      <c r="Y208" s="426" t="s">
        <v>843</v>
      </c>
      <c r="Z208" s="426">
        <v>5</v>
      </c>
      <c r="AA208" s="426">
        <v>5</v>
      </c>
      <c r="AB208" s="426">
        <v>5</v>
      </c>
      <c r="AC208" s="426">
        <v>5</v>
      </c>
      <c r="AD208" s="426">
        <v>5</v>
      </c>
      <c r="AE208" s="426">
        <v>5</v>
      </c>
      <c r="AG208" s="426" t="s">
        <v>1033</v>
      </c>
    </row>
    <row r="209" spans="1:33" ht="144" hidden="1">
      <c r="A209" s="426" t="s">
        <v>1030</v>
      </c>
      <c r="B209" s="426" t="s">
        <v>418</v>
      </c>
      <c r="C209" s="426" t="s">
        <v>447</v>
      </c>
      <c r="D209" s="426" t="s">
        <v>448</v>
      </c>
      <c r="E209" s="426">
        <v>5</v>
      </c>
      <c r="F209" s="426">
        <v>5</v>
      </c>
      <c r="G209" s="426">
        <v>5</v>
      </c>
      <c r="H209" s="426">
        <v>5</v>
      </c>
      <c r="I209" s="426">
        <v>5</v>
      </c>
      <c r="J209" s="426">
        <v>5</v>
      </c>
      <c r="L209" s="426" t="s">
        <v>449</v>
      </c>
      <c r="N209" s="426" t="s">
        <v>463</v>
      </c>
      <c r="P209" s="426">
        <v>5</v>
      </c>
      <c r="Q209" s="426">
        <v>5</v>
      </c>
      <c r="R209" s="426">
        <v>5</v>
      </c>
      <c r="T209" s="426" t="s">
        <v>476</v>
      </c>
      <c r="U209" s="426" t="s">
        <v>454</v>
      </c>
      <c r="V209" s="426" t="s">
        <v>454</v>
      </c>
      <c r="W209" s="426" t="s">
        <v>454</v>
      </c>
      <c r="X209" s="426" t="s">
        <v>477</v>
      </c>
      <c r="Y209" s="426" t="s">
        <v>1034</v>
      </c>
      <c r="Z209" s="426">
        <v>5</v>
      </c>
      <c r="AA209" s="426">
        <v>5</v>
      </c>
      <c r="AB209" s="426">
        <v>5</v>
      </c>
      <c r="AC209" s="426">
        <v>5</v>
      </c>
      <c r="AD209" s="426">
        <v>5</v>
      </c>
      <c r="AE209" s="426">
        <v>5</v>
      </c>
      <c r="AG209" s="426" t="s">
        <v>681</v>
      </c>
    </row>
    <row r="210" spans="1:33" ht="129.6" hidden="1">
      <c r="A210" s="426" t="s">
        <v>1030</v>
      </c>
      <c r="B210" s="426" t="s">
        <v>418</v>
      </c>
      <c r="C210" s="426" t="s">
        <v>447</v>
      </c>
      <c r="D210" s="426" t="s">
        <v>461</v>
      </c>
      <c r="Z210" s="426">
        <v>5</v>
      </c>
      <c r="AA210" s="426">
        <v>5</v>
      </c>
      <c r="AB210" s="426">
        <v>5</v>
      </c>
      <c r="AC210" s="426">
        <v>5</v>
      </c>
      <c r="AD210" s="426">
        <v>5</v>
      </c>
      <c r="AE210" s="426">
        <v>5</v>
      </c>
      <c r="AG210" s="426" t="s">
        <v>1035</v>
      </c>
    </row>
    <row r="211" spans="1:33" ht="144" hidden="1">
      <c r="A211" s="426" t="s">
        <v>997</v>
      </c>
      <c r="B211" s="426" t="s">
        <v>419</v>
      </c>
      <c r="C211" s="426" t="s">
        <v>516</v>
      </c>
      <c r="D211" s="426" t="s">
        <v>448</v>
      </c>
      <c r="E211" s="426">
        <v>5</v>
      </c>
      <c r="F211" s="426">
        <v>5</v>
      </c>
      <c r="G211" s="426">
        <v>4</v>
      </c>
      <c r="H211" s="426">
        <v>4</v>
      </c>
      <c r="I211" s="426">
        <v>4</v>
      </c>
      <c r="J211" s="426">
        <v>4</v>
      </c>
      <c r="L211" s="426" t="s">
        <v>449</v>
      </c>
      <c r="N211" s="426" t="s">
        <v>463</v>
      </c>
      <c r="P211" s="426">
        <v>5</v>
      </c>
      <c r="Q211" s="426">
        <v>5</v>
      </c>
      <c r="R211" s="426">
        <v>5</v>
      </c>
      <c r="T211" s="426" t="s">
        <v>1036</v>
      </c>
      <c r="U211" s="426" t="s">
        <v>869</v>
      </c>
      <c r="V211" s="426" t="s">
        <v>1029</v>
      </c>
      <c r="W211" s="426" t="s">
        <v>1037</v>
      </c>
      <c r="X211" s="426" t="s">
        <v>1038</v>
      </c>
      <c r="Y211" s="426" t="s">
        <v>1039</v>
      </c>
      <c r="Z211" s="426">
        <v>5</v>
      </c>
      <c r="AA211" s="426">
        <v>5</v>
      </c>
      <c r="AB211" s="426">
        <v>4</v>
      </c>
      <c r="AC211" s="426">
        <v>3</v>
      </c>
      <c r="AD211" s="426">
        <v>5</v>
      </c>
      <c r="AE211" s="426">
        <v>4</v>
      </c>
      <c r="AG211" s="426" t="s">
        <v>1040</v>
      </c>
    </row>
    <row r="212" spans="1:33" ht="230.4" hidden="1">
      <c r="A212" s="426" t="s">
        <v>997</v>
      </c>
      <c r="B212" s="426" t="s">
        <v>419</v>
      </c>
      <c r="C212" s="426" t="s">
        <v>516</v>
      </c>
      <c r="D212" s="426" t="s">
        <v>448</v>
      </c>
      <c r="E212" s="426">
        <v>5</v>
      </c>
      <c r="F212" s="426">
        <v>5</v>
      </c>
      <c r="G212" s="426">
        <v>5</v>
      </c>
      <c r="H212" s="426">
        <v>4</v>
      </c>
      <c r="I212" s="426">
        <v>5</v>
      </c>
      <c r="J212" s="426">
        <v>5</v>
      </c>
      <c r="L212" s="426" t="s">
        <v>497</v>
      </c>
      <c r="N212" s="426" t="s">
        <v>463</v>
      </c>
      <c r="P212" s="426">
        <v>5</v>
      </c>
      <c r="Q212" s="426">
        <v>5</v>
      </c>
      <c r="R212" s="426">
        <v>5</v>
      </c>
      <c r="T212" s="426" t="s">
        <v>1041</v>
      </c>
      <c r="U212" s="426" t="s">
        <v>1042</v>
      </c>
      <c r="V212" s="426" t="s">
        <v>1043</v>
      </c>
      <c r="W212" s="426" t="s">
        <v>1044</v>
      </c>
      <c r="X212" s="426" t="s">
        <v>1045</v>
      </c>
      <c r="Y212" s="426" t="s">
        <v>1046</v>
      </c>
      <c r="Z212" s="426">
        <v>4</v>
      </c>
      <c r="AA212" s="426">
        <v>5</v>
      </c>
      <c r="AB212" s="426">
        <v>4</v>
      </c>
      <c r="AC212" s="426">
        <v>5</v>
      </c>
      <c r="AD212" s="426">
        <v>5</v>
      </c>
      <c r="AE212" s="426">
        <v>5</v>
      </c>
      <c r="AG212" s="426" t="s">
        <v>1047</v>
      </c>
    </row>
    <row r="213" spans="1:33" ht="144" hidden="1">
      <c r="A213" s="426" t="s">
        <v>997</v>
      </c>
      <c r="B213" s="426" t="s">
        <v>419</v>
      </c>
      <c r="C213" s="426" t="s">
        <v>516</v>
      </c>
      <c r="D213" s="426" t="s">
        <v>448</v>
      </c>
      <c r="E213" s="426">
        <v>5</v>
      </c>
      <c r="F213" s="426">
        <v>5</v>
      </c>
      <c r="G213" s="426">
        <v>4</v>
      </c>
      <c r="H213" s="426">
        <v>4</v>
      </c>
      <c r="I213" s="426">
        <v>5</v>
      </c>
      <c r="J213" s="426">
        <v>5</v>
      </c>
      <c r="L213" s="426" t="s">
        <v>497</v>
      </c>
      <c r="N213" s="426" t="s">
        <v>463</v>
      </c>
      <c r="P213" s="426">
        <v>4</v>
      </c>
      <c r="Q213" s="426">
        <v>5</v>
      </c>
      <c r="R213" s="426">
        <v>5</v>
      </c>
      <c r="T213" s="426" t="s">
        <v>1048</v>
      </c>
      <c r="U213" s="426" t="s">
        <v>925</v>
      </c>
      <c r="V213" s="426" t="s">
        <v>926</v>
      </c>
      <c r="W213" s="426" t="s">
        <v>927</v>
      </c>
      <c r="X213" s="426" t="s">
        <v>1049</v>
      </c>
      <c r="Y213" s="426" t="s">
        <v>1050</v>
      </c>
      <c r="Z213" s="426">
        <v>5</v>
      </c>
      <c r="AA213" s="426">
        <v>5</v>
      </c>
      <c r="AB213" s="426">
        <v>5</v>
      </c>
      <c r="AC213" s="426">
        <v>5</v>
      </c>
      <c r="AD213" s="426">
        <v>4</v>
      </c>
      <c r="AE213" s="426">
        <v>5</v>
      </c>
      <c r="AG213" s="426" t="s">
        <v>1050</v>
      </c>
    </row>
    <row r="214" spans="1:33" ht="302.39999999999998" hidden="1">
      <c r="A214" s="426" t="s">
        <v>997</v>
      </c>
      <c r="B214" s="426" t="s">
        <v>419</v>
      </c>
      <c r="C214" s="426" t="s">
        <v>516</v>
      </c>
      <c r="D214" s="426" t="s">
        <v>461</v>
      </c>
      <c r="Z214" s="426">
        <v>3</v>
      </c>
      <c r="AA214" s="426">
        <v>3</v>
      </c>
      <c r="AB214" s="426">
        <v>5</v>
      </c>
      <c r="AC214" s="426">
        <v>4</v>
      </c>
      <c r="AD214" s="426">
        <v>4</v>
      </c>
      <c r="AE214" s="426">
        <v>4</v>
      </c>
      <c r="AF214" s="426" t="s">
        <v>1051</v>
      </c>
      <c r="AG214" s="426" t="s">
        <v>1052</v>
      </c>
    </row>
    <row r="215" spans="1:33" ht="302.39999999999998" hidden="1">
      <c r="A215" s="426" t="s">
        <v>997</v>
      </c>
      <c r="B215" s="426" t="s">
        <v>419</v>
      </c>
      <c r="C215" s="426" t="s">
        <v>516</v>
      </c>
      <c r="D215" s="426" t="s">
        <v>461</v>
      </c>
      <c r="Z215" s="426">
        <v>4</v>
      </c>
      <c r="AA215" s="426">
        <v>4</v>
      </c>
      <c r="AB215" s="426">
        <v>5</v>
      </c>
      <c r="AC215" s="426">
        <v>4</v>
      </c>
      <c r="AD215" s="426">
        <v>4</v>
      </c>
      <c r="AE215" s="426">
        <v>4</v>
      </c>
      <c r="AG215" s="426" t="s">
        <v>1052</v>
      </c>
    </row>
    <row r="216" spans="1:33" ht="144" hidden="1">
      <c r="A216" s="426" t="s">
        <v>997</v>
      </c>
      <c r="B216" s="426" t="s">
        <v>419</v>
      </c>
      <c r="C216" s="426" t="s">
        <v>516</v>
      </c>
      <c r="D216" s="426" t="s">
        <v>448</v>
      </c>
      <c r="E216" s="426">
        <v>5</v>
      </c>
      <c r="F216" s="426">
        <v>5</v>
      </c>
      <c r="G216" s="426">
        <v>5</v>
      </c>
      <c r="H216" s="426">
        <v>5</v>
      </c>
      <c r="I216" s="426">
        <v>5</v>
      </c>
      <c r="J216" s="426">
        <v>5</v>
      </c>
      <c r="K216" s="426" t="s">
        <v>454</v>
      </c>
      <c r="L216" s="426" t="s">
        <v>497</v>
      </c>
      <c r="M216" s="426" t="s">
        <v>1053</v>
      </c>
      <c r="N216" s="426" t="s">
        <v>463</v>
      </c>
      <c r="P216" s="426">
        <v>5</v>
      </c>
      <c r="Q216" s="426">
        <v>5</v>
      </c>
      <c r="R216" s="426">
        <v>5</v>
      </c>
      <c r="T216" s="426" t="s">
        <v>1054</v>
      </c>
      <c r="U216" s="426" t="s">
        <v>1055</v>
      </c>
      <c r="V216" s="426" t="s">
        <v>1056</v>
      </c>
      <c r="W216" s="426" t="s">
        <v>1057</v>
      </c>
      <c r="X216" s="426" t="s">
        <v>1058</v>
      </c>
      <c r="Y216" s="426" t="s">
        <v>1059</v>
      </c>
      <c r="Z216" s="426">
        <v>5</v>
      </c>
      <c r="AA216" s="426">
        <v>5</v>
      </c>
      <c r="AB216" s="426">
        <v>5</v>
      </c>
      <c r="AC216" s="426">
        <v>5</v>
      </c>
      <c r="AD216" s="426">
        <v>5</v>
      </c>
      <c r="AE216" s="426">
        <v>5</v>
      </c>
      <c r="AG216" s="426" t="s">
        <v>1060</v>
      </c>
    </row>
    <row r="217" spans="1:33" ht="144" hidden="1">
      <c r="A217" s="426" t="s">
        <v>997</v>
      </c>
      <c r="B217" s="426" t="s">
        <v>419</v>
      </c>
      <c r="C217" s="426" t="s">
        <v>516</v>
      </c>
      <c r="D217" s="426" t="s">
        <v>448</v>
      </c>
      <c r="E217" s="426">
        <v>4</v>
      </c>
      <c r="F217" s="426">
        <v>5</v>
      </c>
      <c r="G217" s="426">
        <v>4</v>
      </c>
      <c r="H217" s="426">
        <v>4</v>
      </c>
      <c r="I217" s="426">
        <v>5</v>
      </c>
      <c r="J217" s="426">
        <v>5</v>
      </c>
      <c r="L217" s="426" t="s">
        <v>449</v>
      </c>
      <c r="N217" s="426" t="s">
        <v>463</v>
      </c>
      <c r="P217" s="426">
        <v>4</v>
      </c>
      <c r="Q217" s="426">
        <v>5</v>
      </c>
      <c r="R217" s="426">
        <v>5</v>
      </c>
      <c r="T217" s="426" t="s">
        <v>842</v>
      </c>
      <c r="U217" s="426" t="s">
        <v>465</v>
      </c>
      <c r="V217" s="426" t="s">
        <v>685</v>
      </c>
      <c r="W217" s="426" t="s">
        <v>465</v>
      </c>
      <c r="X217" s="426" t="s">
        <v>546</v>
      </c>
      <c r="Y217" s="426" t="s">
        <v>1061</v>
      </c>
      <c r="Z217" s="426">
        <v>5</v>
      </c>
      <c r="AA217" s="426">
        <v>5</v>
      </c>
      <c r="AB217" s="426">
        <v>5</v>
      </c>
      <c r="AC217" s="426">
        <v>5</v>
      </c>
      <c r="AD217" s="426">
        <v>5</v>
      </c>
      <c r="AE217" s="426">
        <v>5</v>
      </c>
      <c r="AG217" s="426" t="s">
        <v>546</v>
      </c>
    </row>
    <row r="218" spans="1:33" ht="172.8" hidden="1">
      <c r="A218" s="426" t="s">
        <v>997</v>
      </c>
      <c r="B218" s="426" t="s">
        <v>419</v>
      </c>
      <c r="C218" s="426" t="s">
        <v>516</v>
      </c>
      <c r="D218" s="426" t="s">
        <v>448</v>
      </c>
      <c r="E218" s="426">
        <v>4</v>
      </c>
      <c r="F218" s="426">
        <v>4</v>
      </c>
      <c r="G218" s="426">
        <v>4</v>
      </c>
      <c r="H218" s="426">
        <v>4</v>
      </c>
      <c r="I218" s="426">
        <v>4</v>
      </c>
      <c r="J218" s="426">
        <v>4</v>
      </c>
      <c r="L218" s="426" t="s">
        <v>554</v>
      </c>
      <c r="N218" s="426" t="s">
        <v>463</v>
      </c>
      <c r="P218" s="426">
        <v>3</v>
      </c>
      <c r="Q218" s="426">
        <v>4</v>
      </c>
      <c r="R218" s="426">
        <v>4</v>
      </c>
      <c r="T218" s="426" t="s">
        <v>1062</v>
      </c>
      <c r="U218" s="426" t="s">
        <v>465</v>
      </c>
      <c r="V218" s="426" t="s">
        <v>465</v>
      </c>
      <c r="W218" s="426" t="s">
        <v>465</v>
      </c>
      <c r="X218" s="426" t="s">
        <v>1063</v>
      </c>
      <c r="Y218" s="426" t="s">
        <v>1064</v>
      </c>
      <c r="Z218" s="426">
        <v>4</v>
      </c>
      <c r="AA218" s="426">
        <v>4</v>
      </c>
      <c r="AB218" s="426">
        <v>4</v>
      </c>
      <c r="AC218" s="426">
        <v>4</v>
      </c>
      <c r="AD218" s="426">
        <v>4</v>
      </c>
      <c r="AE218" s="426">
        <v>4</v>
      </c>
      <c r="AG218" s="426" t="s">
        <v>1065</v>
      </c>
    </row>
    <row r="219" spans="1:33" ht="144" hidden="1">
      <c r="A219" s="426" t="s">
        <v>1066</v>
      </c>
      <c r="B219" s="426" t="s">
        <v>420</v>
      </c>
      <c r="C219" s="426" t="s">
        <v>447</v>
      </c>
      <c r="D219" s="426" t="s">
        <v>448</v>
      </c>
      <c r="E219" s="426">
        <v>5</v>
      </c>
      <c r="F219" s="426">
        <v>5</v>
      </c>
      <c r="G219" s="426">
        <v>5</v>
      </c>
      <c r="H219" s="426">
        <v>5</v>
      </c>
      <c r="I219" s="426">
        <v>5</v>
      </c>
      <c r="J219" s="426">
        <v>5</v>
      </c>
      <c r="L219" s="426" t="s">
        <v>497</v>
      </c>
      <c r="N219" s="426" t="s">
        <v>463</v>
      </c>
      <c r="P219" s="426">
        <v>5</v>
      </c>
      <c r="Q219" s="426">
        <v>5</v>
      </c>
      <c r="R219" s="426">
        <v>5</v>
      </c>
      <c r="T219" s="426" t="s">
        <v>1067</v>
      </c>
      <c r="U219" s="426" t="s">
        <v>1068</v>
      </c>
      <c r="V219" s="426" t="s">
        <v>454</v>
      </c>
      <c r="W219" s="426" t="s">
        <v>1069</v>
      </c>
      <c r="X219" s="426" t="s">
        <v>1070</v>
      </c>
      <c r="Y219" s="426" t="s">
        <v>1071</v>
      </c>
      <c r="Z219" s="426">
        <v>5</v>
      </c>
      <c r="AA219" s="426">
        <v>5</v>
      </c>
      <c r="AB219" s="426">
        <v>5</v>
      </c>
      <c r="AC219" s="426">
        <v>5</v>
      </c>
      <c r="AD219" s="426">
        <v>5</v>
      </c>
      <c r="AE219" s="426">
        <v>5</v>
      </c>
      <c r="AG219" s="426" t="s">
        <v>1072</v>
      </c>
    </row>
    <row r="220" spans="1:33" ht="129.6" hidden="1">
      <c r="A220" s="426" t="s">
        <v>1066</v>
      </c>
      <c r="B220" s="426" t="s">
        <v>420</v>
      </c>
      <c r="C220" s="426" t="s">
        <v>447</v>
      </c>
      <c r="D220" s="426" t="s">
        <v>461</v>
      </c>
      <c r="Z220" s="426">
        <v>5</v>
      </c>
      <c r="AA220" s="426">
        <v>5</v>
      </c>
      <c r="AB220" s="426">
        <v>5</v>
      </c>
      <c r="AC220" s="426">
        <v>5</v>
      </c>
      <c r="AD220" s="426">
        <v>5</v>
      </c>
      <c r="AE220" s="426">
        <v>5</v>
      </c>
      <c r="AF220" s="426" t="s">
        <v>1073</v>
      </c>
      <c r="AG220" s="426" t="s">
        <v>1074</v>
      </c>
    </row>
    <row r="221" spans="1:33" hidden="1">
      <c r="B221" s="426" t="s">
        <v>421</v>
      </c>
    </row>
    <row r="222" spans="1:33" ht="144" hidden="1">
      <c r="A222" s="426" t="s">
        <v>1075</v>
      </c>
      <c r="B222" s="426" t="s">
        <v>421</v>
      </c>
      <c r="C222" s="426" t="s">
        <v>447</v>
      </c>
      <c r="D222" s="426" t="s">
        <v>448</v>
      </c>
      <c r="E222" s="426">
        <v>4</v>
      </c>
      <c r="F222" s="426">
        <v>4</v>
      </c>
      <c r="G222" s="426">
        <v>4</v>
      </c>
      <c r="H222" s="426">
        <v>4</v>
      </c>
      <c r="I222" s="426">
        <v>4</v>
      </c>
      <c r="J222" s="426">
        <v>4</v>
      </c>
      <c r="L222" s="426" t="s">
        <v>449</v>
      </c>
      <c r="N222" s="426" t="s">
        <v>463</v>
      </c>
      <c r="P222" s="426">
        <v>4</v>
      </c>
      <c r="Q222" s="426">
        <v>4</v>
      </c>
      <c r="R222" s="426">
        <v>3</v>
      </c>
      <c r="T222" s="426" t="s">
        <v>1076</v>
      </c>
      <c r="U222" s="426" t="s">
        <v>973</v>
      </c>
      <c r="V222" s="426" t="s">
        <v>822</v>
      </c>
      <c r="W222" s="426" t="s">
        <v>974</v>
      </c>
      <c r="X222" s="426" t="s">
        <v>481</v>
      </c>
      <c r="Y222" s="426" t="s">
        <v>1077</v>
      </c>
      <c r="Z222" s="426">
        <v>3</v>
      </c>
      <c r="AA222" s="426">
        <v>4</v>
      </c>
      <c r="AB222" s="426">
        <v>3</v>
      </c>
      <c r="AC222" s="426">
        <v>4</v>
      </c>
      <c r="AD222" s="426">
        <v>3</v>
      </c>
      <c r="AE222" s="426">
        <v>4</v>
      </c>
      <c r="AG222" s="426" t="s">
        <v>541</v>
      </c>
    </row>
    <row r="223" spans="1:33" ht="100.8" hidden="1">
      <c r="A223" s="426" t="s">
        <v>1075</v>
      </c>
      <c r="B223" s="426" t="s">
        <v>421</v>
      </c>
      <c r="C223" s="426" t="s">
        <v>447</v>
      </c>
      <c r="D223" s="426" t="s">
        <v>461</v>
      </c>
      <c r="Z223" s="426">
        <v>3</v>
      </c>
      <c r="AA223" s="426">
        <v>3</v>
      </c>
      <c r="AB223" s="426">
        <v>3</v>
      </c>
      <c r="AC223" s="426">
        <v>3</v>
      </c>
      <c r="AD223" s="426">
        <v>3</v>
      </c>
      <c r="AE223" s="426">
        <v>4</v>
      </c>
      <c r="AG223" s="426" t="s">
        <v>1078</v>
      </c>
    </row>
    <row r="224" spans="1:33" hidden="1">
      <c r="A224" s="426" t="s">
        <v>1075</v>
      </c>
      <c r="B224" s="426" t="s">
        <v>421</v>
      </c>
      <c r="C224" s="426" t="s">
        <v>447</v>
      </c>
      <c r="D224" s="426" t="s">
        <v>461</v>
      </c>
      <c r="Z224" s="426">
        <v>5</v>
      </c>
      <c r="AA224" s="426">
        <v>5</v>
      </c>
      <c r="AB224" s="426">
        <v>5</v>
      </c>
      <c r="AC224" s="426">
        <v>5</v>
      </c>
      <c r="AD224" s="426">
        <v>5</v>
      </c>
      <c r="AE224" s="426">
        <v>5</v>
      </c>
      <c r="AG224" s="426" t="s">
        <v>541</v>
      </c>
    </row>
    <row r="225" spans="1:33" ht="144" hidden="1">
      <c r="A225" s="426" t="s">
        <v>1075</v>
      </c>
      <c r="B225" s="426" t="s">
        <v>421</v>
      </c>
      <c r="C225" s="426" t="s">
        <v>447</v>
      </c>
      <c r="D225" s="426" t="s">
        <v>448</v>
      </c>
      <c r="E225" s="426">
        <v>4</v>
      </c>
      <c r="F225" s="426">
        <v>4</v>
      </c>
      <c r="G225" s="426">
        <v>4</v>
      </c>
      <c r="H225" s="426">
        <v>4</v>
      </c>
      <c r="I225" s="426">
        <v>4</v>
      </c>
      <c r="J225" s="426">
        <v>4</v>
      </c>
      <c r="K225" s="426" t="s">
        <v>495</v>
      </c>
      <c r="L225" s="426" t="s">
        <v>449</v>
      </c>
      <c r="N225" s="426" t="s">
        <v>463</v>
      </c>
      <c r="P225" s="426">
        <v>4</v>
      </c>
      <c r="Q225" s="426">
        <v>4</v>
      </c>
      <c r="R225" s="426">
        <v>4</v>
      </c>
      <c r="T225" s="426" t="s">
        <v>1076</v>
      </c>
      <c r="U225" s="426" t="s">
        <v>973</v>
      </c>
      <c r="V225" s="426" t="s">
        <v>822</v>
      </c>
      <c r="W225" s="426" t="s">
        <v>974</v>
      </c>
      <c r="X225" s="426" t="s">
        <v>495</v>
      </c>
      <c r="Y225" s="426" t="s">
        <v>495</v>
      </c>
      <c r="Z225" s="426">
        <v>4</v>
      </c>
      <c r="AA225" s="426">
        <v>4</v>
      </c>
      <c r="AB225" s="426">
        <v>4</v>
      </c>
      <c r="AC225" s="426">
        <v>4</v>
      </c>
      <c r="AD225" s="426">
        <v>4</v>
      </c>
      <c r="AE225" s="426">
        <v>4</v>
      </c>
      <c r="AG225" s="426" t="s">
        <v>495</v>
      </c>
    </row>
    <row r="226" spans="1:33" hidden="1">
      <c r="A226" s="426" t="s">
        <v>1075</v>
      </c>
      <c r="B226" s="426" t="s">
        <v>421</v>
      </c>
      <c r="C226" s="426" t="s">
        <v>447</v>
      </c>
      <c r="D226" s="426" t="s">
        <v>461</v>
      </c>
      <c r="Z226" s="426">
        <v>5</v>
      </c>
      <c r="AA226" s="426">
        <v>5</v>
      </c>
      <c r="AB226" s="426">
        <v>5</v>
      </c>
      <c r="AC226" s="426">
        <v>5</v>
      </c>
      <c r="AD226" s="426">
        <v>5</v>
      </c>
      <c r="AE226" s="426">
        <v>5</v>
      </c>
      <c r="AG226" s="426" t="s">
        <v>541</v>
      </c>
    </row>
    <row r="227" spans="1:33" ht="115.2" hidden="1">
      <c r="A227" s="426" t="s">
        <v>1075</v>
      </c>
      <c r="B227" s="426" t="s">
        <v>421</v>
      </c>
      <c r="C227" s="426" t="s">
        <v>447</v>
      </c>
      <c r="D227" s="426" t="s">
        <v>461</v>
      </c>
      <c r="Z227" s="426">
        <v>4</v>
      </c>
      <c r="AA227" s="426">
        <v>3</v>
      </c>
      <c r="AB227" s="426">
        <v>4</v>
      </c>
      <c r="AC227" s="426">
        <v>4</v>
      </c>
      <c r="AD227" s="426">
        <v>5</v>
      </c>
      <c r="AE227" s="426">
        <v>5</v>
      </c>
      <c r="AG227" s="426" t="s">
        <v>1079</v>
      </c>
    </row>
    <row r="228" spans="1:33" ht="57.6" hidden="1">
      <c r="A228" s="426" t="s">
        <v>747</v>
      </c>
      <c r="B228" s="426" t="s">
        <v>422</v>
      </c>
      <c r="C228" s="426" t="s">
        <v>447</v>
      </c>
      <c r="D228" s="426" t="s">
        <v>461</v>
      </c>
      <c r="Z228" s="426">
        <v>5</v>
      </c>
      <c r="AA228" s="426">
        <v>5</v>
      </c>
      <c r="AB228" s="426">
        <v>4</v>
      </c>
      <c r="AC228" s="426">
        <v>4</v>
      </c>
      <c r="AD228" s="426">
        <v>4</v>
      </c>
      <c r="AE228" s="426">
        <v>5</v>
      </c>
      <c r="AG228" s="426" t="s">
        <v>1080</v>
      </c>
    </row>
    <row r="229" spans="1:33" ht="144" hidden="1">
      <c r="A229" s="426" t="s">
        <v>747</v>
      </c>
      <c r="B229" s="426" t="s">
        <v>422</v>
      </c>
      <c r="C229" s="426" t="s">
        <v>447</v>
      </c>
      <c r="D229" s="426" t="s">
        <v>448</v>
      </c>
      <c r="E229" s="426">
        <v>5</v>
      </c>
      <c r="F229" s="426">
        <v>5</v>
      </c>
      <c r="G229" s="426">
        <v>5</v>
      </c>
      <c r="H229" s="426">
        <v>5</v>
      </c>
      <c r="I229" s="426">
        <v>5</v>
      </c>
      <c r="J229" s="426">
        <v>5</v>
      </c>
      <c r="L229" s="426" t="s">
        <v>449</v>
      </c>
      <c r="N229" s="426" t="s">
        <v>463</v>
      </c>
      <c r="O229" s="426" t="s">
        <v>1081</v>
      </c>
      <c r="P229" s="426">
        <v>4</v>
      </c>
      <c r="Q229" s="426">
        <v>4</v>
      </c>
      <c r="R229" s="426">
        <v>4</v>
      </c>
      <c r="T229" s="426" t="s">
        <v>1082</v>
      </c>
      <c r="U229" s="426" t="s">
        <v>465</v>
      </c>
      <c r="V229" s="426" t="s">
        <v>465</v>
      </c>
      <c r="W229" s="426" t="s">
        <v>1083</v>
      </c>
      <c r="X229" s="426" t="s">
        <v>1084</v>
      </c>
      <c r="Y229" s="426" t="s">
        <v>1085</v>
      </c>
      <c r="Z229" s="426">
        <v>4</v>
      </c>
      <c r="AA229" s="426">
        <v>5</v>
      </c>
      <c r="AB229" s="426">
        <v>4</v>
      </c>
      <c r="AC229" s="426">
        <v>5</v>
      </c>
      <c r="AD229" s="426">
        <v>5</v>
      </c>
      <c r="AE229" s="426">
        <v>5</v>
      </c>
      <c r="AG229" s="426" t="s">
        <v>264</v>
      </c>
    </row>
    <row r="230" spans="1:33" ht="144" hidden="1">
      <c r="A230" s="426" t="s">
        <v>1086</v>
      </c>
      <c r="B230" s="426" t="s">
        <v>79</v>
      </c>
      <c r="C230" s="426" t="s">
        <v>447</v>
      </c>
      <c r="D230" s="426" t="s">
        <v>448</v>
      </c>
      <c r="E230" s="426">
        <v>5</v>
      </c>
      <c r="F230" s="426">
        <v>5</v>
      </c>
      <c r="G230" s="426">
        <v>5</v>
      </c>
      <c r="H230" s="426">
        <v>5</v>
      </c>
      <c r="I230" s="426">
        <v>5</v>
      </c>
      <c r="J230" s="426">
        <v>5</v>
      </c>
      <c r="L230" s="426" t="s">
        <v>449</v>
      </c>
      <c r="N230" s="426" t="s">
        <v>463</v>
      </c>
      <c r="P230" s="426">
        <v>5</v>
      </c>
      <c r="Q230" s="426">
        <v>5</v>
      </c>
      <c r="R230" s="426">
        <v>5</v>
      </c>
      <c r="T230" s="426" t="s">
        <v>1087</v>
      </c>
      <c r="U230" s="426" t="s">
        <v>1088</v>
      </c>
      <c r="V230" s="426" t="s">
        <v>1089</v>
      </c>
      <c r="W230" s="426" t="s">
        <v>1090</v>
      </c>
      <c r="X230" s="426" t="s">
        <v>264</v>
      </c>
      <c r="Y230" s="426" t="s">
        <v>264</v>
      </c>
      <c r="Z230" s="426">
        <v>5</v>
      </c>
      <c r="AA230" s="426">
        <v>5</v>
      </c>
      <c r="AB230" s="426">
        <v>5</v>
      </c>
      <c r="AC230" s="426">
        <v>4</v>
      </c>
      <c r="AD230" s="426">
        <v>5</v>
      </c>
      <c r="AE230" s="426">
        <v>5</v>
      </c>
      <c r="AG230" s="426" t="s">
        <v>264</v>
      </c>
    </row>
    <row r="231" spans="1:33" ht="115.2" hidden="1">
      <c r="A231" s="426" t="s">
        <v>1086</v>
      </c>
      <c r="B231" s="426" t="s">
        <v>79</v>
      </c>
      <c r="C231" s="426" t="s">
        <v>447</v>
      </c>
      <c r="D231" s="426" t="s">
        <v>461</v>
      </c>
      <c r="Z231" s="426">
        <v>4</v>
      </c>
      <c r="AA231" s="426">
        <v>4</v>
      </c>
      <c r="AB231" s="426">
        <v>3</v>
      </c>
      <c r="AC231" s="426">
        <v>4</v>
      </c>
      <c r="AD231" s="426">
        <v>4</v>
      </c>
      <c r="AE231" s="426">
        <v>4</v>
      </c>
      <c r="AG231" s="426" t="s">
        <v>1091</v>
      </c>
    </row>
    <row r="232" spans="1:33" ht="28.8" hidden="1">
      <c r="A232" s="426" t="s">
        <v>1086</v>
      </c>
      <c r="B232" s="426" t="s">
        <v>79</v>
      </c>
      <c r="C232" s="426" t="s">
        <v>447</v>
      </c>
      <c r="D232" s="426" t="s">
        <v>461</v>
      </c>
      <c r="Z232" s="426">
        <v>5</v>
      </c>
      <c r="AA232" s="426">
        <v>5</v>
      </c>
      <c r="AB232" s="426">
        <v>5</v>
      </c>
      <c r="AC232" s="426">
        <v>5</v>
      </c>
      <c r="AD232" s="426">
        <v>5</v>
      </c>
      <c r="AE232" s="426">
        <v>5</v>
      </c>
      <c r="AG232" s="426" t="s">
        <v>1092</v>
      </c>
    </row>
    <row r="233" spans="1:33" ht="115.2" hidden="1">
      <c r="A233" s="426" t="s">
        <v>1086</v>
      </c>
      <c r="B233" s="426" t="s">
        <v>79</v>
      </c>
      <c r="C233" s="426" t="s">
        <v>447</v>
      </c>
      <c r="D233" s="426" t="s">
        <v>461</v>
      </c>
      <c r="Z233" s="426">
        <v>4</v>
      </c>
      <c r="AA233" s="426">
        <v>4</v>
      </c>
      <c r="AB233" s="426">
        <v>3</v>
      </c>
      <c r="AC233" s="426">
        <v>4</v>
      </c>
      <c r="AD233" s="426">
        <v>4</v>
      </c>
      <c r="AE233" s="426">
        <v>4</v>
      </c>
      <c r="AG233" s="426" t="s">
        <v>1091</v>
      </c>
    </row>
    <row r="244" spans="1:33" ht="28.8">
      <c r="A244" s="426" t="s">
        <v>1007</v>
      </c>
    </row>
    <row r="250" spans="1:33" ht="28.8">
      <c r="A250" s="426" t="s">
        <v>820</v>
      </c>
      <c r="Z250" s="426">
        <v>5</v>
      </c>
      <c r="AA250" s="426">
        <v>5</v>
      </c>
      <c r="AB250" s="426">
        <v>5</v>
      </c>
      <c r="AC250" s="426">
        <v>5</v>
      </c>
      <c r="AD250" s="426">
        <v>5</v>
      </c>
      <c r="AE250" s="426">
        <v>5</v>
      </c>
      <c r="AG250" s="426" t="s">
        <v>541</v>
      </c>
    </row>
    <row r="251" spans="1:33">
      <c r="A251" s="426" t="s">
        <v>600</v>
      </c>
    </row>
  </sheetData>
  <sheetProtection formatCells="0" formatColumns="0" formatRows="0" insertColumns="0" insertRows="0" insertHyperlinks="0" deleteColumns="0" deleteRows="0" sort="0" autoFilter="0" pivotTables="0"/>
  <autoFilter ref="A1:AG233">
    <filterColumn colId="1">
      <filters>
        <filter val="Nguyen Minh Tuan"/>
      </filters>
    </filterColumn>
  </autoFilter>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
  <sheetViews>
    <sheetView workbookViewId="0">
      <selection activeCell="D16" sqref="D16"/>
    </sheetView>
  </sheetViews>
  <sheetFormatPr defaultRowHeight="14.4"/>
  <cols>
    <col min="2" max="2" width="19" customWidth="1"/>
    <col min="3" max="3" width="16.88671875" customWidth="1"/>
    <col min="4" max="4" width="25.21875" customWidth="1"/>
    <col min="5" max="5" width="21.21875" customWidth="1"/>
  </cols>
  <sheetData>
    <row r="1" spans="1:5">
      <c r="A1" t="s">
        <v>1093</v>
      </c>
      <c r="B1" t="s">
        <v>366</v>
      </c>
      <c r="C1" t="s">
        <v>1094</v>
      </c>
      <c r="D1" t="s">
        <v>238</v>
      </c>
      <c r="E1" t="s">
        <v>1095</v>
      </c>
    </row>
    <row r="2" spans="1:5">
      <c r="B2" t="s">
        <v>418</v>
      </c>
      <c r="C2" t="s">
        <v>447</v>
      </c>
      <c r="D2" t="s">
        <v>1096</v>
      </c>
      <c r="E2">
        <v>5.2857142857142856</v>
      </c>
    </row>
    <row r="3" spans="1:5">
      <c r="B3" t="s">
        <v>475</v>
      </c>
      <c r="C3" t="s">
        <v>447</v>
      </c>
      <c r="D3" t="s">
        <v>1096</v>
      </c>
      <c r="E3">
        <v>5.8571428571428568</v>
      </c>
    </row>
    <row r="4" spans="1:5">
      <c r="B4" t="s">
        <v>891</v>
      </c>
      <c r="C4" t="s">
        <v>447</v>
      </c>
      <c r="D4" t="s">
        <v>1096</v>
      </c>
      <c r="E4">
        <v>6.2857142857142856</v>
      </c>
    </row>
    <row r="5" spans="1:5">
      <c r="B5" t="s">
        <v>410</v>
      </c>
      <c r="C5" t="s">
        <v>447</v>
      </c>
      <c r="D5" t="s">
        <v>1097</v>
      </c>
      <c r="E5">
        <v>6.1428571428571432</v>
      </c>
    </row>
    <row r="6" spans="1:5">
      <c r="B6" t="s">
        <v>549</v>
      </c>
      <c r="C6" t="s">
        <v>447</v>
      </c>
      <c r="D6" t="s">
        <v>1097</v>
      </c>
      <c r="E6">
        <v>6.2857142857142856</v>
      </c>
    </row>
    <row r="7" spans="1:5">
      <c r="B7" t="s">
        <v>1098</v>
      </c>
      <c r="C7" t="s">
        <v>447</v>
      </c>
      <c r="D7" t="s">
        <v>1099</v>
      </c>
      <c r="E7">
        <v>6.8571428571428568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Cover</vt:lpstr>
      <vt:lpstr>Reference</vt:lpstr>
      <vt:lpstr>Member_Data_Calculation</vt:lpstr>
      <vt:lpstr>360_Degree_Review</vt:lpstr>
      <vt:lpstr>MemberData</vt:lpstr>
      <vt:lpstr>Commited_Actual_1stProject</vt:lpstr>
      <vt:lpstr>Commited_Actual_2ndProject</vt:lpstr>
      <vt:lpstr>Commited_Actual_3rdProject</vt:lpstr>
      <vt:lpstr>Commited_Actual_4thProject</vt:lpstr>
      <vt:lpstr>360_Degree_Result</vt:lpstr>
      <vt:lpstr>Rawdata_Full</vt:lpstr>
      <vt:lpstr>TestLead_Na</vt:lpstr>
      <vt:lpstr>TestLead_VanAnh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VLM Tracker</dc:title>
  <dc:creator>TUOI VU PHAM/Team Leader/LGEVH VC VALIDATION TEST 1(tuoi.pham@lge.com)</dc:creator>
  <cp:lastModifiedBy>Truong</cp:lastModifiedBy>
  <dcterms:created xsi:type="dcterms:W3CDTF">2018-03-26T04:25:27Z</dcterms:created>
  <dcterms:modified xsi:type="dcterms:W3CDTF">2020-11-12T14:54:08Z</dcterms:modified>
</cp:coreProperties>
</file>