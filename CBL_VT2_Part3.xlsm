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activeX/activeX22.xml" ContentType="application/vnd.ms-office.activeX+xml"/>
  <Override PartName="/xl/activeX/activeX22.bin" ContentType="application/vnd.ms-office.activeX"/>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activeX/activeX25.xml" ContentType="application/vnd.ms-office.activeX+xml"/>
  <Override PartName="/xl/activeX/activeX25.bin" ContentType="application/vnd.ms-office.activeX"/>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21.xml" ContentType="application/vnd.openxmlformats-officedocument.spreadsheetml.comments+xml"/>
  <Override PartName="/xl/drawings/drawing22.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GIT_HUB\Demo\"/>
    </mc:Choice>
  </mc:AlternateContent>
  <bookViews>
    <workbookView xWindow="0" yWindow="0" windowWidth="23040" windowHeight="6936" tabRatio="843" firstSheet="14" activeTab="25"/>
  </bookViews>
  <sheets>
    <sheet name="Sheet1" sheetId="1" r:id="rId1"/>
    <sheet name="Summary" sheetId="2" r:id="rId2"/>
    <sheet name="CBL Training Courses" sheetId="3" r:id="rId3"/>
    <sheet name="CBL Level Definition" sheetId="4" r:id="rId4"/>
    <sheet name="CBL Score Standard" sheetId="5" r:id="rId5"/>
    <sheet name="Template" sheetId="6" r:id="rId6"/>
    <sheet name="Truong Dao" sheetId="61" r:id="rId7"/>
    <sheet name="Duong Nguyen" sheetId="8" r:id="rId8"/>
    <sheet name="Cuong Truong" sheetId="48" r:id="rId9"/>
    <sheet name="Thuy Dang" sheetId="105" r:id="rId10"/>
    <sheet name="Na Nguyen" sheetId="45" r:id="rId11"/>
    <sheet name="Khanh Ha" sheetId="52" r:id="rId12"/>
    <sheet name="Hien Tran" sheetId="9" r:id="rId13"/>
    <sheet name="Tung Tran" sheetId="90" r:id="rId14"/>
    <sheet name="Duyen Pham" sheetId="46" r:id="rId15"/>
    <sheet name="yen2.nguyen" sheetId="125" r:id="rId16"/>
    <sheet name="Thanh5.nguyen" sheetId="113" r:id="rId17"/>
    <sheet name="Anh To" sheetId="84" r:id="rId18"/>
    <sheet name="Mai Le" sheetId="10" r:id="rId19"/>
    <sheet name="Huyen2.Nguyen" sheetId="96" r:id="rId20"/>
    <sheet name="Anh Tran" sheetId="74" r:id="rId21"/>
    <sheet name="Ha.Han" sheetId="127" r:id="rId22"/>
    <sheet name="Chinh.Tran" sheetId="95" r:id="rId23"/>
    <sheet name="Phuong Nguyen" sheetId="77" r:id="rId24"/>
    <sheet name="Bich Do" sheetId="78" r:id="rId25"/>
    <sheet name="Tuan4.nguyen" sheetId="68" r:id="rId26"/>
  </sheets>
  <functionGroups builtInGroupCount="18"/>
  <definedNames>
    <definedName name="_xlnm._FilterDatabase" localSheetId="17" hidden="1">'Anh To'!$A$3:$J$70</definedName>
    <definedName name="_xlnm._FilterDatabase" localSheetId="20" hidden="1">'Anh Tran'!$A$7:$J$70</definedName>
    <definedName name="_xlnm._FilterDatabase" localSheetId="24" hidden="1">'Bich Do'!$A$3:$J$70</definedName>
    <definedName name="_xlnm._FilterDatabase" localSheetId="4" hidden="1">'CBL Score Standard'!$A$2:$P$59</definedName>
    <definedName name="_xlnm._FilterDatabase" localSheetId="22" hidden="1">Chinh.Tran!$A$3:$J$70</definedName>
    <definedName name="_xlnm._FilterDatabase" localSheetId="8" hidden="1">'Cuong Truong'!$A$3:$J$70</definedName>
    <definedName name="_xlnm._FilterDatabase" localSheetId="14" hidden="1">'Duyen Pham'!$A$3:$J$70</definedName>
    <definedName name="_xlnm._FilterDatabase" localSheetId="21" hidden="1">Ha.Han!$A$7:$G$66</definedName>
    <definedName name="_xlnm._FilterDatabase" localSheetId="12" hidden="1">'Hien Tran'!$A$7:$G$67</definedName>
    <definedName name="_xlnm._FilterDatabase" localSheetId="19" hidden="1">Huyen2.Nguyen!$A$7:$G$25</definedName>
    <definedName name="_xlnm._FilterDatabase" localSheetId="11" hidden="1">'Khanh Ha'!$A$7:$G$67</definedName>
    <definedName name="_xlnm._FilterDatabase" localSheetId="18" hidden="1">'Mai Le'!$A$7:$G$67</definedName>
    <definedName name="_xlnm._FilterDatabase" localSheetId="10" hidden="1">'Na Nguyen'!$A$3:$J$70</definedName>
    <definedName name="_xlnm._FilterDatabase" localSheetId="23" hidden="1">'Phuong Nguyen'!$A$3:$J$70</definedName>
    <definedName name="_xlnm._FilterDatabase" localSheetId="1" hidden="1">Summary!$A$2:$AX$85</definedName>
    <definedName name="_xlnm._FilterDatabase" localSheetId="5" hidden="1">Template!$A$7:$G$67</definedName>
    <definedName name="_xlnm._FilterDatabase" localSheetId="16" hidden="1">Thanh5.nguyen!$A$7:$G$66</definedName>
    <definedName name="_xlnm._FilterDatabase" localSheetId="9" hidden="1">'Thuy Dang'!$A$3:$J$70</definedName>
    <definedName name="_xlnm._FilterDatabase" localSheetId="6" hidden="1">'Truong Dao'!$A$3:$J$70</definedName>
    <definedName name="_xlnm._FilterDatabase" localSheetId="25" hidden="1">Tuan4.nguyen!$A$7:$G$66</definedName>
    <definedName name="_xlnm._FilterDatabase" localSheetId="13" hidden="1">'Tung Tran'!$A$3:$J$70</definedName>
    <definedName name="_xlnm._FilterDatabase" localSheetId="15" hidden="1">yen2.nguyen!$A$7:$G$66</definedName>
    <definedName name="Z_040B64FF_F135_4C7F_9498_A8399C10673D_.wvu.FilterData" localSheetId="17" hidden="1">'Anh To'!$A$3:$J$70</definedName>
    <definedName name="Z_040B64FF_F135_4C7F_9498_A8399C10673D_.wvu.FilterData" localSheetId="20" hidden="1">'Anh Tran'!$A$7:$J$70</definedName>
    <definedName name="Z_040B64FF_F135_4C7F_9498_A8399C10673D_.wvu.FilterData" localSheetId="24" hidden="1">'Bich Do'!$A$3:$J$70</definedName>
    <definedName name="Z_040B64FF_F135_4C7F_9498_A8399C10673D_.wvu.FilterData" localSheetId="4" hidden="1">'CBL Score Standard'!$A$2:$P$59</definedName>
    <definedName name="Z_040B64FF_F135_4C7F_9498_A8399C10673D_.wvu.FilterData" localSheetId="22" hidden="1">Chinh.Tran!$A$3:$J$70</definedName>
    <definedName name="Z_040B64FF_F135_4C7F_9498_A8399C10673D_.wvu.FilterData" localSheetId="8" hidden="1">'Cuong Truong'!$A$3:$J$70</definedName>
    <definedName name="Z_040B64FF_F135_4C7F_9498_A8399C10673D_.wvu.FilterData" localSheetId="14" hidden="1">'Duyen Pham'!$A$3:$J$70</definedName>
    <definedName name="Z_040B64FF_F135_4C7F_9498_A8399C10673D_.wvu.FilterData" localSheetId="21" hidden="1">Ha.Han!$A$7:$G$66</definedName>
    <definedName name="Z_040B64FF_F135_4C7F_9498_A8399C10673D_.wvu.FilterData" localSheetId="12" hidden="1">'Hien Tran'!$A$7:$G$67</definedName>
    <definedName name="Z_040B64FF_F135_4C7F_9498_A8399C10673D_.wvu.FilterData" localSheetId="19" hidden="1">Huyen2.Nguyen!$A$7:$G$25</definedName>
    <definedName name="Z_040B64FF_F135_4C7F_9498_A8399C10673D_.wvu.FilterData" localSheetId="11" hidden="1">'Khanh Ha'!$A$7:$G$67</definedName>
    <definedName name="Z_040B64FF_F135_4C7F_9498_A8399C10673D_.wvu.FilterData" localSheetId="18" hidden="1">'Mai Le'!$A$7:$G$67</definedName>
    <definedName name="Z_040B64FF_F135_4C7F_9498_A8399C10673D_.wvu.FilterData" localSheetId="10" hidden="1">'Na Nguyen'!$A$3:$J$70</definedName>
    <definedName name="Z_040B64FF_F135_4C7F_9498_A8399C10673D_.wvu.FilterData" localSheetId="23" hidden="1">'Phuong Nguyen'!$A$3:$J$70</definedName>
    <definedName name="Z_040B64FF_F135_4C7F_9498_A8399C10673D_.wvu.FilterData" localSheetId="1" hidden="1">Summary!$A$2:$AX$85</definedName>
    <definedName name="Z_040B64FF_F135_4C7F_9498_A8399C10673D_.wvu.FilterData" localSheetId="5" hidden="1">Template!$A$7:$G$67</definedName>
    <definedName name="Z_040B64FF_F135_4C7F_9498_A8399C10673D_.wvu.FilterData" localSheetId="16" hidden="1">Thanh5.nguyen!$A$7:$G$66</definedName>
    <definedName name="Z_040B64FF_F135_4C7F_9498_A8399C10673D_.wvu.FilterData" localSheetId="9" hidden="1">'Thuy Dang'!$A$3:$J$70</definedName>
    <definedName name="Z_040B64FF_F135_4C7F_9498_A8399C10673D_.wvu.FilterData" localSheetId="6" hidden="1">'Truong Dao'!$A$3:$J$70</definedName>
    <definedName name="Z_040B64FF_F135_4C7F_9498_A8399C10673D_.wvu.FilterData" localSheetId="25" hidden="1">Tuan4.nguyen!$A$7:$G$66</definedName>
    <definedName name="Z_040B64FF_F135_4C7F_9498_A8399C10673D_.wvu.FilterData" localSheetId="13" hidden="1">'Tung Tran'!$A$3:$J$70</definedName>
    <definedName name="Z_040B64FF_F135_4C7F_9498_A8399C10673D_.wvu.FilterData" localSheetId="15" hidden="1">yen2.nguyen!$A$7:$G$66</definedName>
    <definedName name="Z_173951F5_C083_4470_B891_1E63E2149C79_.wvu.FilterData" localSheetId="17" hidden="1">'Anh To'!$A$3:$J$70</definedName>
    <definedName name="Z_173951F5_C083_4470_B891_1E63E2149C79_.wvu.FilterData" localSheetId="20" hidden="1">'Anh Tran'!$A$7:$J$70</definedName>
    <definedName name="Z_173951F5_C083_4470_B891_1E63E2149C79_.wvu.FilterData" localSheetId="24" hidden="1">'Bich Do'!$A$3:$J$70</definedName>
    <definedName name="Z_173951F5_C083_4470_B891_1E63E2149C79_.wvu.FilterData" localSheetId="4" hidden="1">'CBL Score Standard'!$A$3:$P$63</definedName>
    <definedName name="Z_173951F5_C083_4470_B891_1E63E2149C79_.wvu.FilterData" localSheetId="22" hidden="1">Chinh.Tran!$A$3:$J$70</definedName>
    <definedName name="Z_173951F5_C083_4470_B891_1E63E2149C79_.wvu.FilterData" localSheetId="8" hidden="1">'Cuong Truong'!$A$3:$J$70</definedName>
    <definedName name="Z_173951F5_C083_4470_B891_1E63E2149C79_.wvu.FilterData" localSheetId="7" hidden="1">'Duong Nguyen'!$A$7:$G$67</definedName>
    <definedName name="Z_173951F5_C083_4470_B891_1E63E2149C79_.wvu.FilterData" localSheetId="14" hidden="1">'Duyen Pham'!$A$3:$J$70</definedName>
    <definedName name="Z_173951F5_C083_4470_B891_1E63E2149C79_.wvu.FilterData" localSheetId="21" hidden="1">Ha.Han!$A$7:$G$66</definedName>
    <definedName name="Z_173951F5_C083_4470_B891_1E63E2149C79_.wvu.FilterData" localSheetId="12" hidden="1">'Hien Tran'!$A$7:$G$67</definedName>
    <definedName name="Z_173951F5_C083_4470_B891_1E63E2149C79_.wvu.FilterData" localSheetId="11" hidden="1">'Khanh Ha'!$A$7:$G$67</definedName>
    <definedName name="Z_173951F5_C083_4470_B891_1E63E2149C79_.wvu.FilterData" localSheetId="18" hidden="1">'Mai Le'!$A$7:$G$67</definedName>
    <definedName name="Z_173951F5_C083_4470_B891_1E63E2149C79_.wvu.FilterData" localSheetId="10" hidden="1">'Na Nguyen'!$A$3:$J$70</definedName>
    <definedName name="Z_173951F5_C083_4470_B891_1E63E2149C79_.wvu.FilterData" localSheetId="23" hidden="1">'Phuong Nguyen'!$A$3:$J$70</definedName>
    <definedName name="Z_173951F5_C083_4470_B891_1E63E2149C79_.wvu.FilterData" localSheetId="5" hidden="1">Template!$A$7:$G$67</definedName>
    <definedName name="Z_173951F5_C083_4470_B891_1E63E2149C79_.wvu.FilterData" localSheetId="16" hidden="1">Thanh5.nguyen!$A$7:$G$66</definedName>
    <definedName name="Z_173951F5_C083_4470_B891_1E63E2149C79_.wvu.FilterData" localSheetId="9" hidden="1">'Thuy Dang'!$A$3:$J$70</definedName>
    <definedName name="Z_173951F5_C083_4470_B891_1E63E2149C79_.wvu.FilterData" localSheetId="6" hidden="1">'Truong Dao'!$A$3:$J$70</definedName>
    <definedName name="Z_173951F5_C083_4470_B891_1E63E2149C79_.wvu.FilterData" localSheetId="25" hidden="1">Tuan4.nguyen!$A$7:$G$66</definedName>
    <definedName name="Z_173951F5_C083_4470_B891_1E63E2149C79_.wvu.FilterData" localSheetId="13" hidden="1">'Tung Tran'!$A$3:$J$70</definedName>
    <definedName name="Z_173951F5_C083_4470_B891_1E63E2149C79_.wvu.FilterData" localSheetId="15" hidden="1">yen2.nguyen!$A$7:$G$66</definedName>
    <definedName name="Z_261D22D2_442B_41DD_A3FE_E495237806BD_.wvu.FilterData" localSheetId="20" hidden="1">'Anh Tran'!$A$7:$J$70</definedName>
    <definedName name="Z_261D22D2_442B_41DD_A3FE_E495237806BD_.wvu.FilterData" localSheetId="24" hidden="1">'Bich Do'!$A$3:$J$70</definedName>
    <definedName name="Z_261D22D2_442B_41DD_A3FE_E495237806BD_.wvu.FilterData" localSheetId="7" hidden="1">'Duong Nguyen'!$A$7:$G$67</definedName>
    <definedName name="Z_261D22D2_442B_41DD_A3FE_E495237806BD_.wvu.FilterData" localSheetId="21" hidden="1">Ha.Han!$A$7:$G$66</definedName>
    <definedName name="Z_261D22D2_442B_41DD_A3FE_E495237806BD_.wvu.FilterData" localSheetId="12" hidden="1">'Hien Tran'!$A$7:$G$67</definedName>
    <definedName name="Z_261D22D2_442B_41DD_A3FE_E495237806BD_.wvu.FilterData" localSheetId="11" hidden="1">'Khanh Ha'!$A$7:$G$67</definedName>
    <definedName name="Z_261D22D2_442B_41DD_A3FE_E495237806BD_.wvu.FilterData" localSheetId="18" hidden="1">'Mai Le'!$A$7:$G$67</definedName>
    <definedName name="Z_261D22D2_442B_41DD_A3FE_E495237806BD_.wvu.FilterData" localSheetId="23" hidden="1">'Phuong Nguyen'!$A$3:$J$70</definedName>
    <definedName name="Z_261D22D2_442B_41DD_A3FE_E495237806BD_.wvu.FilterData" localSheetId="5" hidden="1">Template!$A$7:$G$67</definedName>
    <definedName name="Z_261D22D2_442B_41DD_A3FE_E495237806BD_.wvu.FilterData" localSheetId="16" hidden="1">Thanh5.nguyen!$A$7:$G$66</definedName>
    <definedName name="Z_261D22D2_442B_41DD_A3FE_E495237806BD_.wvu.FilterData" localSheetId="9" hidden="1">'Thuy Dang'!$A$3:$J$70</definedName>
    <definedName name="Z_261D22D2_442B_41DD_A3FE_E495237806BD_.wvu.FilterData" localSheetId="6" hidden="1">'Truong Dao'!$A$3:$J$70</definedName>
    <definedName name="Z_261D22D2_442B_41DD_A3FE_E495237806BD_.wvu.FilterData" localSheetId="25" hidden="1">Tuan4.nguyen!$A$7:$G$66</definedName>
    <definedName name="Z_261D22D2_442B_41DD_A3FE_E495237806BD_.wvu.FilterData" localSheetId="13" hidden="1">'Tung Tran'!$A$3:$J$70</definedName>
    <definedName name="Z_261D22D2_442B_41DD_A3FE_E495237806BD_.wvu.FilterData" localSheetId="15" hidden="1">yen2.nguyen!$A$7:$G$66</definedName>
    <definedName name="Z_3BEDB203_29A8_4A82_B140_5CE8D0753F8B_.wvu.FilterData" localSheetId="17" hidden="1">'Anh To'!$A$3:$J$70</definedName>
    <definedName name="Z_3BEDB203_29A8_4A82_B140_5CE8D0753F8B_.wvu.FilterData" localSheetId="20" hidden="1">'Anh Tran'!$A$7:$J$70</definedName>
    <definedName name="Z_3BEDB203_29A8_4A82_B140_5CE8D0753F8B_.wvu.FilterData" localSheetId="24" hidden="1">'Bich Do'!$A$3:$J$70</definedName>
    <definedName name="Z_3BEDB203_29A8_4A82_B140_5CE8D0753F8B_.wvu.FilterData" localSheetId="4" hidden="1">'CBL Score Standard'!$A$2:$P$59</definedName>
    <definedName name="Z_3BEDB203_29A8_4A82_B140_5CE8D0753F8B_.wvu.FilterData" localSheetId="22" hidden="1">Chinh.Tran!$A$3:$J$70</definedName>
    <definedName name="Z_3BEDB203_29A8_4A82_B140_5CE8D0753F8B_.wvu.FilterData" localSheetId="8" hidden="1">'Cuong Truong'!$A$3:$J$70</definedName>
    <definedName name="Z_3BEDB203_29A8_4A82_B140_5CE8D0753F8B_.wvu.FilterData" localSheetId="14" hidden="1">'Duyen Pham'!$A$3:$J$70</definedName>
    <definedName name="Z_3BEDB203_29A8_4A82_B140_5CE8D0753F8B_.wvu.FilterData" localSheetId="21" hidden="1">Ha.Han!$A$7:$G$66</definedName>
    <definedName name="Z_3BEDB203_29A8_4A82_B140_5CE8D0753F8B_.wvu.FilterData" localSheetId="12" hidden="1">'Hien Tran'!$A$7:$G$67</definedName>
    <definedName name="Z_3BEDB203_29A8_4A82_B140_5CE8D0753F8B_.wvu.FilterData" localSheetId="19" hidden="1">Huyen2.Nguyen!$A$7:$G$25</definedName>
    <definedName name="Z_3BEDB203_29A8_4A82_B140_5CE8D0753F8B_.wvu.FilterData" localSheetId="11" hidden="1">'Khanh Ha'!$A$7:$G$67</definedName>
    <definedName name="Z_3BEDB203_29A8_4A82_B140_5CE8D0753F8B_.wvu.FilterData" localSheetId="18" hidden="1">'Mai Le'!$A$7:$G$67</definedName>
    <definedName name="Z_3BEDB203_29A8_4A82_B140_5CE8D0753F8B_.wvu.FilterData" localSheetId="10" hidden="1">'Na Nguyen'!$A$3:$J$70</definedName>
    <definedName name="Z_3BEDB203_29A8_4A82_B140_5CE8D0753F8B_.wvu.FilterData" localSheetId="23" hidden="1">'Phuong Nguyen'!$A$3:$J$70</definedName>
    <definedName name="Z_3BEDB203_29A8_4A82_B140_5CE8D0753F8B_.wvu.FilterData" localSheetId="1" hidden="1">Summary!$A$2:$AX$85</definedName>
    <definedName name="Z_3BEDB203_29A8_4A82_B140_5CE8D0753F8B_.wvu.FilterData" localSheetId="5" hidden="1">Template!$A$7:$G$67</definedName>
    <definedName name="Z_3BEDB203_29A8_4A82_B140_5CE8D0753F8B_.wvu.FilterData" localSheetId="16" hidden="1">Thanh5.nguyen!$A$7:$G$66</definedName>
    <definedName name="Z_3BEDB203_29A8_4A82_B140_5CE8D0753F8B_.wvu.FilterData" localSheetId="9" hidden="1">'Thuy Dang'!$A$3:$J$70</definedName>
    <definedName name="Z_3BEDB203_29A8_4A82_B140_5CE8D0753F8B_.wvu.FilterData" localSheetId="6" hidden="1">'Truong Dao'!$A$3:$J$70</definedName>
    <definedName name="Z_3BEDB203_29A8_4A82_B140_5CE8D0753F8B_.wvu.FilterData" localSheetId="25" hidden="1">Tuan4.nguyen!$A$7:$G$66</definedName>
    <definedName name="Z_3BEDB203_29A8_4A82_B140_5CE8D0753F8B_.wvu.FilterData" localSheetId="13" hidden="1">'Tung Tran'!$A$3:$J$70</definedName>
    <definedName name="Z_3BEDB203_29A8_4A82_B140_5CE8D0753F8B_.wvu.FilterData" localSheetId="15" hidden="1">yen2.nguyen!$A$7:$G$66</definedName>
    <definedName name="Z_3F4B3E1E_6438_454F_9A31_849572ED32F5_.wvu.FilterData" localSheetId="17" hidden="1">'Anh To'!$A$3:$J$70</definedName>
    <definedName name="Z_3F4B3E1E_6438_454F_9A31_849572ED32F5_.wvu.FilterData" localSheetId="20" hidden="1">'Anh Tran'!$A$7:$J$70</definedName>
    <definedName name="Z_3F4B3E1E_6438_454F_9A31_849572ED32F5_.wvu.FilterData" localSheetId="24" hidden="1">'Bich Do'!$A$3:$J$70</definedName>
    <definedName name="Z_3F4B3E1E_6438_454F_9A31_849572ED32F5_.wvu.FilterData" localSheetId="4" hidden="1">'CBL Score Standard'!$A$3:$P$63</definedName>
    <definedName name="Z_3F4B3E1E_6438_454F_9A31_849572ED32F5_.wvu.FilterData" localSheetId="22" hidden="1">Chinh.Tran!$A$3:$J$70</definedName>
    <definedName name="Z_3F4B3E1E_6438_454F_9A31_849572ED32F5_.wvu.FilterData" localSheetId="8" hidden="1">'Cuong Truong'!$A$3:$J$70</definedName>
    <definedName name="Z_3F4B3E1E_6438_454F_9A31_849572ED32F5_.wvu.FilterData" localSheetId="7" hidden="1">'Duong Nguyen'!$A$7:$G$67</definedName>
    <definedName name="Z_3F4B3E1E_6438_454F_9A31_849572ED32F5_.wvu.FilterData" localSheetId="14" hidden="1">'Duyen Pham'!$A$3:$J$70</definedName>
    <definedName name="Z_3F4B3E1E_6438_454F_9A31_849572ED32F5_.wvu.FilterData" localSheetId="21" hidden="1">Ha.Han!$A$7:$G$66</definedName>
    <definedName name="Z_3F4B3E1E_6438_454F_9A31_849572ED32F5_.wvu.FilterData" localSheetId="12" hidden="1">'Hien Tran'!$A$7:$G$67</definedName>
    <definedName name="Z_3F4B3E1E_6438_454F_9A31_849572ED32F5_.wvu.FilterData" localSheetId="11" hidden="1">'Khanh Ha'!$A$7:$G$67</definedName>
    <definedName name="Z_3F4B3E1E_6438_454F_9A31_849572ED32F5_.wvu.FilterData" localSheetId="18" hidden="1">'Mai Le'!$A$7:$G$67</definedName>
    <definedName name="Z_3F4B3E1E_6438_454F_9A31_849572ED32F5_.wvu.FilterData" localSheetId="10" hidden="1">'Na Nguyen'!$A$3:$J$70</definedName>
    <definedName name="Z_3F4B3E1E_6438_454F_9A31_849572ED32F5_.wvu.FilterData" localSheetId="23" hidden="1">'Phuong Nguyen'!$A$3:$J$70</definedName>
    <definedName name="Z_3F4B3E1E_6438_454F_9A31_849572ED32F5_.wvu.FilterData" localSheetId="5" hidden="1">Template!$A$7:$G$67</definedName>
    <definedName name="Z_3F4B3E1E_6438_454F_9A31_849572ED32F5_.wvu.FilterData" localSheetId="16" hidden="1">Thanh5.nguyen!$A$7:$G$66</definedName>
    <definedName name="Z_3F4B3E1E_6438_454F_9A31_849572ED32F5_.wvu.FilterData" localSheetId="9" hidden="1">'Thuy Dang'!$A$3:$J$70</definedName>
    <definedName name="Z_3F4B3E1E_6438_454F_9A31_849572ED32F5_.wvu.FilterData" localSheetId="6" hidden="1">'Truong Dao'!$A$3:$J$70</definedName>
    <definedName name="Z_3F4B3E1E_6438_454F_9A31_849572ED32F5_.wvu.FilterData" localSheetId="25" hidden="1">Tuan4.nguyen!$A$7:$G$66</definedName>
    <definedName name="Z_3F4B3E1E_6438_454F_9A31_849572ED32F5_.wvu.FilterData" localSheetId="13" hidden="1">'Tung Tran'!$A$3:$J$70</definedName>
    <definedName name="Z_3F4B3E1E_6438_454F_9A31_849572ED32F5_.wvu.FilterData" localSheetId="15" hidden="1">yen2.nguyen!$A$7:$G$66</definedName>
    <definedName name="Z_3F51B73C_8999_4BDD_B7BB_CFA8C5D5F118_.wvu.Cols" localSheetId="14" hidden="1">'Duyen Pham'!#REF!</definedName>
    <definedName name="Z_3F51B73C_8999_4BDD_B7BB_CFA8C5D5F118_.wvu.Cols" localSheetId="6" hidden="1">'Truong Dao'!#REF!</definedName>
    <definedName name="Z_3F51B73C_8999_4BDD_B7BB_CFA8C5D5F118_.wvu.FilterData" localSheetId="24" hidden="1">'Bich Do'!$A$3:$J$70</definedName>
    <definedName name="Z_3F51B73C_8999_4BDD_B7BB_CFA8C5D5F118_.wvu.FilterData" localSheetId="4" hidden="1">'CBL Score Standard'!$A$2:$P$58</definedName>
    <definedName name="Z_3F51B73C_8999_4BDD_B7BB_CFA8C5D5F118_.wvu.FilterData" localSheetId="14" hidden="1">'Duyen Pham'!$A$3:$J$70</definedName>
    <definedName name="Z_3F51B73C_8999_4BDD_B7BB_CFA8C5D5F118_.wvu.FilterData" localSheetId="1" hidden="1">Summary!$A$2:$AX$85</definedName>
    <definedName name="Z_3F51B73C_8999_4BDD_B7BB_CFA8C5D5F118_.wvu.FilterData" localSheetId="5" hidden="1">Template!$A$7:$G$67</definedName>
    <definedName name="Z_3F51B73C_8999_4BDD_B7BB_CFA8C5D5F118_.wvu.FilterData" localSheetId="6" hidden="1">'Truong Dao'!$A$3:$J$70</definedName>
    <definedName name="Z_3F51B73C_8999_4BDD_B7BB_CFA8C5D5F118_.wvu.FilterData" localSheetId="25" hidden="1">Tuan4.nguyen!$A$7:$G$66</definedName>
    <definedName name="Z_3F51B73C_8999_4BDD_B7BB_CFA8C5D5F118_.wvu.FilterData" localSheetId="13" hidden="1">'Tung Tran'!$A$3:$J$70</definedName>
    <definedName name="Z_61959E49_C4BC_41CB_B0BE_7EDA73DE356A_.wvu.Cols" localSheetId="14" hidden="1">'Duyen Pham'!#REF!</definedName>
    <definedName name="Z_61959E49_C4BC_41CB_B0BE_7EDA73DE356A_.wvu.Cols" localSheetId="10" hidden="1">'Na Nguyen'!#REF!</definedName>
    <definedName name="Z_61959E49_C4BC_41CB_B0BE_7EDA73DE356A_.wvu.Cols" localSheetId="6" hidden="1">'Truong Dao'!#REF!</definedName>
    <definedName name="Z_61959E49_C4BC_41CB_B0BE_7EDA73DE356A_.wvu.FilterData" localSheetId="17" hidden="1">'Anh To'!$A$3:$J$70</definedName>
    <definedName name="Z_61959E49_C4BC_41CB_B0BE_7EDA73DE356A_.wvu.FilterData" localSheetId="20" hidden="1">'Anh Tran'!$A$7:$J$70</definedName>
    <definedName name="Z_61959E49_C4BC_41CB_B0BE_7EDA73DE356A_.wvu.FilterData" localSheetId="24" hidden="1">'Bich Do'!$A$3:$J$70</definedName>
    <definedName name="Z_61959E49_C4BC_41CB_B0BE_7EDA73DE356A_.wvu.FilterData" localSheetId="4" hidden="1">'CBL Score Standard'!$A$3:$P$63</definedName>
    <definedName name="Z_61959E49_C4BC_41CB_B0BE_7EDA73DE356A_.wvu.FilterData" localSheetId="22" hidden="1">Chinh.Tran!$A$3:$J$70</definedName>
    <definedName name="Z_61959E49_C4BC_41CB_B0BE_7EDA73DE356A_.wvu.FilterData" localSheetId="8" hidden="1">'Cuong Truong'!$A$3:$J$70</definedName>
    <definedName name="Z_61959E49_C4BC_41CB_B0BE_7EDA73DE356A_.wvu.FilterData" localSheetId="7" hidden="1">'Duong Nguyen'!$A$7:$G$67</definedName>
    <definedName name="Z_61959E49_C4BC_41CB_B0BE_7EDA73DE356A_.wvu.FilterData" localSheetId="14" hidden="1">'Duyen Pham'!$A$3:$J$70</definedName>
    <definedName name="Z_61959E49_C4BC_41CB_B0BE_7EDA73DE356A_.wvu.FilterData" localSheetId="21" hidden="1">Ha.Han!$A$7:$G$66</definedName>
    <definedName name="Z_61959E49_C4BC_41CB_B0BE_7EDA73DE356A_.wvu.FilterData" localSheetId="12" hidden="1">'Hien Tran'!$A$7:$G$67</definedName>
    <definedName name="Z_61959E49_C4BC_41CB_B0BE_7EDA73DE356A_.wvu.FilterData" localSheetId="11" hidden="1">'Khanh Ha'!$A$7:$G$67</definedName>
    <definedName name="Z_61959E49_C4BC_41CB_B0BE_7EDA73DE356A_.wvu.FilterData" localSheetId="18" hidden="1">'Mai Le'!$A$7:$G$67</definedName>
    <definedName name="Z_61959E49_C4BC_41CB_B0BE_7EDA73DE356A_.wvu.FilterData" localSheetId="10" hidden="1">'Na Nguyen'!$A$3:$J$70</definedName>
    <definedName name="Z_61959E49_C4BC_41CB_B0BE_7EDA73DE356A_.wvu.FilterData" localSheetId="23" hidden="1">'Phuong Nguyen'!$A$3:$J$70</definedName>
    <definedName name="Z_61959E49_C4BC_41CB_B0BE_7EDA73DE356A_.wvu.FilterData" localSheetId="1" hidden="1">Summary!$A$2:$AX$85</definedName>
    <definedName name="Z_61959E49_C4BC_41CB_B0BE_7EDA73DE356A_.wvu.FilterData" localSheetId="5" hidden="1">Template!$A$7:$G$67</definedName>
    <definedName name="Z_61959E49_C4BC_41CB_B0BE_7EDA73DE356A_.wvu.FilterData" localSheetId="16" hidden="1">Thanh5.nguyen!$A$7:$G$66</definedName>
    <definedName name="Z_61959E49_C4BC_41CB_B0BE_7EDA73DE356A_.wvu.FilterData" localSheetId="9" hidden="1">'Thuy Dang'!$A$3:$J$70</definedName>
    <definedName name="Z_61959E49_C4BC_41CB_B0BE_7EDA73DE356A_.wvu.FilterData" localSheetId="6" hidden="1">'Truong Dao'!$A$3:$J$70</definedName>
    <definedName name="Z_61959E49_C4BC_41CB_B0BE_7EDA73DE356A_.wvu.FilterData" localSheetId="25" hidden="1">Tuan4.nguyen!$A$7:$G$66</definedName>
    <definedName name="Z_61959E49_C4BC_41CB_B0BE_7EDA73DE356A_.wvu.FilterData" localSheetId="13" hidden="1">'Tung Tran'!$A$3:$J$70</definedName>
    <definedName name="Z_61959E49_C4BC_41CB_B0BE_7EDA73DE356A_.wvu.FilterData" localSheetId="15" hidden="1">yen2.nguyen!$A$7:$G$66</definedName>
    <definedName name="Z_6D9FC8F7_6352_4BF1_890A_27BF36FADC03_.wvu.FilterData" localSheetId="17" hidden="1">'Anh To'!$A$3:$J$70</definedName>
    <definedName name="Z_6D9FC8F7_6352_4BF1_890A_27BF36FADC03_.wvu.FilterData" localSheetId="20" hidden="1">'Anh Tran'!$A$7:$J$70</definedName>
    <definedName name="Z_6D9FC8F7_6352_4BF1_890A_27BF36FADC03_.wvu.FilterData" localSheetId="24" hidden="1">'Bich Do'!$A$3:$J$70</definedName>
    <definedName name="Z_6D9FC8F7_6352_4BF1_890A_27BF36FADC03_.wvu.FilterData" localSheetId="4" hidden="1">'CBL Score Standard'!$A$2:$P$59</definedName>
    <definedName name="Z_6D9FC8F7_6352_4BF1_890A_27BF36FADC03_.wvu.FilterData" localSheetId="22" hidden="1">Chinh.Tran!$A$3:$J$70</definedName>
    <definedName name="Z_6D9FC8F7_6352_4BF1_890A_27BF36FADC03_.wvu.FilterData" localSheetId="8" hidden="1">'Cuong Truong'!$A$3:$J$70</definedName>
    <definedName name="Z_6D9FC8F7_6352_4BF1_890A_27BF36FADC03_.wvu.FilterData" localSheetId="14" hidden="1">'Duyen Pham'!$A$3:$J$70</definedName>
    <definedName name="Z_6D9FC8F7_6352_4BF1_890A_27BF36FADC03_.wvu.FilterData" localSheetId="21" hidden="1">Ha.Han!$A$7:$G$66</definedName>
    <definedName name="Z_6D9FC8F7_6352_4BF1_890A_27BF36FADC03_.wvu.FilterData" localSheetId="12" hidden="1">'Hien Tran'!$A$7:$G$67</definedName>
    <definedName name="Z_6D9FC8F7_6352_4BF1_890A_27BF36FADC03_.wvu.FilterData" localSheetId="19" hidden="1">Huyen2.Nguyen!$A$7:$G$25</definedName>
    <definedName name="Z_6D9FC8F7_6352_4BF1_890A_27BF36FADC03_.wvu.FilterData" localSheetId="11" hidden="1">'Khanh Ha'!$A$7:$G$67</definedName>
    <definedName name="Z_6D9FC8F7_6352_4BF1_890A_27BF36FADC03_.wvu.FilterData" localSheetId="18" hidden="1">'Mai Le'!$A$7:$G$67</definedName>
    <definedName name="Z_6D9FC8F7_6352_4BF1_890A_27BF36FADC03_.wvu.FilterData" localSheetId="10" hidden="1">'Na Nguyen'!$A$3:$J$70</definedName>
    <definedName name="Z_6D9FC8F7_6352_4BF1_890A_27BF36FADC03_.wvu.FilterData" localSheetId="23" hidden="1">'Phuong Nguyen'!$A$3:$J$70</definedName>
    <definedName name="Z_6D9FC8F7_6352_4BF1_890A_27BF36FADC03_.wvu.FilterData" localSheetId="1" hidden="1">Summary!$A$2:$AX$85</definedName>
    <definedName name="Z_6D9FC8F7_6352_4BF1_890A_27BF36FADC03_.wvu.FilterData" localSheetId="5" hidden="1">Template!$A$7:$G$67</definedName>
    <definedName name="Z_6D9FC8F7_6352_4BF1_890A_27BF36FADC03_.wvu.FilterData" localSheetId="16" hidden="1">Thanh5.nguyen!$A$7:$G$66</definedName>
    <definedName name="Z_6D9FC8F7_6352_4BF1_890A_27BF36FADC03_.wvu.FilterData" localSheetId="9" hidden="1">'Thuy Dang'!$A$3:$J$70</definedName>
    <definedName name="Z_6D9FC8F7_6352_4BF1_890A_27BF36FADC03_.wvu.FilterData" localSheetId="6" hidden="1">'Truong Dao'!$A$3:$J$70</definedName>
    <definedName name="Z_6D9FC8F7_6352_4BF1_890A_27BF36FADC03_.wvu.FilterData" localSheetId="25" hidden="1">Tuan4.nguyen!$A$7:$G$66</definedName>
    <definedName name="Z_6D9FC8F7_6352_4BF1_890A_27BF36FADC03_.wvu.FilterData" localSheetId="13" hidden="1">'Tung Tran'!$A$3:$J$70</definedName>
    <definedName name="Z_6D9FC8F7_6352_4BF1_890A_27BF36FADC03_.wvu.FilterData" localSheetId="15" hidden="1">yen2.nguyen!$A$7:$G$66</definedName>
    <definedName name="Z_75C2060D_FB35_413B_813E_1C426ED5BBBF_.wvu.FilterData" localSheetId="21" hidden="1">Ha.Han!$A$7:$G$66</definedName>
    <definedName name="Z_75C2060D_FB35_413B_813E_1C426ED5BBBF_.wvu.FilterData" localSheetId="16" hidden="1">Thanh5.nguyen!$A$7:$G$66</definedName>
    <definedName name="Z_75C2060D_FB35_413B_813E_1C426ED5BBBF_.wvu.FilterData" localSheetId="15" hidden="1">yen2.nguyen!$A$7:$G$66</definedName>
    <definedName name="Z_78A3FCA9_B42A_4373_BD0C_D235556CB5DF_.wvu.FilterData" localSheetId="8" hidden="1">'Cuong Truong'!$A$3:$J$70</definedName>
    <definedName name="Z_78A3FCA9_B42A_4373_BD0C_D235556CB5DF_.wvu.FilterData" localSheetId="14" hidden="1">'Duyen Pham'!$A$3:$J$70</definedName>
    <definedName name="Z_8E6236C1_A6AD_469B_9A17_1E09C4C318A0_.wvu.FilterData" localSheetId="17" hidden="1">'Anh To'!$A$3:$J$70</definedName>
    <definedName name="Z_8E6236C1_A6AD_469B_9A17_1E09C4C318A0_.wvu.FilterData" localSheetId="7" hidden="1">'Duong Nguyen'!$A$7:$G$67</definedName>
    <definedName name="Z_8E6236C1_A6AD_469B_9A17_1E09C4C318A0_.wvu.FilterData" localSheetId="21" hidden="1">Ha.Han!$A$7:$G$66</definedName>
    <definedName name="Z_8E6236C1_A6AD_469B_9A17_1E09C4C318A0_.wvu.FilterData" localSheetId="12" hidden="1">'Hien Tran'!$A$7:$G$67</definedName>
    <definedName name="Z_8E6236C1_A6AD_469B_9A17_1E09C4C318A0_.wvu.FilterData" localSheetId="11" hidden="1">'Khanh Ha'!$A$7:$G$67</definedName>
    <definedName name="Z_8E6236C1_A6AD_469B_9A17_1E09C4C318A0_.wvu.FilterData" localSheetId="18" hidden="1">'Mai Le'!$A$7:$G$67</definedName>
    <definedName name="Z_8E6236C1_A6AD_469B_9A17_1E09C4C318A0_.wvu.FilterData" localSheetId="5" hidden="1">Template!$A$7:$G$67</definedName>
    <definedName name="Z_8E6236C1_A6AD_469B_9A17_1E09C4C318A0_.wvu.FilterData" localSheetId="16" hidden="1">Thanh5.nguyen!$A$7:$G$66</definedName>
    <definedName name="Z_8E6236C1_A6AD_469B_9A17_1E09C4C318A0_.wvu.FilterData" localSheetId="25" hidden="1">Tuan4.nguyen!$A$7:$G$66</definedName>
    <definedName name="Z_8E6236C1_A6AD_469B_9A17_1E09C4C318A0_.wvu.FilterData" localSheetId="13" hidden="1">'Tung Tran'!$A$3:$J$70</definedName>
    <definedName name="Z_8E6236C1_A6AD_469B_9A17_1E09C4C318A0_.wvu.FilterData" localSheetId="15" hidden="1">yen2.nguyen!$A$7:$G$66</definedName>
    <definedName name="Z_9F775BAE_2403_40FE_95E3_B0411D9A7170_.wvu.Cols" localSheetId="14" hidden="1">'Duyen Pham'!#REF!</definedName>
    <definedName name="Z_9F775BAE_2403_40FE_95E3_B0411D9A7170_.wvu.Cols" localSheetId="10" hidden="1">'Na Nguyen'!#REF!</definedName>
    <definedName name="Z_9F775BAE_2403_40FE_95E3_B0411D9A7170_.wvu.Cols" localSheetId="6" hidden="1">'Truong Dao'!#REF!</definedName>
    <definedName name="Z_9F775BAE_2403_40FE_95E3_B0411D9A7170_.wvu.FilterData" localSheetId="17" hidden="1">'Anh To'!$A$3:$J$70</definedName>
    <definedName name="Z_9F775BAE_2403_40FE_95E3_B0411D9A7170_.wvu.FilterData" localSheetId="20" hidden="1">'Anh Tran'!$A$7:$J$70</definedName>
    <definedName name="Z_9F775BAE_2403_40FE_95E3_B0411D9A7170_.wvu.FilterData" localSheetId="24" hidden="1">'Bich Do'!$A$3:$J$70</definedName>
    <definedName name="Z_9F775BAE_2403_40FE_95E3_B0411D9A7170_.wvu.FilterData" localSheetId="4" hidden="1">'CBL Score Standard'!$A$3:$P$63</definedName>
    <definedName name="Z_9F775BAE_2403_40FE_95E3_B0411D9A7170_.wvu.FilterData" localSheetId="22" hidden="1">Chinh.Tran!$A$3:$J$70</definedName>
    <definedName name="Z_9F775BAE_2403_40FE_95E3_B0411D9A7170_.wvu.FilterData" localSheetId="8" hidden="1">'Cuong Truong'!$A$3:$J$70</definedName>
    <definedName name="Z_9F775BAE_2403_40FE_95E3_B0411D9A7170_.wvu.FilterData" localSheetId="7" hidden="1">'Duong Nguyen'!$A$7:$G$67</definedName>
    <definedName name="Z_9F775BAE_2403_40FE_95E3_B0411D9A7170_.wvu.FilterData" localSheetId="14" hidden="1">'Duyen Pham'!$A$3:$J$70</definedName>
    <definedName name="Z_9F775BAE_2403_40FE_95E3_B0411D9A7170_.wvu.FilterData" localSheetId="21" hidden="1">Ha.Han!$A$7:$G$66</definedName>
    <definedName name="Z_9F775BAE_2403_40FE_95E3_B0411D9A7170_.wvu.FilterData" localSheetId="12" hidden="1">'Hien Tran'!$A$7:$G$67</definedName>
    <definedName name="Z_9F775BAE_2403_40FE_95E3_B0411D9A7170_.wvu.FilterData" localSheetId="11" hidden="1">'Khanh Ha'!$A$7:$G$67</definedName>
    <definedName name="Z_9F775BAE_2403_40FE_95E3_B0411D9A7170_.wvu.FilterData" localSheetId="18" hidden="1">'Mai Le'!$A$7:$G$67</definedName>
    <definedName name="Z_9F775BAE_2403_40FE_95E3_B0411D9A7170_.wvu.FilterData" localSheetId="10" hidden="1">'Na Nguyen'!$A$3:$J$70</definedName>
    <definedName name="Z_9F775BAE_2403_40FE_95E3_B0411D9A7170_.wvu.FilterData" localSheetId="23" hidden="1">'Phuong Nguyen'!$A$3:$J$70</definedName>
    <definedName name="Z_9F775BAE_2403_40FE_95E3_B0411D9A7170_.wvu.FilterData" localSheetId="1" hidden="1">Summary!$A$2:$AX$85</definedName>
    <definedName name="Z_9F775BAE_2403_40FE_95E3_B0411D9A7170_.wvu.FilterData" localSheetId="5" hidden="1">Template!$A$7:$G$67</definedName>
    <definedName name="Z_9F775BAE_2403_40FE_95E3_B0411D9A7170_.wvu.FilterData" localSheetId="16" hidden="1">Thanh5.nguyen!$A$7:$G$66</definedName>
    <definedName name="Z_9F775BAE_2403_40FE_95E3_B0411D9A7170_.wvu.FilterData" localSheetId="9" hidden="1">'Thuy Dang'!$A$3:$J$70</definedName>
    <definedName name="Z_9F775BAE_2403_40FE_95E3_B0411D9A7170_.wvu.FilterData" localSheetId="6" hidden="1">'Truong Dao'!$A$3:$J$70</definedName>
    <definedName name="Z_9F775BAE_2403_40FE_95E3_B0411D9A7170_.wvu.FilterData" localSheetId="25" hidden="1">Tuan4.nguyen!$A$7:$G$66</definedName>
    <definedName name="Z_9F775BAE_2403_40FE_95E3_B0411D9A7170_.wvu.FilterData" localSheetId="13" hidden="1">'Tung Tran'!$A$3:$J$70</definedName>
    <definedName name="Z_9F775BAE_2403_40FE_95E3_B0411D9A7170_.wvu.FilterData" localSheetId="15" hidden="1">yen2.nguyen!$A$7:$G$66</definedName>
    <definedName name="Z_B9E7682A_072E_4CF9_AE10_B3ED27CB27F8_.wvu.Cols" localSheetId="14" hidden="1">'Duyen Pham'!#REF!</definedName>
    <definedName name="Z_B9E7682A_072E_4CF9_AE10_B3ED27CB27F8_.wvu.Cols" localSheetId="10" hidden="1">'Na Nguyen'!#REF!</definedName>
    <definedName name="Z_B9E7682A_072E_4CF9_AE10_B3ED27CB27F8_.wvu.Cols" localSheetId="6" hidden="1">'Truong Dao'!#REF!</definedName>
    <definedName name="Z_B9E7682A_072E_4CF9_AE10_B3ED27CB27F8_.wvu.FilterData" localSheetId="17" hidden="1">'Anh To'!$A$3:$J$70</definedName>
    <definedName name="Z_B9E7682A_072E_4CF9_AE10_B3ED27CB27F8_.wvu.FilterData" localSheetId="20" hidden="1">'Anh Tran'!$A$7:$J$70</definedName>
    <definedName name="Z_B9E7682A_072E_4CF9_AE10_B3ED27CB27F8_.wvu.FilterData" localSheetId="24" hidden="1">'Bich Do'!$A$3:$J$70</definedName>
    <definedName name="Z_B9E7682A_072E_4CF9_AE10_B3ED27CB27F8_.wvu.FilterData" localSheetId="4" hidden="1">'CBL Score Standard'!$A$3:$P$63</definedName>
    <definedName name="Z_B9E7682A_072E_4CF9_AE10_B3ED27CB27F8_.wvu.FilterData" localSheetId="22" hidden="1">Chinh.Tran!$A$3:$J$70</definedName>
    <definedName name="Z_B9E7682A_072E_4CF9_AE10_B3ED27CB27F8_.wvu.FilterData" localSheetId="8" hidden="1">'Cuong Truong'!$A$3:$J$70</definedName>
    <definedName name="Z_B9E7682A_072E_4CF9_AE10_B3ED27CB27F8_.wvu.FilterData" localSheetId="7" hidden="1">'Duong Nguyen'!$A$7:$G$67</definedName>
    <definedName name="Z_B9E7682A_072E_4CF9_AE10_B3ED27CB27F8_.wvu.FilterData" localSheetId="14" hidden="1">'Duyen Pham'!$A$3:$J$70</definedName>
    <definedName name="Z_B9E7682A_072E_4CF9_AE10_B3ED27CB27F8_.wvu.FilterData" localSheetId="21" hidden="1">Ha.Han!$A$7:$G$66</definedName>
    <definedName name="Z_B9E7682A_072E_4CF9_AE10_B3ED27CB27F8_.wvu.FilterData" localSheetId="12" hidden="1">'Hien Tran'!$A$7:$G$67</definedName>
    <definedName name="Z_B9E7682A_072E_4CF9_AE10_B3ED27CB27F8_.wvu.FilterData" localSheetId="11" hidden="1">'Khanh Ha'!$A$7:$G$67</definedName>
    <definedName name="Z_B9E7682A_072E_4CF9_AE10_B3ED27CB27F8_.wvu.FilterData" localSheetId="18" hidden="1">'Mai Le'!$A$7:$G$67</definedName>
    <definedName name="Z_B9E7682A_072E_4CF9_AE10_B3ED27CB27F8_.wvu.FilterData" localSheetId="10" hidden="1">'Na Nguyen'!$A$3:$J$70</definedName>
    <definedName name="Z_B9E7682A_072E_4CF9_AE10_B3ED27CB27F8_.wvu.FilterData" localSheetId="23" hidden="1">'Phuong Nguyen'!$A$3:$J$70</definedName>
    <definedName name="Z_B9E7682A_072E_4CF9_AE10_B3ED27CB27F8_.wvu.FilterData" localSheetId="1" hidden="1">Summary!$A$2:$AX$85</definedName>
    <definedName name="Z_B9E7682A_072E_4CF9_AE10_B3ED27CB27F8_.wvu.FilterData" localSheetId="5" hidden="1">Template!$A$7:$G$67</definedName>
    <definedName name="Z_B9E7682A_072E_4CF9_AE10_B3ED27CB27F8_.wvu.FilterData" localSheetId="16" hidden="1">Thanh5.nguyen!$A$7:$G$66</definedName>
    <definedName name="Z_B9E7682A_072E_4CF9_AE10_B3ED27CB27F8_.wvu.FilterData" localSheetId="9" hidden="1">'Thuy Dang'!$A$3:$J$70</definedName>
    <definedName name="Z_B9E7682A_072E_4CF9_AE10_B3ED27CB27F8_.wvu.FilterData" localSheetId="6" hidden="1">'Truong Dao'!$A$3:$J$70</definedName>
    <definedName name="Z_B9E7682A_072E_4CF9_AE10_B3ED27CB27F8_.wvu.FilterData" localSheetId="25" hidden="1">Tuan4.nguyen!$A$7:$G$66</definedName>
    <definedName name="Z_B9E7682A_072E_4CF9_AE10_B3ED27CB27F8_.wvu.FilterData" localSheetId="13" hidden="1">'Tung Tran'!$A$3:$J$70</definedName>
    <definedName name="Z_B9E7682A_072E_4CF9_AE10_B3ED27CB27F8_.wvu.FilterData" localSheetId="15" hidden="1">yen2.nguyen!$A$7:$G$66</definedName>
    <definedName name="Z_BB2525BD_788E_49C0_B452_CE1B5DA55806_.wvu.FilterData" localSheetId="20" hidden="1">'Anh Tran'!$A$7:$J$70</definedName>
    <definedName name="Z_BB2525BD_788E_49C0_B452_CE1B5DA55806_.wvu.FilterData" localSheetId="10" hidden="1">'Na Nguyen'!$A$3:$J$70</definedName>
    <definedName name="Z_BB2525BD_788E_49C0_B452_CE1B5DA55806_.wvu.FilterData" localSheetId="9" hidden="1">'Thuy Dang'!$A$3:$J$70</definedName>
    <definedName name="Z_DCB1135E_445D_4A86_AA21_C0E2973836B1_.wvu.FilterData" localSheetId="17" hidden="1">'Anh To'!$A$3:$J$70</definedName>
    <definedName name="Z_DCB1135E_445D_4A86_AA21_C0E2973836B1_.wvu.FilterData" localSheetId="20" hidden="1">'Anh Tran'!$A$7:$J$70</definedName>
    <definedName name="Z_DF2632B4_1565_47B3_BDEF_087FD52A09D0_.wvu.FilterData" localSheetId="20" hidden="1">'Anh Tran'!$A$7:$J$70</definedName>
    <definedName name="Z_DF2632B4_1565_47B3_BDEF_087FD52A09D0_.wvu.FilterData" localSheetId="9" hidden="1">'Thuy Dang'!$A$3:$J$70</definedName>
  </definedNames>
  <calcPr calcId="152511"/>
  <customWorkbookViews>
    <customWorkbookView name="diemhang.nguyen - Personal View" guid="{6D9FC8F7-6352-4BF1-890A-27BF36FADC03}" mergeInterval="0" personalView="1" maximized="1" xWindow="-9" yWindow="-9" windowWidth="1938" windowHeight="1048" tabRatio="843" activeSheetId="2"/>
    <customWorkbookView name="honglien.nguyen - Personal View" guid="{040B64FF-F135-4C7F-9498-A8399C10673D}" mergeInterval="0" personalView="1" maximized="1" xWindow="-9" yWindow="-9" windowWidth="1938" windowHeight="1048" tabRatio="820" activeSheetId="2"/>
    <customWorkbookView name="diu.le - Personal View" guid="{3F51B73C-8999-4BDD-B7BB-CFA8C5D5F118}" mergeInterval="0" personalView="1" maximized="1" xWindow="1911" yWindow="-9" windowWidth="1938" windowHeight="1048" tabRatio="843" activeSheetId="9"/>
    <customWorkbookView name="tuoi.pham - Personal View" guid="{61959E49-C4BC-41CB-B0BE-7EDA73DE356A}" mergeInterval="0" personalView="1" maximized="1" xWindow="1912" yWindow="-8" windowWidth="1936" windowHeight="1096" tabRatio="862" activeSheetId="27"/>
    <customWorkbookView name="dao.huynh - Personal View" guid="{9F775BAE-2403-40FE-95E3-B0411D9A7170}" mergeInterval="0" personalView="1" maximized="1" xWindow="-1928" yWindow="-8" windowWidth="1936" windowHeight="1096" tabRatio="862" activeSheetId="24"/>
    <customWorkbookView name="linh.truong - Personal View" guid="{B9E7682A-072E-4CF9-AE10-B3ED27CB27F8}" mergeInterval="0" personalView="1" maximized="1" xWindow="-8" yWindow="-8" windowWidth="1936" windowHeight="1056" tabRatio="862" activeSheetId="61"/>
    <customWorkbookView name="trang.dao - Personal View" guid="{3BEDB203-29A8-4A82-B140-5CE8D0753F8B}" mergeInterval="0" personalView="1" maximized="1" xWindow="1912" yWindow="-8" windowWidth="1936" windowHeight="1056" tabRatio="820" activeSheetId="60"/>
  </customWorkbookViews>
  <pivotCaches>
    <pivotCache cacheId="0" r:id="rId27"/>
    <pivotCache cacheId="1" r:id="rId2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5" i="68" l="1"/>
  <c r="I65" i="68"/>
  <c r="J64" i="68"/>
  <c r="I64" i="68"/>
  <c r="J63" i="68"/>
  <c r="I63" i="68"/>
  <c r="J62" i="68"/>
  <c r="I62" i="68"/>
  <c r="J61" i="68"/>
  <c r="I61" i="68"/>
  <c r="J60" i="68"/>
  <c r="I60" i="68"/>
  <c r="J59" i="68"/>
  <c r="I59" i="68"/>
  <c r="J58" i="68"/>
  <c r="I58" i="68"/>
  <c r="J57" i="68"/>
  <c r="I57" i="68"/>
  <c r="J56" i="68"/>
  <c r="I56" i="68"/>
  <c r="J55" i="68"/>
  <c r="I55" i="68"/>
  <c r="J54" i="68"/>
  <c r="I54" i="68"/>
  <c r="J53" i="68"/>
  <c r="I53" i="68"/>
  <c r="J52" i="68"/>
  <c r="I52" i="68"/>
  <c r="J51" i="68"/>
  <c r="I51" i="68"/>
  <c r="J50" i="68"/>
  <c r="I50" i="68"/>
  <c r="J49" i="68"/>
  <c r="I49" i="68"/>
  <c r="J48" i="68"/>
  <c r="I48" i="68"/>
  <c r="J47" i="68"/>
  <c r="I47" i="68"/>
  <c r="J46" i="68"/>
  <c r="I46" i="68"/>
  <c r="J45" i="68"/>
  <c r="I45" i="68"/>
  <c r="J44" i="68"/>
  <c r="I44" i="68"/>
  <c r="J43" i="68"/>
  <c r="I43" i="68"/>
  <c r="J42" i="68"/>
  <c r="I42" i="68"/>
  <c r="J41" i="68"/>
  <c r="I41" i="68"/>
  <c r="J40" i="68"/>
  <c r="I40" i="68"/>
  <c r="J39" i="68"/>
  <c r="I39" i="68"/>
  <c r="J38" i="68"/>
  <c r="I38" i="68"/>
  <c r="J37" i="68"/>
  <c r="I37" i="68"/>
  <c r="J36" i="68"/>
  <c r="I36" i="68"/>
  <c r="J35" i="68"/>
  <c r="I35" i="68"/>
  <c r="J34" i="68"/>
  <c r="I34" i="68"/>
  <c r="J33" i="68"/>
  <c r="I33" i="68"/>
  <c r="J32" i="68"/>
  <c r="I32" i="68"/>
  <c r="J31" i="68"/>
  <c r="I31" i="68"/>
  <c r="J30" i="68"/>
  <c r="I30" i="68"/>
  <c r="J29" i="68"/>
  <c r="I29" i="68"/>
  <c r="J28" i="68"/>
  <c r="I28" i="68"/>
  <c r="J27" i="68"/>
  <c r="I27" i="68"/>
  <c r="J26" i="68"/>
  <c r="I26" i="68"/>
  <c r="J25" i="68"/>
  <c r="I25" i="68"/>
  <c r="J24" i="68"/>
  <c r="I24" i="68"/>
  <c r="J23" i="68"/>
  <c r="I23" i="68"/>
  <c r="J22" i="68"/>
  <c r="I22" i="68"/>
  <c r="J21" i="68"/>
  <c r="I21" i="68"/>
  <c r="J20" i="68"/>
  <c r="I20" i="68"/>
  <c r="J19" i="68"/>
  <c r="I19" i="68"/>
  <c r="J18" i="68"/>
  <c r="I18" i="68"/>
  <c r="J17" i="68"/>
  <c r="I17" i="68"/>
  <c r="J16" i="68"/>
  <c r="I16" i="68"/>
  <c r="J15" i="68"/>
  <c r="I15" i="68"/>
  <c r="J14" i="68"/>
  <c r="I14" i="68"/>
  <c r="J13" i="68"/>
  <c r="I13" i="68"/>
  <c r="J12" i="68"/>
  <c r="I12" i="68"/>
  <c r="J11" i="68"/>
  <c r="I11" i="68"/>
  <c r="J10" i="68"/>
  <c r="I10" i="68"/>
  <c r="J9" i="68"/>
  <c r="I9" i="68"/>
  <c r="J8" i="68"/>
  <c r="I8" i="68"/>
  <c r="J65" i="78"/>
  <c r="I65" i="78"/>
  <c r="J64" i="78"/>
  <c r="I64" i="78"/>
  <c r="J63" i="78"/>
  <c r="I63" i="78"/>
  <c r="J62" i="78"/>
  <c r="I62" i="78"/>
  <c r="J61" i="78"/>
  <c r="I61" i="78"/>
  <c r="J60" i="78"/>
  <c r="I60" i="78"/>
  <c r="J59" i="78"/>
  <c r="I59" i="78"/>
  <c r="J58" i="78"/>
  <c r="I58" i="78"/>
  <c r="J57" i="78"/>
  <c r="I57" i="78"/>
  <c r="J56" i="78"/>
  <c r="I56" i="78"/>
  <c r="J55" i="78"/>
  <c r="I55" i="78"/>
  <c r="J54" i="78"/>
  <c r="I54" i="78"/>
  <c r="J53" i="78"/>
  <c r="I53" i="78"/>
  <c r="J52" i="78"/>
  <c r="I52" i="78"/>
  <c r="J51" i="78"/>
  <c r="I51" i="78"/>
  <c r="J50" i="78"/>
  <c r="I50" i="78"/>
  <c r="J49" i="78"/>
  <c r="I49" i="78"/>
  <c r="J48" i="78"/>
  <c r="I48" i="78"/>
  <c r="J47" i="78"/>
  <c r="I47" i="78"/>
  <c r="J46" i="78"/>
  <c r="I46" i="78"/>
  <c r="J45" i="78"/>
  <c r="I45" i="78"/>
  <c r="J44" i="78"/>
  <c r="I44" i="78"/>
  <c r="J43" i="78"/>
  <c r="I43" i="78"/>
  <c r="J42" i="78"/>
  <c r="I42" i="78"/>
  <c r="J41" i="78"/>
  <c r="I41" i="78"/>
  <c r="J40" i="78"/>
  <c r="I40" i="78"/>
  <c r="J39" i="78"/>
  <c r="I39" i="78"/>
  <c r="J38" i="78"/>
  <c r="I38" i="78"/>
  <c r="J37" i="78"/>
  <c r="I37" i="78"/>
  <c r="J36" i="78"/>
  <c r="I36" i="78"/>
  <c r="J35" i="78"/>
  <c r="I35" i="78"/>
  <c r="J34" i="78"/>
  <c r="I34" i="78"/>
  <c r="J33" i="78"/>
  <c r="I33" i="78"/>
  <c r="J32" i="78"/>
  <c r="I32" i="78"/>
  <c r="J31" i="78"/>
  <c r="I31" i="78"/>
  <c r="J30" i="78"/>
  <c r="I30" i="78"/>
  <c r="J29" i="78"/>
  <c r="I29" i="78"/>
  <c r="J28" i="78"/>
  <c r="I28" i="78"/>
  <c r="J27" i="78"/>
  <c r="I27" i="78"/>
  <c r="J26" i="78"/>
  <c r="I26" i="78"/>
  <c r="J25" i="78"/>
  <c r="I25" i="78"/>
  <c r="J24" i="78"/>
  <c r="I24" i="78"/>
  <c r="J23" i="78"/>
  <c r="I23" i="78"/>
  <c r="J22" i="78"/>
  <c r="I22" i="78"/>
  <c r="J21" i="78"/>
  <c r="I21" i="78"/>
  <c r="J20" i="78"/>
  <c r="I20" i="78"/>
  <c r="J19" i="78"/>
  <c r="I19" i="78"/>
  <c r="J18" i="78"/>
  <c r="I18" i="78"/>
  <c r="J17" i="78"/>
  <c r="I17" i="78"/>
  <c r="J16" i="78"/>
  <c r="I16" i="78"/>
  <c r="J15" i="78"/>
  <c r="I15" i="78"/>
  <c r="J14" i="78"/>
  <c r="I14" i="78"/>
  <c r="J13" i="78"/>
  <c r="I13" i="78"/>
  <c r="J12" i="78"/>
  <c r="I12" i="78"/>
  <c r="J11" i="78"/>
  <c r="I11" i="78"/>
  <c r="J10" i="78"/>
  <c r="I10" i="78"/>
  <c r="J9" i="78"/>
  <c r="I9" i="78"/>
  <c r="J8" i="78"/>
  <c r="I8" i="78"/>
  <c r="J65" i="77"/>
  <c r="I65" i="77"/>
  <c r="J64" i="77"/>
  <c r="I64" i="77"/>
  <c r="J63" i="77"/>
  <c r="I63" i="77"/>
  <c r="J62" i="77"/>
  <c r="I62" i="77"/>
  <c r="J61" i="77"/>
  <c r="I61" i="77"/>
  <c r="J60" i="77"/>
  <c r="I60" i="77"/>
  <c r="J59" i="77"/>
  <c r="I59" i="77"/>
  <c r="J58" i="77"/>
  <c r="I58" i="77"/>
  <c r="J57" i="77"/>
  <c r="I57" i="77"/>
  <c r="J56" i="77"/>
  <c r="I56" i="77"/>
  <c r="J55" i="77"/>
  <c r="I55" i="77"/>
  <c r="J54" i="77"/>
  <c r="I54" i="77"/>
  <c r="J53" i="77"/>
  <c r="I53" i="77"/>
  <c r="J52" i="77"/>
  <c r="I52" i="77"/>
  <c r="J51" i="77"/>
  <c r="I51" i="77"/>
  <c r="J50" i="77"/>
  <c r="I50" i="77"/>
  <c r="J49" i="77"/>
  <c r="I49" i="77"/>
  <c r="J48" i="77"/>
  <c r="I48" i="77"/>
  <c r="J47" i="77"/>
  <c r="I47" i="77"/>
  <c r="J46" i="77"/>
  <c r="I46" i="77"/>
  <c r="J45" i="77"/>
  <c r="I45" i="77"/>
  <c r="J44" i="77"/>
  <c r="I44" i="77"/>
  <c r="J43" i="77"/>
  <c r="I43" i="77"/>
  <c r="J42" i="77"/>
  <c r="I42" i="77"/>
  <c r="J41" i="77"/>
  <c r="I41" i="77"/>
  <c r="J40" i="77"/>
  <c r="I40" i="77"/>
  <c r="J39" i="77"/>
  <c r="I39" i="77"/>
  <c r="J38" i="77"/>
  <c r="I38" i="77"/>
  <c r="J37" i="77"/>
  <c r="I37" i="77"/>
  <c r="J36" i="77"/>
  <c r="I36" i="77"/>
  <c r="J35" i="77"/>
  <c r="I35" i="77"/>
  <c r="J34" i="77"/>
  <c r="I34" i="77"/>
  <c r="J33" i="77"/>
  <c r="I33" i="77"/>
  <c r="J32" i="77"/>
  <c r="I32" i="77"/>
  <c r="J31" i="77"/>
  <c r="I31" i="77"/>
  <c r="J30" i="77"/>
  <c r="I30" i="77"/>
  <c r="J29" i="77"/>
  <c r="I29" i="77"/>
  <c r="J28" i="77"/>
  <c r="I28" i="77"/>
  <c r="J27" i="77"/>
  <c r="I27" i="77"/>
  <c r="J26" i="77"/>
  <c r="I26" i="77"/>
  <c r="J25" i="77"/>
  <c r="I25" i="77"/>
  <c r="J24" i="77"/>
  <c r="I24" i="77"/>
  <c r="J23" i="77"/>
  <c r="I23" i="77"/>
  <c r="J22" i="77"/>
  <c r="I22" i="77"/>
  <c r="J21" i="77"/>
  <c r="I21" i="77"/>
  <c r="J20" i="77"/>
  <c r="I20" i="77"/>
  <c r="J19" i="77"/>
  <c r="I19" i="77"/>
  <c r="J18" i="77"/>
  <c r="I18" i="77"/>
  <c r="J17" i="77"/>
  <c r="I17" i="77"/>
  <c r="J16" i="77"/>
  <c r="I16" i="77"/>
  <c r="J15" i="77"/>
  <c r="I15" i="77"/>
  <c r="J14" i="77"/>
  <c r="I14" i="77"/>
  <c r="J13" i="77"/>
  <c r="I13" i="77"/>
  <c r="J12" i="77"/>
  <c r="I12" i="77"/>
  <c r="J11" i="77"/>
  <c r="I11" i="77"/>
  <c r="J10" i="77"/>
  <c r="I10" i="77"/>
  <c r="J9" i="77"/>
  <c r="I9" i="77"/>
  <c r="J8" i="77"/>
  <c r="I8" i="77"/>
  <c r="J65" i="95"/>
  <c r="I65" i="95"/>
  <c r="J64" i="95"/>
  <c r="I64" i="95"/>
  <c r="J63" i="95"/>
  <c r="I63" i="95"/>
  <c r="J62" i="95"/>
  <c r="I62" i="95"/>
  <c r="J61" i="95"/>
  <c r="I61" i="95"/>
  <c r="J60" i="95"/>
  <c r="I60" i="95"/>
  <c r="J59" i="95"/>
  <c r="I59" i="95"/>
  <c r="J58" i="95"/>
  <c r="I58" i="95"/>
  <c r="J57" i="95"/>
  <c r="I57" i="95"/>
  <c r="J56" i="95"/>
  <c r="I56" i="95"/>
  <c r="J55" i="95"/>
  <c r="I55" i="95"/>
  <c r="J54" i="95"/>
  <c r="I54" i="95"/>
  <c r="J53" i="95"/>
  <c r="I53" i="95"/>
  <c r="J52" i="95"/>
  <c r="I52" i="95"/>
  <c r="J51" i="95"/>
  <c r="I51" i="95"/>
  <c r="J50" i="95"/>
  <c r="I50" i="95"/>
  <c r="J49" i="95"/>
  <c r="I49" i="95"/>
  <c r="J48" i="95"/>
  <c r="I48" i="95"/>
  <c r="J47" i="95"/>
  <c r="I47" i="95"/>
  <c r="J46" i="95"/>
  <c r="I46" i="95"/>
  <c r="J45" i="95"/>
  <c r="I45" i="95"/>
  <c r="J44" i="95"/>
  <c r="I44" i="95"/>
  <c r="J43" i="95"/>
  <c r="I43" i="95"/>
  <c r="J42" i="95"/>
  <c r="I42" i="95"/>
  <c r="J41" i="95"/>
  <c r="I41" i="95"/>
  <c r="J40" i="95"/>
  <c r="I40" i="95"/>
  <c r="J39" i="95"/>
  <c r="I39" i="95"/>
  <c r="J38" i="95"/>
  <c r="I38" i="95"/>
  <c r="J37" i="95"/>
  <c r="I37" i="95"/>
  <c r="J36" i="95"/>
  <c r="I36" i="95"/>
  <c r="J35" i="95"/>
  <c r="I35" i="95"/>
  <c r="J34" i="95"/>
  <c r="I34" i="95"/>
  <c r="J33" i="95"/>
  <c r="I33" i="95"/>
  <c r="J32" i="95"/>
  <c r="I32" i="95"/>
  <c r="J31" i="95"/>
  <c r="I31" i="95"/>
  <c r="J30" i="95"/>
  <c r="I30" i="95"/>
  <c r="J29" i="95"/>
  <c r="I29" i="95"/>
  <c r="J28" i="95"/>
  <c r="I28" i="95"/>
  <c r="J27" i="95"/>
  <c r="I27" i="95"/>
  <c r="J26" i="95"/>
  <c r="I26" i="95"/>
  <c r="J25" i="95"/>
  <c r="I25" i="95"/>
  <c r="J24" i="95"/>
  <c r="I24" i="95"/>
  <c r="J23" i="95"/>
  <c r="I23" i="95"/>
  <c r="J22" i="95"/>
  <c r="I22" i="95"/>
  <c r="J21" i="95"/>
  <c r="I21" i="95"/>
  <c r="J20" i="95"/>
  <c r="I20" i="95"/>
  <c r="J19" i="95"/>
  <c r="I19" i="95"/>
  <c r="J18" i="95"/>
  <c r="I18" i="95"/>
  <c r="J17" i="95"/>
  <c r="I17" i="95"/>
  <c r="J16" i="95"/>
  <c r="I16" i="95"/>
  <c r="J15" i="95"/>
  <c r="I15" i="95"/>
  <c r="J14" i="95"/>
  <c r="I14" i="95"/>
  <c r="J13" i="95"/>
  <c r="I13" i="95"/>
  <c r="J12" i="95"/>
  <c r="I12" i="95"/>
  <c r="J11" i="95"/>
  <c r="I11" i="95"/>
  <c r="J10" i="95"/>
  <c r="I10" i="95"/>
  <c r="J9" i="95"/>
  <c r="I9" i="95"/>
  <c r="J8" i="95"/>
  <c r="I8" i="95"/>
  <c r="J65" i="127"/>
  <c r="I65" i="127"/>
  <c r="J64" i="127"/>
  <c r="I64" i="127"/>
  <c r="J63" i="127"/>
  <c r="I63" i="127"/>
  <c r="J62" i="127"/>
  <c r="I62" i="127"/>
  <c r="J61" i="127"/>
  <c r="I61" i="127"/>
  <c r="J60" i="127"/>
  <c r="I60" i="127"/>
  <c r="J59" i="127"/>
  <c r="I59" i="127"/>
  <c r="J58" i="127"/>
  <c r="I58" i="127"/>
  <c r="J57" i="127"/>
  <c r="I57" i="127"/>
  <c r="J56" i="127"/>
  <c r="I56" i="127"/>
  <c r="J55" i="127"/>
  <c r="I55" i="127"/>
  <c r="J54" i="127"/>
  <c r="I54" i="127"/>
  <c r="J53" i="127"/>
  <c r="I53" i="127"/>
  <c r="J52" i="127"/>
  <c r="I52" i="127"/>
  <c r="J51" i="127"/>
  <c r="I51" i="127"/>
  <c r="J50" i="127"/>
  <c r="I50" i="127"/>
  <c r="J49" i="127"/>
  <c r="I49" i="127"/>
  <c r="J48" i="127"/>
  <c r="I48" i="127"/>
  <c r="J47" i="127"/>
  <c r="I47" i="127"/>
  <c r="J46" i="127"/>
  <c r="I46" i="127"/>
  <c r="J45" i="127"/>
  <c r="I45" i="127"/>
  <c r="J44" i="127"/>
  <c r="I44" i="127"/>
  <c r="J43" i="127"/>
  <c r="I43" i="127"/>
  <c r="J42" i="127"/>
  <c r="I42" i="127"/>
  <c r="J41" i="127"/>
  <c r="I41" i="127"/>
  <c r="J40" i="127"/>
  <c r="I40" i="127"/>
  <c r="J39" i="127"/>
  <c r="I39" i="127"/>
  <c r="J38" i="127"/>
  <c r="I38" i="127"/>
  <c r="J37" i="127"/>
  <c r="I37" i="127"/>
  <c r="J36" i="127"/>
  <c r="I36" i="127"/>
  <c r="J35" i="127"/>
  <c r="I35" i="127"/>
  <c r="J34" i="127"/>
  <c r="I34" i="127"/>
  <c r="J33" i="127"/>
  <c r="I33" i="127"/>
  <c r="J32" i="127"/>
  <c r="I32" i="127"/>
  <c r="J31" i="127"/>
  <c r="I31" i="127"/>
  <c r="J30" i="127"/>
  <c r="I30" i="127"/>
  <c r="J29" i="127"/>
  <c r="I29" i="127"/>
  <c r="J28" i="127"/>
  <c r="I28" i="127"/>
  <c r="J27" i="127"/>
  <c r="I27" i="127"/>
  <c r="J26" i="127"/>
  <c r="I26" i="127"/>
  <c r="J25" i="127"/>
  <c r="I25" i="127"/>
  <c r="J24" i="127"/>
  <c r="I24" i="127"/>
  <c r="J23" i="127"/>
  <c r="I23" i="127"/>
  <c r="J22" i="127"/>
  <c r="I22" i="127"/>
  <c r="J21" i="127"/>
  <c r="I21" i="127"/>
  <c r="J20" i="127"/>
  <c r="I20" i="127"/>
  <c r="J19" i="127"/>
  <c r="I19" i="127"/>
  <c r="J18" i="127"/>
  <c r="I18" i="127"/>
  <c r="J17" i="127"/>
  <c r="I17" i="127"/>
  <c r="J16" i="127"/>
  <c r="I16" i="127"/>
  <c r="J15" i="127"/>
  <c r="I15" i="127"/>
  <c r="J14" i="127"/>
  <c r="I14" i="127"/>
  <c r="J13" i="127"/>
  <c r="I13" i="127"/>
  <c r="J12" i="127"/>
  <c r="I12" i="127"/>
  <c r="J11" i="127"/>
  <c r="I11" i="127"/>
  <c r="J10" i="127"/>
  <c r="I10" i="127"/>
  <c r="J9" i="127"/>
  <c r="I9" i="127"/>
  <c r="J8" i="127"/>
  <c r="I8" i="127"/>
  <c r="J65" i="74"/>
  <c r="I65" i="74"/>
  <c r="J64" i="74"/>
  <c r="I64" i="74"/>
  <c r="J63" i="74"/>
  <c r="I63" i="74"/>
  <c r="J62" i="74"/>
  <c r="I62" i="74"/>
  <c r="J61" i="74"/>
  <c r="I61" i="74"/>
  <c r="J60" i="74"/>
  <c r="I60" i="74"/>
  <c r="J59" i="74"/>
  <c r="I59" i="74"/>
  <c r="J58" i="74"/>
  <c r="I58" i="74"/>
  <c r="J57" i="74"/>
  <c r="I57" i="74"/>
  <c r="J56" i="74"/>
  <c r="I56" i="74"/>
  <c r="J55" i="74"/>
  <c r="I55" i="74"/>
  <c r="J54" i="74"/>
  <c r="I54" i="74"/>
  <c r="J53" i="74"/>
  <c r="I53" i="74"/>
  <c r="J52" i="74"/>
  <c r="I52" i="74"/>
  <c r="J51" i="74"/>
  <c r="I51" i="74"/>
  <c r="J50" i="74"/>
  <c r="I50" i="74"/>
  <c r="J49" i="74"/>
  <c r="I49" i="74"/>
  <c r="J48" i="74"/>
  <c r="I48" i="74"/>
  <c r="J47" i="74"/>
  <c r="I47" i="74"/>
  <c r="J46" i="74"/>
  <c r="I46" i="74"/>
  <c r="J45" i="74"/>
  <c r="I45" i="74"/>
  <c r="J44" i="74"/>
  <c r="I44" i="74"/>
  <c r="J43" i="74"/>
  <c r="I43" i="74"/>
  <c r="J42" i="74"/>
  <c r="I42" i="74"/>
  <c r="J41" i="74"/>
  <c r="I41" i="74"/>
  <c r="J40" i="74"/>
  <c r="I40" i="74"/>
  <c r="J39" i="74"/>
  <c r="I39" i="74"/>
  <c r="J38" i="74"/>
  <c r="I38" i="74"/>
  <c r="J37" i="74"/>
  <c r="I37" i="74"/>
  <c r="J36" i="74"/>
  <c r="I36" i="74"/>
  <c r="J35" i="74"/>
  <c r="I35" i="74"/>
  <c r="J34" i="74"/>
  <c r="I34" i="74"/>
  <c r="J33" i="74"/>
  <c r="I33" i="74"/>
  <c r="J32" i="74"/>
  <c r="I32" i="74"/>
  <c r="J31" i="74"/>
  <c r="I31" i="74"/>
  <c r="J30" i="74"/>
  <c r="I30" i="74"/>
  <c r="J29" i="74"/>
  <c r="I29" i="74"/>
  <c r="J28" i="74"/>
  <c r="I28" i="74"/>
  <c r="J27" i="74"/>
  <c r="I27" i="74"/>
  <c r="J26" i="74"/>
  <c r="I26" i="74"/>
  <c r="J25" i="74"/>
  <c r="I25" i="74"/>
  <c r="J24" i="74"/>
  <c r="I24" i="74"/>
  <c r="J23" i="74"/>
  <c r="I23" i="74"/>
  <c r="J22" i="74"/>
  <c r="I22" i="74"/>
  <c r="J21" i="74"/>
  <c r="I21" i="74"/>
  <c r="J20" i="74"/>
  <c r="I20" i="74"/>
  <c r="J19" i="74"/>
  <c r="I19" i="74"/>
  <c r="J18" i="74"/>
  <c r="I18" i="74"/>
  <c r="J17" i="74"/>
  <c r="I17" i="74"/>
  <c r="J16" i="74"/>
  <c r="I16" i="74"/>
  <c r="J15" i="74"/>
  <c r="I15" i="74"/>
  <c r="J14" i="74"/>
  <c r="I14" i="74"/>
  <c r="J13" i="74"/>
  <c r="I13" i="74"/>
  <c r="J12" i="74"/>
  <c r="I12" i="74"/>
  <c r="J11" i="74"/>
  <c r="I11" i="74"/>
  <c r="J10" i="74"/>
  <c r="I10" i="74"/>
  <c r="J9" i="74"/>
  <c r="I9" i="74"/>
  <c r="J8" i="74"/>
  <c r="I8" i="74"/>
  <c r="J65" i="96"/>
  <c r="I65" i="96"/>
  <c r="J64" i="96"/>
  <c r="I64" i="96"/>
  <c r="J63" i="96"/>
  <c r="I63" i="96"/>
  <c r="J62" i="96"/>
  <c r="I62" i="96"/>
  <c r="J61" i="96"/>
  <c r="I61" i="96"/>
  <c r="J60" i="96"/>
  <c r="I60" i="96"/>
  <c r="J59" i="96"/>
  <c r="I59" i="96"/>
  <c r="J58" i="96"/>
  <c r="I58" i="96"/>
  <c r="J57" i="96"/>
  <c r="I57" i="96"/>
  <c r="J56" i="96"/>
  <c r="I56" i="96"/>
  <c r="J55" i="96"/>
  <c r="I55" i="96"/>
  <c r="J54" i="96"/>
  <c r="I54" i="96"/>
  <c r="J53" i="96"/>
  <c r="I53" i="96"/>
  <c r="J52" i="96"/>
  <c r="I52" i="96"/>
  <c r="J51" i="96"/>
  <c r="I51" i="96"/>
  <c r="J50" i="96"/>
  <c r="I50" i="96"/>
  <c r="J49" i="96"/>
  <c r="I49" i="96"/>
  <c r="J48" i="96"/>
  <c r="I48" i="96"/>
  <c r="J47" i="96"/>
  <c r="I47" i="96"/>
  <c r="J46" i="96"/>
  <c r="I46" i="96"/>
  <c r="J45" i="96"/>
  <c r="I45" i="96"/>
  <c r="J44" i="96"/>
  <c r="I44" i="96"/>
  <c r="J43" i="96"/>
  <c r="I43" i="96"/>
  <c r="J42" i="96"/>
  <c r="I42" i="96"/>
  <c r="J41" i="96"/>
  <c r="I41" i="96"/>
  <c r="J40" i="96"/>
  <c r="I40" i="96"/>
  <c r="J39" i="96"/>
  <c r="I39" i="96"/>
  <c r="J38" i="96"/>
  <c r="I38" i="96"/>
  <c r="J37" i="96"/>
  <c r="I37" i="96"/>
  <c r="J36" i="96"/>
  <c r="I36" i="96"/>
  <c r="J35" i="96"/>
  <c r="I35" i="96"/>
  <c r="J34" i="96"/>
  <c r="I34" i="96"/>
  <c r="J33" i="96"/>
  <c r="I33" i="96"/>
  <c r="J32" i="96"/>
  <c r="I32" i="96"/>
  <c r="J31" i="96"/>
  <c r="I31" i="96"/>
  <c r="J30" i="96"/>
  <c r="I30" i="96"/>
  <c r="J29" i="96"/>
  <c r="I29" i="96"/>
  <c r="J28" i="96"/>
  <c r="I28" i="96"/>
  <c r="J27" i="96"/>
  <c r="I27" i="96"/>
  <c r="J26" i="96"/>
  <c r="I26" i="96"/>
  <c r="J25" i="96"/>
  <c r="I25" i="96"/>
  <c r="J24" i="96"/>
  <c r="I24" i="96"/>
  <c r="J23" i="96"/>
  <c r="I23" i="96"/>
  <c r="J22" i="96"/>
  <c r="I22" i="96"/>
  <c r="J21" i="96"/>
  <c r="I21" i="96"/>
  <c r="J20" i="96"/>
  <c r="I20" i="96"/>
  <c r="J19" i="96"/>
  <c r="I19" i="96"/>
  <c r="J18" i="96"/>
  <c r="I18" i="96"/>
  <c r="J17" i="96"/>
  <c r="I17" i="96"/>
  <c r="J16" i="96"/>
  <c r="I16" i="96"/>
  <c r="J15" i="96"/>
  <c r="I15" i="96"/>
  <c r="J14" i="96"/>
  <c r="I14" i="96"/>
  <c r="J13" i="96"/>
  <c r="I13" i="96"/>
  <c r="J12" i="96"/>
  <c r="I12" i="96"/>
  <c r="J11" i="96"/>
  <c r="I11" i="96"/>
  <c r="J10" i="96"/>
  <c r="I10" i="96"/>
  <c r="J9" i="96"/>
  <c r="I9" i="96"/>
  <c r="J8" i="96"/>
  <c r="I8" i="96"/>
  <c r="J65" i="10"/>
  <c r="I65" i="10"/>
  <c r="J64" i="10"/>
  <c r="I64" i="10"/>
  <c r="J63" i="10"/>
  <c r="I63" i="10"/>
  <c r="J62" i="10"/>
  <c r="I62" i="10"/>
  <c r="J61" i="10"/>
  <c r="I61" i="10"/>
  <c r="J60" i="10"/>
  <c r="I60" i="10"/>
  <c r="J59" i="10"/>
  <c r="I59" i="10"/>
  <c r="J58" i="10"/>
  <c r="I58" i="10"/>
  <c r="J57" i="10"/>
  <c r="I57" i="10"/>
  <c r="J56" i="10"/>
  <c r="I56" i="10"/>
  <c r="J55" i="10"/>
  <c r="I55" i="10"/>
  <c r="J54" i="10"/>
  <c r="I54" i="10"/>
  <c r="J53" i="10"/>
  <c r="I53" i="10"/>
  <c r="J52" i="10"/>
  <c r="I52" i="10"/>
  <c r="J51" i="10"/>
  <c r="I51" i="10"/>
  <c r="J50" i="10"/>
  <c r="I50" i="10"/>
  <c r="J49" i="10"/>
  <c r="I49" i="10"/>
  <c r="J48" i="10"/>
  <c r="I48" i="10"/>
  <c r="J47" i="10"/>
  <c r="I47" i="10"/>
  <c r="J46" i="10"/>
  <c r="I46" i="10"/>
  <c r="J45" i="10"/>
  <c r="I45" i="10"/>
  <c r="J44" i="10"/>
  <c r="I44" i="10"/>
  <c r="J43" i="10"/>
  <c r="I43" i="10"/>
  <c r="J42" i="10"/>
  <c r="I42" i="10"/>
  <c r="J41" i="10"/>
  <c r="I41" i="10"/>
  <c r="J40" i="10"/>
  <c r="I40" i="10"/>
  <c r="J39" i="10"/>
  <c r="I39" i="10"/>
  <c r="J38" i="10"/>
  <c r="I38" i="10"/>
  <c r="J37" i="10"/>
  <c r="I37" i="10"/>
  <c r="J36" i="10"/>
  <c r="I36" i="10"/>
  <c r="J35" i="10"/>
  <c r="I35" i="10"/>
  <c r="J34" i="10"/>
  <c r="I34" i="10"/>
  <c r="J33" i="10"/>
  <c r="I33" i="10"/>
  <c r="J32" i="10"/>
  <c r="I32" i="10"/>
  <c r="J31" i="10"/>
  <c r="I31" i="10"/>
  <c r="J30" i="10"/>
  <c r="I30" i="10"/>
  <c r="J29" i="10"/>
  <c r="I29" i="10"/>
  <c r="J28" i="10"/>
  <c r="I28" i="10"/>
  <c r="J27" i="10"/>
  <c r="I27" i="10"/>
  <c r="J26" i="10"/>
  <c r="I26" i="10"/>
  <c r="J25" i="10"/>
  <c r="I25" i="10"/>
  <c r="J24" i="10"/>
  <c r="I24" i="10"/>
  <c r="J23" i="10"/>
  <c r="I23" i="10"/>
  <c r="J22" i="10"/>
  <c r="I22" i="10"/>
  <c r="J21" i="10"/>
  <c r="I21" i="10"/>
  <c r="J20" i="10"/>
  <c r="I20" i="10"/>
  <c r="J19" i="10"/>
  <c r="I19" i="10"/>
  <c r="J18" i="10"/>
  <c r="I18" i="10"/>
  <c r="J17" i="10"/>
  <c r="I17" i="10"/>
  <c r="J16" i="10"/>
  <c r="I16" i="10"/>
  <c r="J15" i="10"/>
  <c r="I15" i="10"/>
  <c r="J14" i="10"/>
  <c r="I14" i="10"/>
  <c r="J13" i="10"/>
  <c r="I13" i="10"/>
  <c r="J12" i="10"/>
  <c r="I12" i="10"/>
  <c r="J11" i="10"/>
  <c r="I11" i="10"/>
  <c r="J10" i="10"/>
  <c r="I10" i="10"/>
  <c r="J9" i="10"/>
  <c r="I9" i="10"/>
  <c r="J8" i="10"/>
  <c r="I8" i="10"/>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J18" i="84"/>
  <c r="I18" i="84"/>
  <c r="J17" i="84"/>
  <c r="I17" i="84"/>
  <c r="J16" i="84"/>
  <c r="I16" i="84"/>
  <c r="J15" i="84"/>
  <c r="I15" i="84"/>
  <c r="J14" i="84"/>
  <c r="I14" i="84"/>
  <c r="J13" i="84"/>
  <c r="I13" i="84"/>
  <c r="J12" i="84"/>
  <c r="I12" i="84"/>
  <c r="J11" i="84"/>
  <c r="I11" i="84"/>
  <c r="J10" i="84"/>
  <c r="I10" i="84"/>
  <c r="J9" i="84"/>
  <c r="I9" i="84"/>
  <c r="J8" i="84"/>
  <c r="I8" i="84"/>
  <c r="J65" i="113"/>
  <c r="I65" i="113"/>
  <c r="J64" i="113"/>
  <c r="I64" i="113"/>
  <c r="J63" i="113"/>
  <c r="I63" i="113"/>
  <c r="J62" i="113"/>
  <c r="I62" i="113"/>
  <c r="J61" i="113"/>
  <c r="I61" i="113"/>
  <c r="J60" i="113"/>
  <c r="I60" i="113"/>
  <c r="J59" i="113"/>
  <c r="I59" i="113"/>
  <c r="J58" i="113"/>
  <c r="I58" i="113"/>
  <c r="J57" i="113"/>
  <c r="I57" i="113"/>
  <c r="J56" i="113"/>
  <c r="I56" i="113"/>
  <c r="J55" i="113"/>
  <c r="I55" i="113"/>
  <c r="J54" i="113"/>
  <c r="I54" i="113"/>
  <c r="J53" i="113"/>
  <c r="I53" i="113"/>
  <c r="J52" i="113"/>
  <c r="I52" i="113"/>
  <c r="J51" i="113"/>
  <c r="I51" i="113"/>
  <c r="J50" i="113"/>
  <c r="I50" i="113"/>
  <c r="J49" i="113"/>
  <c r="I49" i="113"/>
  <c r="J48" i="113"/>
  <c r="I48" i="113"/>
  <c r="J47" i="113"/>
  <c r="I47" i="113"/>
  <c r="J46" i="113"/>
  <c r="I46" i="113"/>
  <c r="J45" i="113"/>
  <c r="I45" i="113"/>
  <c r="J44" i="113"/>
  <c r="I44" i="113"/>
  <c r="J43" i="113"/>
  <c r="I43" i="113"/>
  <c r="J42" i="113"/>
  <c r="I42" i="113"/>
  <c r="J41" i="113"/>
  <c r="I41" i="113"/>
  <c r="J40" i="113"/>
  <c r="I40" i="113"/>
  <c r="J39" i="113"/>
  <c r="I39" i="113"/>
  <c r="J38" i="113"/>
  <c r="I38" i="113"/>
  <c r="J37" i="113"/>
  <c r="I37" i="113"/>
  <c r="J36" i="113"/>
  <c r="I36" i="113"/>
  <c r="J35" i="113"/>
  <c r="I35" i="113"/>
  <c r="J34" i="113"/>
  <c r="I34" i="113"/>
  <c r="J33" i="113"/>
  <c r="I33" i="113"/>
  <c r="J32" i="113"/>
  <c r="I32" i="113"/>
  <c r="J31" i="113"/>
  <c r="I31" i="113"/>
  <c r="J30" i="113"/>
  <c r="I30" i="113"/>
  <c r="J29" i="113"/>
  <c r="I29" i="113"/>
  <c r="J28" i="113"/>
  <c r="I28" i="113"/>
  <c r="J27" i="113"/>
  <c r="I27" i="113"/>
  <c r="J26" i="113"/>
  <c r="I26" i="113"/>
  <c r="J25" i="113"/>
  <c r="I25" i="113"/>
  <c r="J24" i="113"/>
  <c r="I24" i="113"/>
  <c r="J23" i="113"/>
  <c r="I23" i="113"/>
  <c r="J22" i="113"/>
  <c r="I22" i="113"/>
  <c r="J21" i="113"/>
  <c r="I21" i="113"/>
  <c r="J20" i="113"/>
  <c r="I20" i="113"/>
  <c r="J19" i="113"/>
  <c r="I19" i="113"/>
  <c r="J18" i="113"/>
  <c r="I18" i="113"/>
  <c r="J17" i="113"/>
  <c r="I17" i="113"/>
  <c r="J16" i="113"/>
  <c r="I16" i="113"/>
  <c r="J15" i="113"/>
  <c r="I15" i="113"/>
  <c r="J14" i="113"/>
  <c r="I14" i="113"/>
  <c r="J13" i="113"/>
  <c r="I13" i="113"/>
  <c r="J12" i="113"/>
  <c r="I12" i="113"/>
  <c r="J11" i="113"/>
  <c r="I11" i="113"/>
  <c r="J10" i="113"/>
  <c r="I10" i="113"/>
  <c r="J9" i="113"/>
  <c r="I9" i="113"/>
  <c r="J8" i="113"/>
  <c r="I8" i="113"/>
  <c r="J65" i="125"/>
  <c r="I65" i="125"/>
  <c r="J64" i="125"/>
  <c r="I64" i="125"/>
  <c r="J63" i="125"/>
  <c r="I63" i="125"/>
  <c r="J62" i="125"/>
  <c r="I62" i="125"/>
  <c r="J61" i="125"/>
  <c r="I61" i="125"/>
  <c r="J60" i="125"/>
  <c r="I60" i="125"/>
  <c r="J59" i="125"/>
  <c r="I59" i="125"/>
  <c r="J58" i="125"/>
  <c r="I58" i="125"/>
  <c r="J57" i="125"/>
  <c r="I57" i="125"/>
  <c r="J56" i="125"/>
  <c r="I56" i="125"/>
  <c r="J55" i="125"/>
  <c r="I55" i="125"/>
  <c r="J54" i="125"/>
  <c r="I54" i="125"/>
  <c r="J53" i="125"/>
  <c r="I53" i="125"/>
  <c r="J52" i="125"/>
  <c r="I52" i="125"/>
  <c r="J51" i="125"/>
  <c r="I51" i="125"/>
  <c r="J50" i="125"/>
  <c r="I50" i="125"/>
  <c r="J49" i="125"/>
  <c r="I49" i="125"/>
  <c r="J48" i="125"/>
  <c r="I48" i="125"/>
  <c r="J47" i="125"/>
  <c r="I47" i="125"/>
  <c r="J46" i="125"/>
  <c r="I46" i="125"/>
  <c r="J45" i="125"/>
  <c r="I45" i="125"/>
  <c r="J44" i="125"/>
  <c r="I44" i="125"/>
  <c r="J43" i="125"/>
  <c r="I43" i="125"/>
  <c r="J42" i="125"/>
  <c r="I42" i="125"/>
  <c r="J41" i="125"/>
  <c r="I41" i="125"/>
  <c r="J40" i="125"/>
  <c r="I40" i="125"/>
  <c r="J39" i="125"/>
  <c r="I39" i="125"/>
  <c r="J38" i="125"/>
  <c r="I38" i="125"/>
  <c r="J37" i="125"/>
  <c r="I37" i="125"/>
  <c r="J36" i="125"/>
  <c r="I36" i="125"/>
  <c r="J35" i="125"/>
  <c r="I35" i="125"/>
  <c r="J34" i="125"/>
  <c r="I34" i="125"/>
  <c r="J33" i="125"/>
  <c r="I33" i="125"/>
  <c r="J32" i="125"/>
  <c r="I32" i="125"/>
  <c r="J31" i="125"/>
  <c r="I31" i="125"/>
  <c r="J30" i="125"/>
  <c r="I30" i="125"/>
  <c r="J29" i="125"/>
  <c r="I29" i="125"/>
  <c r="J28" i="125"/>
  <c r="I28" i="125"/>
  <c r="J27" i="125"/>
  <c r="I27" i="125"/>
  <c r="J26" i="125"/>
  <c r="I26" i="125"/>
  <c r="J25" i="125"/>
  <c r="I25" i="125"/>
  <c r="J24" i="125"/>
  <c r="I24" i="125"/>
  <c r="J23" i="125"/>
  <c r="I23" i="125"/>
  <c r="J22" i="125"/>
  <c r="I22" i="125"/>
  <c r="J21" i="125"/>
  <c r="I21" i="125"/>
  <c r="J20" i="125"/>
  <c r="I20" i="125"/>
  <c r="J19" i="125"/>
  <c r="I19" i="125"/>
  <c r="J18" i="125"/>
  <c r="I18" i="125"/>
  <c r="J17" i="125"/>
  <c r="I17" i="125"/>
  <c r="J16" i="125"/>
  <c r="I16" i="125"/>
  <c r="J15" i="125"/>
  <c r="I15" i="125"/>
  <c r="J14" i="125"/>
  <c r="I14" i="125"/>
  <c r="J13" i="125"/>
  <c r="I13" i="125"/>
  <c r="J12" i="125"/>
  <c r="I12" i="125"/>
  <c r="J11" i="125"/>
  <c r="I11" i="125"/>
  <c r="J10" i="125"/>
  <c r="I10" i="125"/>
  <c r="J9" i="125"/>
  <c r="I9" i="125"/>
  <c r="J8" i="125"/>
  <c r="I8" i="125"/>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65" i="90"/>
  <c r="I65" i="90"/>
  <c r="J64" i="90"/>
  <c r="I64" i="90"/>
  <c r="J63" i="90"/>
  <c r="I63" i="90"/>
  <c r="J62" i="90"/>
  <c r="I62" i="90"/>
  <c r="J61" i="90"/>
  <c r="I61" i="90"/>
  <c r="J60" i="90"/>
  <c r="I60" i="90"/>
  <c r="J59" i="90"/>
  <c r="I59" i="90"/>
  <c r="J58" i="90"/>
  <c r="I58" i="90"/>
  <c r="J57" i="90"/>
  <c r="I57" i="90"/>
  <c r="J56" i="90"/>
  <c r="I56" i="90"/>
  <c r="J55" i="90"/>
  <c r="I55" i="90"/>
  <c r="J54" i="90"/>
  <c r="I54" i="90"/>
  <c r="J53" i="90"/>
  <c r="I53" i="90"/>
  <c r="J52" i="90"/>
  <c r="I52" i="90"/>
  <c r="J51" i="90"/>
  <c r="I51" i="90"/>
  <c r="J50" i="90"/>
  <c r="I50" i="90"/>
  <c r="J49" i="90"/>
  <c r="I49" i="90"/>
  <c r="J48" i="90"/>
  <c r="I48" i="90"/>
  <c r="J47" i="90"/>
  <c r="I47" i="90"/>
  <c r="J46" i="90"/>
  <c r="I46" i="90"/>
  <c r="J45" i="90"/>
  <c r="I45" i="90"/>
  <c r="J44" i="90"/>
  <c r="I44" i="90"/>
  <c r="J43" i="90"/>
  <c r="I43" i="90"/>
  <c r="J42" i="90"/>
  <c r="I42" i="90"/>
  <c r="J41" i="90"/>
  <c r="I41" i="90"/>
  <c r="J40" i="90"/>
  <c r="I40" i="90"/>
  <c r="J39" i="90"/>
  <c r="I39" i="90"/>
  <c r="J38" i="90"/>
  <c r="I38" i="90"/>
  <c r="J37" i="90"/>
  <c r="I37" i="90"/>
  <c r="J36" i="90"/>
  <c r="I36" i="90"/>
  <c r="J35" i="90"/>
  <c r="I35" i="90"/>
  <c r="J34" i="90"/>
  <c r="I34" i="90"/>
  <c r="J33" i="90"/>
  <c r="I33" i="90"/>
  <c r="J32" i="90"/>
  <c r="I32" i="90"/>
  <c r="J31" i="90"/>
  <c r="I31" i="90"/>
  <c r="J30" i="90"/>
  <c r="I30" i="90"/>
  <c r="J29" i="90"/>
  <c r="I29" i="90"/>
  <c r="J28" i="90"/>
  <c r="I28" i="90"/>
  <c r="J27" i="90"/>
  <c r="I27" i="90"/>
  <c r="J26" i="90"/>
  <c r="I26" i="90"/>
  <c r="J25" i="90"/>
  <c r="I25" i="90"/>
  <c r="J24" i="90"/>
  <c r="I24" i="90"/>
  <c r="J23" i="90"/>
  <c r="I23" i="90"/>
  <c r="J22" i="90"/>
  <c r="I22" i="90"/>
  <c r="J21" i="90"/>
  <c r="I21" i="90"/>
  <c r="J20" i="90"/>
  <c r="I20" i="90"/>
  <c r="J19" i="90"/>
  <c r="I19" i="90"/>
  <c r="J18" i="90"/>
  <c r="I18" i="90"/>
  <c r="J17" i="90"/>
  <c r="I17" i="90"/>
  <c r="J16" i="90"/>
  <c r="I16" i="90"/>
  <c r="J15" i="90"/>
  <c r="I15" i="90"/>
  <c r="J14" i="90"/>
  <c r="I14" i="90"/>
  <c r="J13" i="90"/>
  <c r="I13" i="90"/>
  <c r="J12" i="90"/>
  <c r="I12" i="90"/>
  <c r="J11" i="90"/>
  <c r="I11" i="90"/>
  <c r="J10" i="90"/>
  <c r="I10" i="90"/>
  <c r="J9" i="90"/>
  <c r="I9" i="90"/>
  <c r="J8" i="90"/>
  <c r="I8" i="90"/>
  <c r="J65" i="9"/>
  <c r="I65" i="9"/>
  <c r="J64" i="9"/>
  <c r="I64" i="9"/>
  <c r="J63" i="9"/>
  <c r="I63" i="9"/>
  <c r="J62" i="9"/>
  <c r="I62" i="9"/>
  <c r="J61" i="9"/>
  <c r="I61" i="9"/>
  <c r="J60" i="9"/>
  <c r="I60" i="9"/>
  <c r="J59" i="9"/>
  <c r="I59" i="9"/>
  <c r="J58" i="9"/>
  <c r="I58" i="9"/>
  <c r="J57" i="9"/>
  <c r="I57" i="9"/>
  <c r="J56" i="9"/>
  <c r="I56" i="9"/>
  <c r="J55" i="9"/>
  <c r="I55" i="9"/>
  <c r="J54" i="9"/>
  <c r="I54" i="9"/>
  <c r="J53" i="9"/>
  <c r="I53" i="9"/>
  <c r="J52" i="9"/>
  <c r="I52" i="9"/>
  <c r="J51" i="9"/>
  <c r="I51" i="9"/>
  <c r="J50" i="9"/>
  <c r="I50" i="9"/>
  <c r="J49" i="9"/>
  <c r="I49" i="9"/>
  <c r="J48" i="9"/>
  <c r="I48" i="9"/>
  <c r="J47" i="9"/>
  <c r="I47" i="9"/>
  <c r="J46" i="9"/>
  <c r="I46" i="9"/>
  <c r="J45" i="9"/>
  <c r="I45" i="9"/>
  <c r="J44" i="9"/>
  <c r="I44" i="9"/>
  <c r="J43" i="9"/>
  <c r="I43" i="9"/>
  <c r="J42" i="9"/>
  <c r="I42" i="9"/>
  <c r="J41" i="9"/>
  <c r="I41" i="9"/>
  <c r="J40" i="9"/>
  <c r="I40" i="9"/>
  <c r="J39" i="9"/>
  <c r="I39" i="9"/>
  <c r="J38" i="9"/>
  <c r="I38" i="9"/>
  <c r="J37" i="9"/>
  <c r="I37" i="9"/>
  <c r="J36" i="9"/>
  <c r="I36" i="9"/>
  <c r="J35" i="9"/>
  <c r="I35" i="9"/>
  <c r="J34" i="9"/>
  <c r="I34" i="9"/>
  <c r="J33" i="9"/>
  <c r="I33" i="9"/>
  <c r="J32" i="9"/>
  <c r="I32" i="9"/>
  <c r="J31" i="9"/>
  <c r="I31" i="9"/>
  <c r="J30" i="9"/>
  <c r="I30" i="9"/>
  <c r="J29" i="9"/>
  <c r="I29" i="9"/>
  <c r="J28" i="9"/>
  <c r="I28" i="9"/>
  <c r="J27" i="9"/>
  <c r="I27" i="9"/>
  <c r="J26" i="9"/>
  <c r="I26" i="9"/>
  <c r="J25" i="9"/>
  <c r="I25" i="9"/>
  <c r="J24" i="9"/>
  <c r="I24" i="9"/>
  <c r="J23" i="9"/>
  <c r="I23" i="9"/>
  <c r="J22" i="9"/>
  <c r="I22" i="9"/>
  <c r="J21" i="9"/>
  <c r="I21" i="9"/>
  <c r="J20" i="9"/>
  <c r="I20" i="9"/>
  <c r="J19" i="9"/>
  <c r="I19" i="9"/>
  <c r="J18" i="9"/>
  <c r="I18" i="9"/>
  <c r="J17" i="9"/>
  <c r="I17" i="9"/>
  <c r="J16" i="9"/>
  <c r="I16" i="9"/>
  <c r="J15" i="9"/>
  <c r="I15" i="9"/>
  <c r="J14" i="9"/>
  <c r="I14" i="9"/>
  <c r="J13" i="9"/>
  <c r="I13" i="9"/>
  <c r="J12" i="9"/>
  <c r="I12" i="9"/>
  <c r="J11" i="9"/>
  <c r="I11" i="9"/>
  <c r="J10" i="9"/>
  <c r="I10" i="9"/>
  <c r="J9" i="9"/>
  <c r="I9" i="9"/>
  <c r="J8" i="9"/>
  <c r="I8" i="9"/>
  <c r="J65" i="52"/>
  <c r="I65" i="52"/>
  <c r="J64" i="52"/>
  <c r="I64" i="52"/>
  <c r="J63" i="52"/>
  <c r="I63" i="52"/>
  <c r="J62" i="52"/>
  <c r="I62" i="52"/>
  <c r="J61" i="52"/>
  <c r="I61" i="52"/>
  <c r="J60" i="52"/>
  <c r="I60" i="52"/>
  <c r="J59" i="52"/>
  <c r="I59" i="52"/>
  <c r="J58" i="52"/>
  <c r="I58" i="52"/>
  <c r="J57" i="52"/>
  <c r="I57" i="52"/>
  <c r="J56" i="52"/>
  <c r="I56" i="52"/>
  <c r="J55" i="52"/>
  <c r="I55" i="52"/>
  <c r="J54" i="52"/>
  <c r="I54" i="52"/>
  <c r="J53" i="52"/>
  <c r="I53" i="52"/>
  <c r="J52" i="52"/>
  <c r="I52" i="52"/>
  <c r="J51" i="52"/>
  <c r="I51" i="52"/>
  <c r="J50" i="52"/>
  <c r="I50" i="52"/>
  <c r="J49" i="52"/>
  <c r="I49" i="52"/>
  <c r="J48" i="52"/>
  <c r="I48" i="52"/>
  <c r="J47" i="52"/>
  <c r="I47" i="52"/>
  <c r="J46" i="52"/>
  <c r="I46" i="52"/>
  <c r="J45" i="52"/>
  <c r="I45" i="52"/>
  <c r="J44" i="52"/>
  <c r="I44" i="52"/>
  <c r="J43" i="52"/>
  <c r="I43" i="52"/>
  <c r="J42" i="52"/>
  <c r="I42" i="52"/>
  <c r="J41" i="52"/>
  <c r="I41" i="52"/>
  <c r="J40" i="52"/>
  <c r="I40" i="52"/>
  <c r="J39" i="52"/>
  <c r="I39" i="52"/>
  <c r="J38" i="52"/>
  <c r="I38" i="52"/>
  <c r="J37" i="52"/>
  <c r="I37" i="52"/>
  <c r="J36" i="52"/>
  <c r="I36" i="52"/>
  <c r="J35" i="52"/>
  <c r="I35" i="52"/>
  <c r="J34" i="52"/>
  <c r="I34" i="52"/>
  <c r="J33" i="52"/>
  <c r="I33" i="52"/>
  <c r="J32" i="52"/>
  <c r="I32" i="52"/>
  <c r="J31" i="52"/>
  <c r="I31" i="52"/>
  <c r="J30" i="52"/>
  <c r="I30" i="52"/>
  <c r="J29" i="52"/>
  <c r="I29" i="52"/>
  <c r="J28" i="52"/>
  <c r="I28" i="52"/>
  <c r="J27" i="52"/>
  <c r="I27" i="52"/>
  <c r="J26" i="52"/>
  <c r="I26" i="52"/>
  <c r="J25" i="52"/>
  <c r="I25" i="52"/>
  <c r="J24" i="52"/>
  <c r="I24" i="52"/>
  <c r="J23" i="52"/>
  <c r="I23" i="52"/>
  <c r="J22" i="52"/>
  <c r="I22" i="52"/>
  <c r="J21" i="52"/>
  <c r="I21" i="52"/>
  <c r="J20" i="52"/>
  <c r="I20" i="52"/>
  <c r="J19" i="52"/>
  <c r="I19" i="52"/>
  <c r="J18" i="52"/>
  <c r="I18" i="52"/>
  <c r="J17" i="52"/>
  <c r="I17" i="52"/>
  <c r="J16" i="52"/>
  <c r="I16" i="52"/>
  <c r="J15" i="52"/>
  <c r="I15" i="52"/>
  <c r="J14" i="52"/>
  <c r="I14" i="52"/>
  <c r="J13" i="52"/>
  <c r="I13" i="52"/>
  <c r="J12" i="52"/>
  <c r="I12" i="52"/>
  <c r="J11" i="52"/>
  <c r="I11" i="52"/>
  <c r="J10" i="52"/>
  <c r="I10" i="52"/>
  <c r="J9" i="52"/>
  <c r="I9" i="52"/>
  <c r="J8" i="52"/>
  <c r="I8" i="52"/>
  <c r="J65" i="45"/>
  <c r="I65" i="45"/>
  <c r="J64" i="45"/>
  <c r="I64" i="45"/>
  <c r="J63" i="45"/>
  <c r="I63" i="45"/>
  <c r="J62" i="45"/>
  <c r="I62" i="45"/>
  <c r="J61" i="45"/>
  <c r="I61" i="45"/>
  <c r="J60" i="45"/>
  <c r="I60" i="45"/>
  <c r="J59" i="45"/>
  <c r="I59" i="45"/>
  <c r="J58" i="45"/>
  <c r="I58" i="45"/>
  <c r="J57" i="45"/>
  <c r="I57" i="45"/>
  <c r="J56" i="45"/>
  <c r="I56" i="45"/>
  <c r="J55" i="45"/>
  <c r="I55" i="45"/>
  <c r="J54" i="45"/>
  <c r="I54" i="45"/>
  <c r="J53" i="45"/>
  <c r="I53" i="45"/>
  <c r="J52" i="45"/>
  <c r="I52" i="45"/>
  <c r="J51" i="45"/>
  <c r="I51" i="45"/>
  <c r="J50" i="45"/>
  <c r="I50" i="45"/>
  <c r="J49" i="45"/>
  <c r="I49" i="45"/>
  <c r="J48" i="45"/>
  <c r="I48" i="45"/>
  <c r="J47" i="45"/>
  <c r="I47" i="45"/>
  <c r="J46" i="45"/>
  <c r="I46" i="45"/>
  <c r="J45" i="45"/>
  <c r="I45" i="45"/>
  <c r="J44" i="45"/>
  <c r="I44" i="45"/>
  <c r="J43" i="45"/>
  <c r="I43" i="45"/>
  <c r="J42" i="45"/>
  <c r="I42" i="45"/>
  <c r="J41" i="45"/>
  <c r="I41" i="45"/>
  <c r="J40" i="45"/>
  <c r="I40" i="45"/>
  <c r="J39" i="45"/>
  <c r="I39" i="45"/>
  <c r="J38" i="45"/>
  <c r="I38" i="45"/>
  <c r="J37" i="45"/>
  <c r="I37" i="45"/>
  <c r="J36" i="45"/>
  <c r="I36" i="45"/>
  <c r="J35" i="45"/>
  <c r="I35" i="45"/>
  <c r="J34" i="45"/>
  <c r="I34" i="45"/>
  <c r="J33" i="45"/>
  <c r="I33" i="45"/>
  <c r="J32" i="45"/>
  <c r="I32" i="45"/>
  <c r="J31" i="45"/>
  <c r="I31" i="45"/>
  <c r="J30" i="45"/>
  <c r="I30" i="45"/>
  <c r="J29" i="45"/>
  <c r="I29" i="45"/>
  <c r="J28" i="45"/>
  <c r="I28" i="45"/>
  <c r="J27" i="45"/>
  <c r="I27" i="45"/>
  <c r="J26" i="45"/>
  <c r="I26" i="45"/>
  <c r="J25" i="45"/>
  <c r="I25" i="45"/>
  <c r="J24" i="45"/>
  <c r="I24" i="45"/>
  <c r="J23" i="45"/>
  <c r="I23" i="45"/>
  <c r="J22" i="45"/>
  <c r="I22" i="45"/>
  <c r="J21" i="45"/>
  <c r="I21" i="45"/>
  <c r="J20" i="45"/>
  <c r="I20" i="45"/>
  <c r="J19" i="45"/>
  <c r="I19" i="45"/>
  <c r="J18" i="45"/>
  <c r="I18" i="45"/>
  <c r="J17" i="45"/>
  <c r="I17" i="45"/>
  <c r="J16" i="45"/>
  <c r="I16" i="45"/>
  <c r="J15" i="45"/>
  <c r="I15" i="45"/>
  <c r="J14" i="45"/>
  <c r="I14" i="45"/>
  <c r="J13" i="45"/>
  <c r="I13" i="45"/>
  <c r="J12" i="45"/>
  <c r="I12" i="45"/>
  <c r="J11" i="45"/>
  <c r="I11" i="45"/>
  <c r="J10" i="45"/>
  <c r="I10" i="45"/>
  <c r="J9" i="45"/>
  <c r="I9" i="45"/>
  <c r="J8" i="45"/>
  <c r="I8" i="45"/>
  <c r="J65" i="105"/>
  <c r="I65" i="105"/>
  <c r="J64" i="105"/>
  <c r="I64" i="105"/>
  <c r="J63" i="105"/>
  <c r="I63" i="105"/>
  <c r="J62" i="105"/>
  <c r="I62" i="105"/>
  <c r="J61" i="105"/>
  <c r="I61" i="105"/>
  <c r="J60" i="105"/>
  <c r="I60" i="105"/>
  <c r="J59" i="105"/>
  <c r="I59" i="105"/>
  <c r="J58" i="105"/>
  <c r="I58" i="105"/>
  <c r="J57" i="105"/>
  <c r="I57" i="105"/>
  <c r="J56" i="105"/>
  <c r="I56" i="105"/>
  <c r="J55" i="105"/>
  <c r="I55" i="105"/>
  <c r="J54" i="105"/>
  <c r="I54" i="105"/>
  <c r="J53" i="105"/>
  <c r="I53" i="105"/>
  <c r="J52" i="105"/>
  <c r="I52" i="105"/>
  <c r="J51" i="105"/>
  <c r="I51" i="105"/>
  <c r="J50" i="105"/>
  <c r="I50" i="105"/>
  <c r="J49" i="105"/>
  <c r="I49" i="105"/>
  <c r="J48" i="105"/>
  <c r="I48" i="105"/>
  <c r="J47" i="105"/>
  <c r="I47" i="105"/>
  <c r="J46" i="105"/>
  <c r="I46" i="105"/>
  <c r="J45" i="105"/>
  <c r="I45" i="105"/>
  <c r="J44" i="105"/>
  <c r="I44" i="105"/>
  <c r="J43" i="105"/>
  <c r="I43" i="105"/>
  <c r="J42" i="105"/>
  <c r="I42" i="105"/>
  <c r="J41" i="105"/>
  <c r="I41" i="105"/>
  <c r="J40" i="105"/>
  <c r="I40" i="105"/>
  <c r="J39" i="105"/>
  <c r="I39" i="105"/>
  <c r="J38" i="105"/>
  <c r="I38" i="105"/>
  <c r="J37" i="105"/>
  <c r="I37" i="105"/>
  <c r="J36" i="105"/>
  <c r="I36" i="105"/>
  <c r="J35" i="105"/>
  <c r="I35" i="105"/>
  <c r="J34" i="105"/>
  <c r="I34" i="105"/>
  <c r="J33" i="105"/>
  <c r="I33" i="105"/>
  <c r="J32" i="105"/>
  <c r="I32" i="105"/>
  <c r="J31" i="105"/>
  <c r="I31" i="105"/>
  <c r="J30" i="105"/>
  <c r="I30" i="105"/>
  <c r="J29" i="105"/>
  <c r="I29" i="105"/>
  <c r="J28" i="105"/>
  <c r="I28" i="105"/>
  <c r="J27" i="105"/>
  <c r="I27" i="105"/>
  <c r="J26" i="105"/>
  <c r="I26" i="105"/>
  <c r="J25" i="105"/>
  <c r="I25" i="105"/>
  <c r="J24" i="105"/>
  <c r="I24" i="105"/>
  <c r="J23" i="105"/>
  <c r="I23" i="105"/>
  <c r="J22" i="105"/>
  <c r="I22" i="105"/>
  <c r="J21" i="105"/>
  <c r="I21" i="105"/>
  <c r="J20" i="105"/>
  <c r="I20" i="105"/>
  <c r="J19" i="105"/>
  <c r="I19" i="105"/>
  <c r="J18" i="105"/>
  <c r="I18" i="105"/>
  <c r="J17" i="105"/>
  <c r="I17" i="105"/>
  <c r="J16" i="105"/>
  <c r="I16" i="105"/>
  <c r="J15" i="105"/>
  <c r="I15" i="105"/>
  <c r="J14" i="105"/>
  <c r="I14" i="105"/>
  <c r="J13" i="105"/>
  <c r="I13" i="105"/>
  <c r="J12" i="105"/>
  <c r="I12" i="105"/>
  <c r="J11" i="105"/>
  <c r="I11" i="105"/>
  <c r="J10" i="105"/>
  <c r="I10" i="105"/>
  <c r="J9" i="105"/>
  <c r="I9" i="105"/>
  <c r="J8" i="105"/>
  <c r="I8" i="105"/>
  <c r="J65" i="48"/>
  <c r="I65" i="48"/>
  <c r="J64" i="48"/>
  <c r="I64" i="48"/>
  <c r="J63" i="48"/>
  <c r="I63" i="48"/>
  <c r="J62" i="48"/>
  <c r="I62" i="48"/>
  <c r="J61" i="48"/>
  <c r="I61" i="48"/>
  <c r="J60" i="48"/>
  <c r="I60" i="48"/>
  <c r="J59" i="48"/>
  <c r="I59" i="48"/>
  <c r="J58" i="48"/>
  <c r="I58" i="48"/>
  <c r="J57" i="48"/>
  <c r="I57" i="48"/>
  <c r="J56" i="48"/>
  <c r="I56" i="48"/>
  <c r="J55" i="48"/>
  <c r="I55" i="48"/>
  <c r="J54" i="48"/>
  <c r="I54" i="48"/>
  <c r="J53" i="48"/>
  <c r="I53" i="48"/>
  <c r="J52" i="48"/>
  <c r="I52" i="48"/>
  <c r="J51" i="48"/>
  <c r="I51" i="48"/>
  <c r="J50" i="48"/>
  <c r="I50" i="48"/>
  <c r="J49" i="48"/>
  <c r="I49" i="48"/>
  <c r="J48" i="48"/>
  <c r="I48" i="48"/>
  <c r="J47" i="48"/>
  <c r="I47" i="48"/>
  <c r="J46" i="48"/>
  <c r="I46" i="48"/>
  <c r="J45" i="48"/>
  <c r="I45" i="48"/>
  <c r="J44" i="48"/>
  <c r="I44" i="48"/>
  <c r="J43" i="48"/>
  <c r="I43" i="48"/>
  <c r="J42" i="48"/>
  <c r="I42" i="48"/>
  <c r="J41" i="48"/>
  <c r="I41" i="48"/>
  <c r="J40" i="48"/>
  <c r="I40" i="48"/>
  <c r="J39" i="48"/>
  <c r="I39" i="48"/>
  <c r="J38" i="48"/>
  <c r="I38" i="48"/>
  <c r="J37" i="48"/>
  <c r="I37" i="48"/>
  <c r="J36" i="48"/>
  <c r="I36" i="48"/>
  <c r="J35" i="48"/>
  <c r="I35" i="48"/>
  <c r="J34" i="48"/>
  <c r="I34" i="48"/>
  <c r="J33" i="48"/>
  <c r="I33" i="48"/>
  <c r="J32" i="48"/>
  <c r="I32" i="48"/>
  <c r="J31" i="48"/>
  <c r="I31" i="48"/>
  <c r="J30" i="48"/>
  <c r="I30" i="48"/>
  <c r="J29" i="48"/>
  <c r="I29" i="48"/>
  <c r="J28" i="48"/>
  <c r="I28" i="48"/>
  <c r="J27" i="48"/>
  <c r="I27" i="48"/>
  <c r="J26" i="48"/>
  <c r="I26" i="48"/>
  <c r="J25" i="48"/>
  <c r="I25" i="48"/>
  <c r="J24" i="48"/>
  <c r="I24" i="48"/>
  <c r="J23" i="48"/>
  <c r="I23" i="48"/>
  <c r="J22" i="48"/>
  <c r="I22" i="48"/>
  <c r="J21" i="48"/>
  <c r="I21" i="48"/>
  <c r="J20" i="48"/>
  <c r="I20" i="48"/>
  <c r="J19" i="48"/>
  <c r="I19" i="48"/>
  <c r="J18" i="48"/>
  <c r="I18" i="48"/>
  <c r="J17" i="48"/>
  <c r="I17" i="48"/>
  <c r="J16" i="48"/>
  <c r="I16" i="48"/>
  <c r="J15" i="48"/>
  <c r="I15" i="48"/>
  <c r="J14" i="48"/>
  <c r="I14" i="48"/>
  <c r="J13" i="48"/>
  <c r="I13" i="48"/>
  <c r="J12" i="48"/>
  <c r="I12" i="48"/>
  <c r="J11" i="48"/>
  <c r="I11" i="48"/>
  <c r="J10" i="48"/>
  <c r="I10" i="48"/>
  <c r="J9" i="48"/>
  <c r="I9" i="48"/>
  <c r="J8" i="48"/>
  <c r="I8" i="4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8"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72" i="8"/>
  <c r="H66" i="127"/>
  <c r="H65" i="127"/>
  <c r="H64" i="127"/>
  <c r="H63" i="127"/>
  <c r="H62" i="127"/>
  <c r="H61" i="127"/>
  <c r="H59" i="127"/>
  <c r="H58" i="127"/>
  <c r="H57" i="127"/>
  <c r="H56" i="127"/>
  <c r="H55" i="127"/>
  <c r="H54" i="127"/>
  <c r="H53" i="127"/>
  <c r="H52" i="127"/>
  <c r="H51" i="127"/>
  <c r="H50" i="127"/>
  <c r="H49" i="127"/>
  <c r="H48" i="127"/>
  <c r="H47" i="127"/>
  <c r="H46" i="127"/>
  <c r="H45" i="127"/>
  <c r="H44" i="127"/>
  <c r="H43" i="127"/>
  <c r="H42" i="127"/>
  <c r="H41" i="127"/>
  <c r="H40" i="127"/>
  <c r="H39" i="127"/>
  <c r="H38" i="127"/>
  <c r="H37" i="127"/>
  <c r="H36" i="127"/>
  <c r="H35" i="127"/>
  <c r="H34" i="127"/>
  <c r="H33" i="127"/>
  <c r="H32" i="127"/>
  <c r="H31" i="127"/>
  <c r="H30" i="127"/>
  <c r="H29" i="127"/>
  <c r="H28" i="127"/>
  <c r="H27" i="127"/>
  <c r="H26" i="127"/>
  <c r="H25" i="127"/>
  <c r="H24" i="127"/>
  <c r="H23" i="127"/>
  <c r="H22" i="127"/>
  <c r="H21" i="127"/>
  <c r="H20" i="127"/>
  <c r="H19" i="127"/>
  <c r="H18" i="127"/>
  <c r="H17" i="127"/>
  <c r="H16" i="127"/>
  <c r="H15" i="127"/>
  <c r="H14" i="127"/>
  <c r="H13" i="127"/>
  <c r="H12" i="127"/>
  <c r="H11" i="127"/>
  <c r="H10" i="127"/>
  <c r="H9" i="127"/>
  <c r="H8" i="127"/>
  <c r="B4" i="127"/>
  <c r="B6" i="127" s="1"/>
  <c r="H66" i="125"/>
  <c r="H65" i="125"/>
  <c r="H64" i="125"/>
  <c r="H63" i="125"/>
  <c r="H62" i="125"/>
  <c r="H61" i="125"/>
  <c r="H59" i="125"/>
  <c r="H58" i="125"/>
  <c r="H57" i="125"/>
  <c r="H56" i="125"/>
  <c r="H55" i="125"/>
  <c r="H54" i="125"/>
  <c r="H53" i="125"/>
  <c r="H52" i="125"/>
  <c r="H51" i="125"/>
  <c r="H50" i="125"/>
  <c r="H49" i="125"/>
  <c r="H48" i="125"/>
  <c r="H47" i="125"/>
  <c r="H46" i="125"/>
  <c r="H45" i="125"/>
  <c r="H44" i="125"/>
  <c r="H43" i="125"/>
  <c r="H42" i="125"/>
  <c r="H41" i="125"/>
  <c r="H40" i="125"/>
  <c r="H39" i="125"/>
  <c r="H38" i="125"/>
  <c r="H37" i="125"/>
  <c r="H36" i="125"/>
  <c r="H35" i="125"/>
  <c r="H34" i="125"/>
  <c r="H33" i="125"/>
  <c r="H32" i="125"/>
  <c r="H31" i="125"/>
  <c r="H30" i="125"/>
  <c r="H29" i="125"/>
  <c r="H28" i="125"/>
  <c r="H27" i="125"/>
  <c r="H26" i="125"/>
  <c r="H25" i="125"/>
  <c r="H24" i="125"/>
  <c r="H23" i="125"/>
  <c r="H22" i="125"/>
  <c r="H21" i="125"/>
  <c r="H20" i="125"/>
  <c r="H19" i="125"/>
  <c r="H18" i="125"/>
  <c r="H17" i="125"/>
  <c r="H16" i="125"/>
  <c r="H15" i="125"/>
  <c r="H14" i="125"/>
  <c r="H13" i="125"/>
  <c r="H12" i="125"/>
  <c r="H11" i="125"/>
  <c r="H10" i="125"/>
  <c r="H9" i="125"/>
  <c r="H8" i="125"/>
  <c r="B4" i="125"/>
  <c r="B6" i="125" s="1"/>
  <c r="H67" i="125" l="1"/>
  <c r="H67" i="127"/>
  <c r="H64" i="113"/>
  <c r="H63" i="113"/>
  <c r="H62" i="113"/>
  <c r="H55" i="113"/>
  <c r="H54" i="113"/>
  <c r="H53" i="113"/>
  <c r="H47" i="113"/>
  <c r="H44" i="113"/>
  <c r="H43" i="113"/>
  <c r="H42" i="113"/>
  <c r="H41" i="113"/>
  <c r="H40" i="113"/>
  <c r="H37" i="113"/>
  <c r="H33" i="113"/>
  <c r="H32" i="113"/>
  <c r="H28" i="113"/>
  <c r="H27" i="113"/>
  <c r="H25" i="113"/>
  <c r="H24" i="113"/>
  <c r="H21" i="113"/>
  <c r="H19" i="113"/>
  <c r="H18" i="113"/>
  <c r="H13" i="113"/>
  <c r="H12" i="113"/>
  <c r="H11" i="113"/>
  <c r="H10" i="113"/>
  <c r="H64" i="105"/>
  <c r="H63" i="105"/>
  <c r="H55" i="105"/>
  <c r="H54" i="105"/>
  <c r="H47" i="105"/>
  <c r="H44" i="105"/>
  <c r="H43" i="105"/>
  <c r="H41" i="105"/>
  <c r="H37" i="105"/>
  <c r="H33" i="105"/>
  <c r="H32" i="105"/>
  <c r="H28" i="105"/>
  <c r="H27" i="105"/>
  <c r="H21" i="105"/>
  <c r="H20" i="105"/>
  <c r="H19" i="105"/>
  <c r="H18" i="105"/>
  <c r="H17" i="105"/>
  <c r="H13" i="105"/>
  <c r="H12" i="105"/>
  <c r="H11" i="105"/>
  <c r="H66" i="96"/>
  <c r="H65" i="96"/>
  <c r="H64" i="96"/>
  <c r="H63" i="96"/>
  <c r="H61" i="96"/>
  <c r="H58" i="96"/>
  <c r="H56" i="96"/>
  <c r="H55" i="96"/>
  <c r="H54" i="96"/>
  <c r="H53" i="96"/>
  <c r="H47" i="96"/>
  <c r="H44" i="96"/>
  <c r="H43" i="96"/>
  <c r="H41" i="96"/>
  <c r="H40" i="96"/>
  <c r="H38" i="96"/>
  <c r="H37" i="96"/>
  <c r="H33" i="96"/>
  <c r="H32" i="96"/>
  <c r="H28" i="96"/>
  <c r="H27" i="96"/>
  <c r="H25" i="96"/>
  <c r="H24" i="96"/>
  <c r="H23" i="96"/>
  <c r="H21" i="96"/>
  <c r="H18" i="96"/>
  <c r="H17" i="96"/>
  <c r="H16" i="96"/>
  <c r="H15" i="96"/>
  <c r="H14" i="96"/>
  <c r="H13" i="96"/>
  <c r="H12" i="96"/>
  <c r="H11" i="96"/>
  <c r="H10" i="96"/>
  <c r="H64" i="95"/>
  <c r="H63" i="95"/>
  <c r="H61" i="95"/>
  <c r="H55" i="95"/>
  <c r="H54" i="95"/>
  <c r="H47" i="95"/>
  <c r="H37" i="95"/>
  <c r="H33" i="95"/>
  <c r="H28" i="95"/>
  <c r="H27" i="95"/>
  <c r="H26" i="95"/>
  <c r="H21" i="95"/>
  <c r="H20" i="95"/>
  <c r="H19" i="95"/>
  <c r="H18" i="95"/>
  <c r="H17" i="95"/>
  <c r="H13" i="95"/>
  <c r="H12" i="95"/>
  <c r="H11" i="95"/>
  <c r="H66" i="90"/>
  <c r="H65" i="90"/>
  <c r="H63" i="90"/>
  <c r="H62" i="90"/>
  <c r="H58" i="90"/>
  <c r="H55" i="90"/>
  <c r="H54" i="90"/>
  <c r="H47" i="90"/>
  <c r="H44" i="90"/>
  <c r="H43" i="90"/>
  <c r="H40" i="90"/>
  <c r="H37" i="90"/>
  <c r="H33" i="90"/>
  <c r="H28" i="90"/>
  <c r="H27" i="90"/>
  <c r="H26" i="90"/>
  <c r="H25" i="90"/>
  <c r="H21" i="90"/>
  <c r="H20" i="90"/>
  <c r="H17" i="90"/>
  <c r="H13" i="90"/>
  <c r="H12" i="90"/>
  <c r="H11" i="90"/>
  <c r="H63" i="84"/>
  <c r="H55" i="84"/>
  <c r="H54" i="84"/>
  <c r="H47" i="84"/>
  <c r="H44" i="84"/>
  <c r="H42" i="84"/>
  <c r="H37" i="84"/>
  <c r="H33" i="84"/>
  <c r="H28" i="84"/>
  <c r="H27" i="84"/>
  <c r="H26" i="84"/>
  <c r="H25" i="84"/>
  <c r="H21" i="84"/>
  <c r="H19" i="84"/>
  <c r="H17" i="84"/>
  <c r="H13" i="84"/>
  <c r="H12" i="84"/>
  <c r="H11" i="84"/>
  <c r="H63" i="78"/>
  <c r="H55" i="78"/>
  <c r="H54" i="78"/>
  <c r="H47" i="78"/>
  <c r="H44" i="78"/>
  <c r="H43" i="78"/>
  <c r="H42" i="78"/>
  <c r="H37" i="78"/>
  <c r="H33" i="78"/>
  <c r="H28" i="78"/>
  <c r="H27" i="78"/>
  <c r="H25" i="78"/>
  <c r="H21" i="78"/>
  <c r="H19" i="78"/>
  <c r="H18" i="78"/>
  <c r="H17" i="78"/>
  <c r="H13" i="78"/>
  <c r="H12" i="78"/>
  <c r="H11" i="78"/>
  <c r="H62" i="77"/>
  <c r="H55" i="77"/>
  <c r="H54" i="77"/>
  <c r="H47" i="77"/>
  <c r="H44" i="77"/>
  <c r="H43" i="77"/>
  <c r="H41" i="77"/>
  <c r="H37" i="77"/>
  <c r="H33" i="77"/>
  <c r="H28" i="77"/>
  <c r="H27" i="77"/>
  <c r="H26" i="77"/>
  <c r="H21" i="77"/>
  <c r="H19" i="77"/>
  <c r="H18" i="77"/>
  <c r="H17" i="77"/>
  <c r="H13" i="77"/>
  <c r="H12" i="77"/>
  <c r="H11" i="77"/>
  <c r="H66" i="74"/>
  <c r="H65" i="74"/>
  <c r="H64" i="74"/>
  <c r="H63" i="74"/>
  <c r="H58" i="74"/>
  <c r="H57" i="74"/>
  <c r="H56" i="74"/>
  <c r="H55" i="74"/>
  <c r="H54" i="74"/>
  <c r="H47" i="74"/>
  <c r="H44" i="74"/>
  <c r="H43" i="74"/>
  <c r="H41" i="74"/>
  <c r="H40" i="74"/>
  <c r="H37" i="74"/>
  <c r="H33" i="74"/>
  <c r="H32" i="74"/>
  <c r="H29" i="74"/>
  <c r="H28" i="74"/>
  <c r="H27" i="74"/>
  <c r="H26" i="74"/>
  <c r="H25" i="74"/>
  <c r="H23" i="74"/>
  <c r="H22" i="74"/>
  <c r="H21" i="74"/>
  <c r="H17" i="74"/>
  <c r="H16" i="74"/>
  <c r="H15" i="74"/>
  <c r="H14" i="74"/>
  <c r="H13" i="74"/>
  <c r="H12" i="74"/>
  <c r="H11" i="74"/>
  <c r="H66" i="68"/>
  <c r="H65" i="68"/>
  <c r="H64" i="68"/>
  <c r="H63" i="68"/>
  <c r="H62" i="68"/>
  <c r="H55" i="68"/>
  <c r="H54" i="68"/>
  <c r="H51" i="68"/>
  <c r="H47" i="68"/>
  <c r="H46" i="68"/>
  <c r="H44" i="68"/>
  <c r="H43" i="68"/>
  <c r="H42" i="68"/>
  <c r="H41" i="68"/>
  <c r="H40" i="68"/>
  <c r="H37" i="68"/>
  <c r="H33" i="68"/>
  <c r="H32" i="68"/>
  <c r="H28" i="68"/>
  <c r="H27" i="68"/>
  <c r="H26" i="68"/>
  <c r="H21" i="68"/>
  <c r="H20" i="68"/>
  <c r="H19" i="68"/>
  <c r="H18" i="68"/>
  <c r="H16" i="68"/>
  <c r="H15" i="68"/>
  <c r="H14" i="68"/>
  <c r="H13" i="68"/>
  <c r="H12" i="68"/>
  <c r="H11" i="68"/>
  <c r="H63" i="61"/>
  <c r="H62" i="61"/>
  <c r="H55" i="61"/>
  <c r="H54" i="61"/>
  <c r="H47" i="61"/>
  <c r="H44" i="61"/>
  <c r="H37" i="61"/>
  <c r="H33" i="61"/>
  <c r="H32" i="61"/>
  <c r="H28" i="61"/>
  <c r="H27" i="61"/>
  <c r="H26" i="61"/>
  <c r="H25" i="61"/>
  <c r="H21" i="61"/>
  <c r="H16" i="61"/>
  <c r="H13" i="61"/>
  <c r="H12" i="61"/>
  <c r="H11" i="61"/>
  <c r="H66" i="52"/>
  <c r="H65" i="52"/>
  <c r="H64" i="52"/>
  <c r="H55" i="52"/>
  <c r="H54" i="52"/>
  <c r="H47" i="52"/>
  <c r="H46" i="52"/>
  <c r="H44" i="52"/>
  <c r="H43" i="52"/>
  <c r="H42" i="52"/>
  <c r="H41" i="52"/>
  <c r="H40" i="52"/>
  <c r="H37" i="52"/>
  <c r="H33" i="52"/>
  <c r="H30" i="52"/>
  <c r="H28" i="52"/>
  <c r="H27" i="52"/>
  <c r="H26" i="52"/>
  <c r="H21" i="52"/>
  <c r="H17" i="52"/>
  <c r="H13" i="52"/>
  <c r="H64" i="48"/>
  <c r="H63" i="48"/>
  <c r="H55" i="48"/>
  <c r="H54" i="48"/>
  <c r="H47" i="48"/>
  <c r="H44" i="48"/>
  <c r="H37" i="48"/>
  <c r="H33" i="48"/>
  <c r="H32" i="48"/>
  <c r="H28" i="48"/>
  <c r="H27" i="48"/>
  <c r="H26" i="48"/>
  <c r="H21" i="48"/>
  <c r="H13" i="48"/>
  <c r="H12" i="48"/>
  <c r="H64" i="46"/>
  <c r="H63" i="46"/>
  <c r="H55" i="46"/>
  <c r="H54" i="46"/>
  <c r="H47" i="46"/>
  <c r="H44" i="46"/>
  <c r="H43" i="46"/>
  <c r="H42" i="46"/>
  <c r="H41" i="46"/>
  <c r="H37" i="46"/>
  <c r="H33" i="46"/>
  <c r="H32" i="46"/>
  <c r="H28" i="46"/>
  <c r="H27" i="46"/>
  <c r="H26" i="46"/>
  <c r="H21" i="46"/>
  <c r="H17" i="46"/>
  <c r="H13" i="46"/>
  <c r="H12" i="46"/>
  <c r="H64" i="45"/>
  <c r="H63" i="45"/>
  <c r="H55" i="45"/>
  <c r="H54" i="45"/>
  <c r="H47" i="45"/>
  <c r="H44" i="45"/>
  <c r="H41" i="45"/>
  <c r="H37" i="45"/>
  <c r="H33" i="45"/>
  <c r="H32" i="45"/>
  <c r="H28" i="45"/>
  <c r="H27" i="45"/>
  <c r="H26" i="45"/>
  <c r="H21" i="45"/>
  <c r="H20" i="45"/>
  <c r="H17" i="45"/>
  <c r="H13" i="45"/>
  <c r="H12" i="45"/>
  <c r="H11" i="45"/>
  <c r="H66" i="10"/>
  <c r="H65" i="10"/>
  <c r="H64" i="10"/>
  <c r="H63" i="10"/>
  <c r="H62" i="10"/>
  <c r="H61" i="10"/>
  <c r="H59" i="10"/>
  <c r="H58" i="10"/>
  <c r="H57" i="10"/>
  <c r="H56" i="10"/>
  <c r="H55" i="10"/>
  <c r="H54" i="10"/>
  <c r="H51" i="10"/>
  <c r="H47" i="10"/>
  <c r="H46" i="10"/>
  <c r="H45" i="10"/>
  <c r="H44" i="10"/>
  <c r="H43" i="10"/>
  <c r="H42" i="10"/>
  <c r="H41" i="10"/>
  <c r="H40" i="10"/>
  <c r="H39" i="10"/>
  <c r="H38" i="10"/>
  <c r="H37" i="10"/>
  <c r="H36" i="10"/>
  <c r="H35" i="10"/>
  <c r="H34" i="10"/>
  <c r="H33" i="10"/>
  <c r="H32" i="10"/>
  <c r="H30" i="10"/>
  <c r="H29" i="10"/>
  <c r="H28" i="10"/>
  <c r="H27" i="10"/>
  <c r="H26" i="10"/>
  <c r="H25" i="10"/>
  <c r="H24" i="10"/>
  <c r="H23" i="10"/>
  <c r="H22" i="10"/>
  <c r="H21" i="10"/>
  <c r="H20" i="10"/>
  <c r="H19" i="10"/>
  <c r="H18" i="10"/>
  <c r="H17" i="10"/>
  <c r="H16" i="10"/>
  <c r="H15" i="10"/>
  <c r="H14" i="10"/>
  <c r="H13" i="10"/>
  <c r="H12" i="10"/>
  <c r="H11" i="10"/>
  <c r="H10" i="10"/>
  <c r="H9" i="10"/>
  <c r="H8" i="10"/>
  <c r="H66" i="9"/>
  <c r="H64" i="9"/>
  <c r="H63" i="9"/>
  <c r="H61" i="9"/>
  <c r="H59" i="9"/>
  <c r="H56" i="9"/>
  <c r="H55" i="9"/>
  <c r="H54" i="9"/>
  <c r="H51" i="9"/>
  <c r="H47" i="9"/>
  <c r="H45" i="9"/>
  <c r="H44" i="9"/>
  <c r="H43" i="9"/>
  <c r="H42" i="9"/>
  <c r="H41" i="9"/>
  <c r="H40" i="9"/>
  <c r="H39" i="9"/>
  <c r="H38" i="9"/>
  <c r="H37" i="9"/>
  <c r="H36" i="9"/>
  <c r="H35" i="9"/>
  <c r="H34" i="9"/>
  <c r="H33" i="9"/>
  <c r="H32" i="9"/>
  <c r="H30" i="9"/>
  <c r="H29" i="9"/>
  <c r="H28" i="9"/>
  <c r="H27" i="9"/>
  <c r="H26" i="9"/>
  <c r="H25" i="9"/>
  <c r="H24" i="9"/>
  <c r="H23" i="9"/>
  <c r="H21" i="9"/>
  <c r="H20" i="9"/>
  <c r="H19" i="9"/>
  <c r="H18" i="9"/>
  <c r="H17" i="9"/>
  <c r="H16" i="9"/>
  <c r="H15" i="9"/>
  <c r="H14" i="9"/>
  <c r="H13" i="9"/>
  <c r="H12" i="9"/>
  <c r="H11" i="9"/>
  <c r="H10" i="9"/>
  <c r="H8" i="9"/>
  <c r="H66" i="8"/>
  <c r="H64" i="8"/>
  <c r="H63" i="8"/>
  <c r="H61" i="8"/>
  <c r="H56" i="8"/>
  <c r="H55" i="8"/>
  <c r="H54" i="8"/>
  <c r="H53" i="8"/>
  <c r="H51" i="8"/>
  <c r="H47" i="8"/>
  <c r="H45" i="8"/>
  <c r="H44" i="8"/>
  <c r="H43" i="8"/>
  <c r="H42" i="8"/>
  <c r="H41" i="8"/>
  <c r="H40" i="8"/>
  <c r="H39" i="8"/>
  <c r="H38" i="8"/>
  <c r="H35" i="8"/>
  <c r="H34" i="8"/>
  <c r="H33" i="8"/>
  <c r="H32" i="8"/>
  <c r="H29" i="8"/>
  <c r="H28" i="8"/>
  <c r="H27" i="8"/>
  <c r="H26" i="8"/>
  <c r="H25" i="8"/>
  <c r="H24" i="8"/>
  <c r="H22" i="8"/>
  <c r="H21" i="8"/>
  <c r="H20" i="8"/>
  <c r="H18" i="8"/>
  <c r="H17" i="8"/>
  <c r="H16" i="8"/>
  <c r="H15" i="8"/>
  <c r="H14" i="8"/>
  <c r="H13" i="8"/>
  <c r="H12" i="8"/>
  <c r="H11" i="8"/>
  <c r="H10" i="8"/>
  <c r="H8" i="8"/>
  <c r="H64" i="6" l="1"/>
  <c r="H65" i="6"/>
  <c r="D122" i="5" l="1"/>
  <c r="E122" i="5"/>
  <c r="D123" i="5"/>
  <c r="E123" i="5"/>
  <c r="D67" i="5"/>
  <c r="D68" i="5"/>
  <c r="E68" i="5"/>
  <c r="D69" i="5"/>
  <c r="E69" i="5"/>
  <c r="F69" i="5"/>
  <c r="D70" i="5"/>
  <c r="E70" i="5"/>
  <c r="F70" i="5"/>
  <c r="G70" i="5"/>
  <c r="D71" i="5"/>
  <c r="E71" i="5"/>
  <c r="D72" i="5"/>
  <c r="E72" i="5"/>
  <c r="D73" i="5"/>
  <c r="E73" i="5"/>
  <c r="D74" i="5"/>
  <c r="E74" i="5"/>
  <c r="F74" i="5"/>
  <c r="G74" i="5"/>
  <c r="H74" i="5"/>
  <c r="D75" i="5"/>
  <c r="E75" i="5"/>
  <c r="F75" i="5"/>
  <c r="G75" i="5"/>
  <c r="H75" i="5"/>
  <c r="D76" i="5"/>
  <c r="E76" i="5"/>
  <c r="F76" i="5"/>
  <c r="G76" i="5"/>
  <c r="H76" i="5"/>
  <c r="D77" i="5"/>
  <c r="E77" i="5"/>
  <c r="F77" i="5"/>
  <c r="G77" i="5"/>
  <c r="H77" i="5"/>
  <c r="D78" i="5"/>
  <c r="E78" i="5"/>
  <c r="F78" i="5"/>
  <c r="G78" i="5"/>
  <c r="H78" i="5"/>
  <c r="D79" i="5"/>
  <c r="E79" i="5"/>
  <c r="F79" i="5"/>
  <c r="G79" i="5"/>
  <c r="H79" i="5"/>
  <c r="D80" i="5"/>
  <c r="E80" i="5"/>
  <c r="D81" i="5"/>
  <c r="E81" i="5"/>
  <c r="D82" i="5"/>
  <c r="E82" i="5"/>
  <c r="D83" i="5"/>
  <c r="E83" i="5"/>
  <c r="F83" i="5"/>
  <c r="D84" i="5"/>
  <c r="E84" i="5"/>
  <c r="F84" i="5"/>
  <c r="D85" i="5"/>
  <c r="E85" i="5"/>
  <c r="F85" i="5"/>
  <c r="G85" i="5"/>
  <c r="D86" i="5"/>
  <c r="E86" i="5"/>
  <c r="F86" i="5"/>
  <c r="G86" i="5"/>
  <c r="D87" i="5"/>
  <c r="E87" i="5"/>
  <c r="D88" i="5"/>
  <c r="E88" i="5"/>
  <c r="D90" i="5"/>
  <c r="E90" i="5"/>
  <c r="F90" i="5"/>
  <c r="D91" i="5"/>
  <c r="E91" i="5"/>
  <c r="F91" i="5"/>
  <c r="D94" i="5"/>
  <c r="D95" i="5"/>
  <c r="E95" i="5"/>
  <c r="F95" i="5"/>
  <c r="D97" i="5"/>
  <c r="D98" i="5"/>
  <c r="E98" i="5"/>
  <c r="D99" i="5"/>
  <c r="D100" i="5"/>
  <c r="E100" i="5"/>
  <c r="D101" i="5"/>
  <c r="E101" i="5"/>
  <c r="D102" i="5"/>
  <c r="E102" i="5"/>
  <c r="F102" i="5"/>
  <c r="D104" i="5"/>
  <c r="D105" i="5"/>
  <c r="E105" i="5"/>
  <c r="F105" i="5"/>
  <c r="G105" i="5"/>
  <c r="D113" i="5"/>
  <c r="E113" i="5"/>
  <c r="D114" i="5"/>
  <c r="D115" i="5"/>
  <c r="D116" i="5"/>
  <c r="D117" i="5"/>
  <c r="D118" i="5"/>
  <c r="E118" i="5"/>
  <c r="D119" i="5"/>
  <c r="E119" i="5"/>
  <c r="D120" i="5"/>
  <c r="E120" i="5"/>
  <c r="F120" i="5"/>
  <c r="D121" i="5"/>
  <c r="E121" i="5"/>
  <c r="F121" i="5"/>
  <c r="H25" i="105" l="1"/>
  <c r="H25" i="95"/>
  <c r="H25" i="68"/>
  <c r="H25" i="77"/>
  <c r="H25" i="45"/>
  <c r="H25" i="52"/>
  <c r="H25" i="48"/>
  <c r="H25" i="46"/>
  <c r="H61" i="113"/>
  <c r="H61" i="68"/>
  <c r="H61" i="52"/>
  <c r="H44" i="95"/>
  <c r="H36" i="68"/>
  <c r="H20" i="113"/>
  <c r="H20" i="96"/>
  <c r="H20" i="84"/>
  <c r="H20" i="78"/>
  <c r="H20" i="74"/>
  <c r="H20" i="77"/>
  <c r="H20" i="61"/>
  <c r="H20" i="52"/>
  <c r="H20" i="48"/>
  <c r="H20" i="46"/>
  <c r="H12" i="52"/>
  <c r="H17" i="113"/>
  <c r="H17" i="68"/>
  <c r="H17" i="61"/>
  <c r="H17" i="48"/>
  <c r="H64" i="90"/>
  <c r="H64" i="84"/>
  <c r="H64" i="77"/>
  <c r="H64" i="78"/>
  <c r="H23" i="113"/>
  <c r="H23" i="68"/>
  <c r="H23" i="52"/>
  <c r="H23" i="8"/>
  <c r="H15" i="113"/>
  <c r="H15" i="52"/>
  <c r="H65" i="113"/>
  <c r="H65" i="8"/>
  <c r="H65" i="9"/>
  <c r="H58" i="113"/>
  <c r="H58" i="52"/>
  <c r="H42" i="95"/>
  <c r="H26" i="113"/>
  <c r="H26" i="105"/>
  <c r="H26" i="96"/>
  <c r="H18" i="84"/>
  <c r="H18" i="90"/>
  <c r="H18" i="74"/>
  <c r="H18" i="61"/>
  <c r="H18" i="45"/>
  <c r="H18" i="52"/>
  <c r="H18" i="48"/>
  <c r="H18" i="46"/>
  <c r="H10" i="68"/>
  <c r="H10" i="52"/>
  <c r="H62" i="52"/>
  <c r="H62" i="9"/>
  <c r="H62" i="8"/>
  <c r="H37" i="8"/>
  <c r="H29" i="68"/>
  <c r="H29" i="52"/>
  <c r="H56" i="52"/>
  <c r="H40" i="77"/>
  <c r="H32" i="84"/>
  <c r="H32" i="90"/>
  <c r="H32" i="78"/>
  <c r="H32" i="95"/>
  <c r="H32" i="77"/>
  <c r="H32" i="52"/>
  <c r="H24" i="68"/>
  <c r="H24" i="52"/>
  <c r="H16" i="113"/>
  <c r="H16" i="105"/>
  <c r="H16" i="84"/>
  <c r="H16" i="95"/>
  <c r="H16" i="90"/>
  <c r="H16" i="78"/>
  <c r="H16" i="46"/>
  <c r="H16" i="45"/>
  <c r="H16" i="77"/>
  <c r="H16" i="52"/>
  <c r="H16" i="48"/>
  <c r="H66" i="113"/>
  <c r="H59" i="113"/>
  <c r="H43" i="95"/>
  <c r="H43" i="48"/>
  <c r="H19" i="96"/>
  <c r="H19" i="90"/>
  <c r="H19" i="74"/>
  <c r="H19" i="61"/>
  <c r="H19" i="52"/>
  <c r="H19" i="48"/>
  <c r="H19" i="45"/>
  <c r="H19" i="46"/>
  <c r="H19" i="8"/>
  <c r="H11" i="52"/>
  <c r="H11" i="48"/>
  <c r="H11" i="46"/>
  <c r="H9" i="68"/>
  <c r="H63" i="77"/>
  <c r="H63" i="52"/>
  <c r="H30" i="113"/>
  <c r="H30" i="68"/>
  <c r="H30" i="46"/>
  <c r="H30" i="8"/>
  <c r="H22" i="113"/>
  <c r="H22" i="68"/>
  <c r="H22" i="52"/>
  <c r="H22" i="9"/>
  <c r="H14" i="113"/>
  <c r="H14" i="52"/>
  <c r="P3" i="2" l="1"/>
  <c r="M3" i="2" l="1"/>
  <c r="B4" i="113" l="1"/>
  <c r="B6" i="113" s="1"/>
  <c r="B4" i="68" l="1"/>
  <c r="B6" i="68" s="1"/>
  <c r="B4" i="74" l="1"/>
  <c r="B6" i="74" s="1"/>
  <c r="B4" i="96"/>
  <c r="B6" i="96" s="1"/>
  <c r="B4" i="84"/>
  <c r="B6" i="84" s="1"/>
  <c r="B4" i="10"/>
  <c r="B6" i="10" s="1"/>
  <c r="B4" i="77"/>
  <c r="B6" i="77" s="1"/>
  <c r="B4" i="95"/>
  <c r="B6" i="95" s="1"/>
  <c r="B4" i="48"/>
  <c r="B6" i="48" s="1"/>
  <c r="B4" i="105"/>
  <c r="B6" i="105" s="1"/>
  <c r="B4" i="8"/>
  <c r="B6" i="8" s="1"/>
  <c r="B4" i="45"/>
  <c r="B6" i="45" s="1"/>
  <c r="B4" i="52"/>
  <c r="B6" i="52" s="1"/>
  <c r="B4" i="9"/>
  <c r="B6" i="9" s="1"/>
  <c r="Z77" i="6" l="1"/>
  <c r="V77" i="6"/>
  <c r="Z76" i="6"/>
  <c r="V76" i="6"/>
  <c r="Z75" i="6"/>
  <c r="V75" i="6"/>
  <c r="Z74" i="6"/>
  <c r="V74" i="6"/>
  <c r="Z69" i="6"/>
  <c r="V69" i="6"/>
  <c r="Z68" i="6"/>
  <c r="V68" i="6"/>
  <c r="Z67" i="6"/>
  <c r="V67" i="6"/>
  <c r="Z66" i="6"/>
  <c r="V66" i="6"/>
  <c r="Z63" i="6"/>
  <c r="V63" i="6"/>
  <c r="H63" i="6"/>
  <c r="Z62" i="6"/>
  <c r="V62" i="6"/>
  <c r="H62" i="6"/>
  <c r="Z61" i="6"/>
  <c r="V61" i="6"/>
  <c r="H61" i="6"/>
  <c r="Z60" i="6"/>
  <c r="V60" i="6"/>
  <c r="H60" i="6"/>
  <c r="H59" i="6"/>
  <c r="H57" i="6"/>
  <c r="H56" i="6"/>
  <c r="Z55" i="6"/>
  <c r="H55" i="6"/>
  <c r="Z54" i="6"/>
  <c r="H54" i="6"/>
  <c r="Z53" i="6"/>
  <c r="H53" i="6"/>
  <c r="Z52" i="6"/>
  <c r="H52" i="6"/>
  <c r="Z51" i="6"/>
  <c r="Z50" i="6"/>
  <c r="H50" i="6"/>
  <c r="Z49" i="6"/>
  <c r="Z48" i="6"/>
  <c r="Z47" i="6"/>
  <c r="H47" i="6"/>
  <c r="Z46" i="6"/>
  <c r="H46" i="6"/>
  <c r="Z45" i="6"/>
  <c r="Z44" i="6"/>
  <c r="Z43" i="6"/>
  <c r="Z42" i="6"/>
  <c r="H42" i="6"/>
  <c r="Z41" i="6"/>
  <c r="H41" i="6"/>
  <c r="Z40" i="6"/>
  <c r="H40" i="6"/>
  <c r="H39" i="6"/>
  <c r="H38" i="6"/>
  <c r="Z35" i="6"/>
  <c r="H35" i="6"/>
  <c r="Z34" i="6"/>
  <c r="Z33" i="6"/>
  <c r="Z32" i="6"/>
  <c r="Z31" i="6"/>
  <c r="H31" i="6"/>
  <c r="Z30" i="6"/>
  <c r="Z29" i="6"/>
  <c r="H29" i="6"/>
  <c r="Z28" i="6"/>
  <c r="Z27" i="6"/>
  <c r="H27" i="6"/>
  <c r="Z26" i="6"/>
  <c r="H26" i="6"/>
  <c r="Z25" i="6"/>
  <c r="H25" i="6"/>
  <c r="Z24" i="6"/>
  <c r="Z23" i="6"/>
  <c r="Z22" i="6"/>
  <c r="Z21" i="6"/>
  <c r="Z20" i="6"/>
  <c r="H20" i="6"/>
  <c r="Z19" i="6"/>
  <c r="H19" i="6"/>
  <c r="H18" i="6"/>
  <c r="H17" i="6"/>
  <c r="H15" i="6"/>
  <c r="Z14" i="6"/>
  <c r="H14" i="6"/>
  <c r="Z13" i="6"/>
  <c r="H13" i="6"/>
  <c r="Z12" i="6"/>
  <c r="H12" i="6"/>
  <c r="Z11" i="6"/>
  <c r="Z10" i="6"/>
  <c r="AB9" i="6"/>
  <c r="Z9" i="6" s="1"/>
  <c r="Z8" i="6"/>
  <c r="Z7" i="6"/>
  <c r="AB6" i="6"/>
  <c r="Z6" i="6" s="1"/>
  <c r="AB5" i="6"/>
  <c r="Z5" i="6" s="1"/>
  <c r="Z4" i="6"/>
  <c r="X14" i="1" l="1"/>
  <c r="X13" i="1"/>
  <c r="X12" i="1"/>
  <c r="X11" i="1"/>
  <c r="X10" i="1"/>
  <c r="X9" i="1"/>
  <c r="X8" i="1"/>
  <c r="X7" i="1"/>
  <c r="X6" i="1"/>
  <c r="X5" i="1"/>
  <c r="H28" i="6" l="1"/>
  <c r="D66" i="5" l="1"/>
  <c r="M9" i="5"/>
  <c r="L9" i="5"/>
  <c r="K9" i="5"/>
  <c r="M8" i="5"/>
  <c r="L8" i="5"/>
  <c r="K8" i="5"/>
  <c r="M7" i="5"/>
  <c r="L7" i="5"/>
  <c r="K7" i="5"/>
  <c r="M6" i="5"/>
  <c r="L6" i="5"/>
  <c r="K6" i="5"/>
  <c r="M5" i="5"/>
  <c r="L5" i="5"/>
  <c r="O5" i="5" s="1"/>
  <c r="K5" i="5"/>
  <c r="H8" i="68" l="1"/>
  <c r="O8" i="5"/>
  <c r="G71" i="5" s="1"/>
  <c r="O9" i="5"/>
  <c r="H71" i="5" s="1"/>
  <c r="H34" i="6"/>
  <c r="H45" i="6"/>
  <c r="H8" i="6"/>
  <c r="H11" i="6"/>
  <c r="H22" i="6"/>
  <c r="H24" i="6"/>
  <c r="H9" i="6"/>
  <c r="H16" i="6"/>
  <c r="H58" i="6"/>
  <c r="H10" i="6"/>
  <c r="H21" i="6"/>
  <c r="H23" i="6"/>
  <c r="P5" i="5"/>
  <c r="O6" i="5"/>
  <c r="N8" i="5"/>
  <c r="O7" i="5"/>
  <c r="P9" i="5"/>
  <c r="N9" i="5"/>
  <c r="N5" i="5"/>
  <c r="P8" i="5"/>
  <c r="D96" i="5" l="1"/>
  <c r="D112" i="5"/>
  <c r="D93" i="5"/>
  <c r="D109" i="5"/>
  <c r="D106" i="5"/>
  <c r="D103" i="5"/>
  <c r="D111" i="5"/>
  <c r="D92" i="5"/>
  <c r="D108" i="5"/>
  <c r="D89" i="5"/>
  <c r="D107" i="5"/>
  <c r="D110" i="5"/>
  <c r="H68" i="5"/>
  <c r="H84" i="5"/>
  <c r="H92" i="5"/>
  <c r="H100" i="5"/>
  <c r="H108" i="5"/>
  <c r="H116" i="5"/>
  <c r="H120" i="5"/>
  <c r="H122" i="5"/>
  <c r="H73" i="5"/>
  <c r="H81" i="5"/>
  <c r="H89" i="5"/>
  <c r="H97" i="5"/>
  <c r="H105" i="5"/>
  <c r="H113" i="5"/>
  <c r="H121" i="5"/>
  <c r="H103" i="5"/>
  <c r="H70" i="5"/>
  <c r="H86" i="5"/>
  <c r="H94" i="5"/>
  <c r="H102" i="5"/>
  <c r="H110" i="5"/>
  <c r="H118" i="5"/>
  <c r="H67" i="5"/>
  <c r="H83" i="5"/>
  <c r="H91" i="5"/>
  <c r="H99" i="5"/>
  <c r="H107" i="5"/>
  <c r="H115" i="5"/>
  <c r="H72" i="5"/>
  <c r="H80" i="5"/>
  <c r="H88" i="5"/>
  <c r="H96" i="5"/>
  <c r="H104" i="5"/>
  <c r="H112" i="5"/>
  <c r="H119" i="5"/>
  <c r="H69" i="5"/>
  <c r="H85" i="5"/>
  <c r="H93" i="5"/>
  <c r="H101" i="5"/>
  <c r="H109" i="5"/>
  <c r="H117" i="5"/>
  <c r="H87" i="5"/>
  <c r="H95" i="5"/>
  <c r="H111" i="5"/>
  <c r="H123" i="5"/>
  <c r="H82" i="5"/>
  <c r="H90" i="5"/>
  <c r="H98" i="5"/>
  <c r="H106" i="5"/>
  <c r="H114" i="5"/>
  <c r="P7" i="5"/>
  <c r="F99" i="5"/>
  <c r="F119" i="5"/>
  <c r="F72" i="5"/>
  <c r="F101" i="5"/>
  <c r="F98" i="5"/>
  <c r="F71" i="5"/>
  <c r="F100" i="5"/>
  <c r="F116" i="5"/>
  <c r="G122" i="5"/>
  <c r="G73" i="5"/>
  <c r="G81" i="5"/>
  <c r="G89" i="5"/>
  <c r="G97" i="5"/>
  <c r="G113" i="5"/>
  <c r="G121" i="5"/>
  <c r="G84" i="5"/>
  <c r="G108" i="5"/>
  <c r="G94" i="5"/>
  <c r="G102" i="5"/>
  <c r="G110" i="5"/>
  <c r="G118" i="5"/>
  <c r="G67" i="5"/>
  <c r="G83" i="5"/>
  <c r="G91" i="5"/>
  <c r="G99" i="5"/>
  <c r="G107" i="5"/>
  <c r="G115" i="5"/>
  <c r="G68" i="5"/>
  <c r="G72" i="5"/>
  <c r="G80" i="5"/>
  <c r="G88" i="5"/>
  <c r="G96" i="5"/>
  <c r="G104" i="5"/>
  <c r="G112" i="5"/>
  <c r="G120" i="5"/>
  <c r="G100" i="5"/>
  <c r="G116" i="5"/>
  <c r="G69" i="5"/>
  <c r="G93" i="5"/>
  <c r="G101" i="5"/>
  <c r="G109" i="5"/>
  <c r="G117" i="5"/>
  <c r="G123" i="5"/>
  <c r="G82" i="5"/>
  <c r="G90" i="5"/>
  <c r="G98" i="5"/>
  <c r="G106" i="5"/>
  <c r="G114" i="5"/>
  <c r="G87" i="5"/>
  <c r="G95" i="5"/>
  <c r="G103" i="5"/>
  <c r="G111" i="5"/>
  <c r="G119" i="5"/>
  <c r="G92" i="5"/>
  <c r="N6" i="5"/>
  <c r="E99" i="5"/>
  <c r="E117" i="5"/>
  <c r="E116" i="5"/>
  <c r="P6" i="5"/>
  <c r="N7" i="5"/>
  <c r="G66" i="5"/>
  <c r="H66" i="5"/>
  <c r="H58" i="105" l="1"/>
  <c r="H58" i="48"/>
  <c r="H58" i="95"/>
  <c r="H58" i="78"/>
  <c r="H58" i="68"/>
  <c r="H58" i="46"/>
  <c r="H58" i="61"/>
  <c r="H58" i="8"/>
  <c r="H58" i="84"/>
  <c r="H58" i="9"/>
  <c r="H58" i="77"/>
  <c r="H58" i="45"/>
  <c r="H40" i="61"/>
  <c r="H40" i="48"/>
  <c r="H40" i="84"/>
  <c r="H40" i="46"/>
  <c r="H40" i="78"/>
  <c r="H40" i="105"/>
  <c r="H40" i="95"/>
  <c r="H40" i="45"/>
  <c r="H34" i="52"/>
  <c r="H43" i="45"/>
  <c r="H43" i="84"/>
  <c r="H43" i="61"/>
  <c r="H53" i="78"/>
  <c r="H53" i="74"/>
  <c r="H53" i="68"/>
  <c r="H53" i="52"/>
  <c r="H53" i="48"/>
  <c r="H53" i="9"/>
  <c r="H53" i="10"/>
  <c r="H124" i="5"/>
  <c r="H41" i="61"/>
  <c r="H41" i="84"/>
  <c r="H41" i="95"/>
  <c r="H41" i="90"/>
  <c r="H41" i="48"/>
  <c r="H41" i="78"/>
  <c r="H14" i="95"/>
  <c r="H14" i="90"/>
  <c r="H14" i="105"/>
  <c r="H14" i="84"/>
  <c r="H14" i="45"/>
  <c r="H14" i="77"/>
  <c r="H14" i="78"/>
  <c r="H14" i="48"/>
  <c r="H14" i="46"/>
  <c r="H14" i="61"/>
  <c r="H45" i="113"/>
  <c r="H45" i="61"/>
  <c r="E67" i="5"/>
  <c r="E107" i="5"/>
  <c r="E115" i="5"/>
  <c r="E96" i="5"/>
  <c r="E104" i="5"/>
  <c r="E112" i="5"/>
  <c r="E93" i="5"/>
  <c r="E109" i="5"/>
  <c r="E110" i="5"/>
  <c r="E106" i="5"/>
  <c r="E114" i="5"/>
  <c r="E103" i="5"/>
  <c r="E111" i="5"/>
  <c r="E94" i="5"/>
  <c r="E92" i="5"/>
  <c r="E108" i="5"/>
  <c r="E89" i="5"/>
  <c r="E97" i="5"/>
  <c r="H26" i="78"/>
  <c r="H62" i="105"/>
  <c r="H61" i="61"/>
  <c r="H62" i="96"/>
  <c r="H62" i="84"/>
  <c r="H62" i="45"/>
  <c r="H62" i="78"/>
  <c r="H62" i="46"/>
  <c r="H62" i="48"/>
  <c r="H62" i="74"/>
  <c r="H62" i="95"/>
  <c r="H48" i="113"/>
  <c r="H48" i="84"/>
  <c r="H48" i="68"/>
  <c r="H48" i="74"/>
  <c r="H48" i="61"/>
  <c r="H48" i="52"/>
  <c r="H48" i="10"/>
  <c r="H48" i="8"/>
  <c r="H48" i="9"/>
  <c r="H50" i="113"/>
  <c r="H50" i="96"/>
  <c r="H50" i="105"/>
  <c r="H50" i="52"/>
  <c r="H50" i="68"/>
  <c r="H50" i="45"/>
  <c r="H50" i="10"/>
  <c r="H50" i="9"/>
  <c r="H50" i="8"/>
  <c r="H59" i="95"/>
  <c r="H59" i="90"/>
  <c r="H59" i="8"/>
  <c r="H59" i="68"/>
  <c r="H59" i="52"/>
  <c r="H59" i="78"/>
  <c r="H52" i="113"/>
  <c r="H52" i="68"/>
  <c r="H52" i="52"/>
  <c r="H52" i="9"/>
  <c r="H52" i="8"/>
  <c r="H52" i="10"/>
  <c r="H51" i="113"/>
  <c r="H51" i="96"/>
  <c r="H51" i="74"/>
  <c r="H51" i="52"/>
  <c r="E66" i="5"/>
  <c r="F81" i="5"/>
  <c r="F73" i="5"/>
  <c r="H49" i="113"/>
  <c r="H49" i="68"/>
  <c r="H49" i="74"/>
  <c r="H49" i="48"/>
  <c r="H49" i="52"/>
  <c r="H49" i="10"/>
  <c r="H49" i="9"/>
  <c r="H49" i="8"/>
  <c r="H35" i="84"/>
  <c r="H38" i="113"/>
  <c r="H38" i="105"/>
  <c r="H38" i="90"/>
  <c r="H38" i="77"/>
  <c r="H38" i="68"/>
  <c r="H38" i="52"/>
  <c r="H38" i="46"/>
  <c r="G124" i="5"/>
  <c r="F94" i="5"/>
  <c r="F110" i="5"/>
  <c r="H52" i="90" s="1"/>
  <c r="F118" i="5"/>
  <c r="F97" i="5"/>
  <c r="F113" i="5"/>
  <c r="F67" i="5"/>
  <c r="F107" i="5"/>
  <c r="F115" i="5"/>
  <c r="F80" i="5"/>
  <c r="F88" i="5"/>
  <c r="F96" i="5"/>
  <c r="F104" i="5"/>
  <c r="F112" i="5"/>
  <c r="F93" i="5"/>
  <c r="F109" i="5"/>
  <c r="F117" i="5"/>
  <c r="F122" i="5"/>
  <c r="F123" i="5"/>
  <c r="F82" i="5"/>
  <c r="F106" i="5"/>
  <c r="F114" i="5"/>
  <c r="F89" i="5"/>
  <c r="F87" i="5"/>
  <c r="F103" i="5"/>
  <c r="F111" i="5"/>
  <c r="F68" i="5"/>
  <c r="F92" i="5"/>
  <c r="F108" i="5"/>
  <c r="H42" i="105"/>
  <c r="H42" i="48"/>
  <c r="H42" i="96"/>
  <c r="H42" i="74"/>
  <c r="H42" i="90"/>
  <c r="H42" i="61"/>
  <c r="H42" i="77"/>
  <c r="H42" i="45"/>
  <c r="H31" i="113"/>
  <c r="H31" i="105"/>
  <c r="H31" i="95"/>
  <c r="H31" i="96"/>
  <c r="H31" i="68"/>
  <c r="H31" i="78"/>
  <c r="H31" i="74"/>
  <c r="H31" i="61"/>
  <c r="H31" i="46"/>
  <c r="H31" i="48"/>
  <c r="H31" i="8"/>
  <c r="H31" i="52"/>
  <c r="H31" i="10"/>
  <c r="H31" i="9"/>
  <c r="D124" i="5"/>
  <c r="F66" i="5"/>
  <c r="H36" i="6"/>
  <c r="H43" i="6"/>
  <c r="H44" i="6"/>
  <c r="H51" i="6"/>
  <c r="H37" i="6"/>
  <c r="H33" i="6"/>
  <c r="H49" i="6"/>
  <c r="H48" i="6"/>
  <c r="H30" i="6"/>
  <c r="H32" i="6"/>
  <c r="F124" i="5" l="1"/>
  <c r="H65" i="78"/>
  <c r="H65" i="77"/>
  <c r="H65" i="46"/>
  <c r="H65" i="95"/>
  <c r="H65" i="45"/>
  <c r="H65" i="84"/>
  <c r="H64" i="61"/>
  <c r="H65" i="48"/>
  <c r="H65" i="105"/>
  <c r="H22" i="105"/>
  <c r="H22" i="77"/>
  <c r="H22" i="96"/>
  <c r="H22" i="95"/>
  <c r="H22" i="45"/>
  <c r="H22" i="90"/>
  <c r="H22" i="78"/>
  <c r="H22" i="84"/>
  <c r="H22" i="61"/>
  <c r="H22" i="48"/>
  <c r="H22" i="46"/>
  <c r="H38" i="74"/>
  <c r="H38" i="95"/>
  <c r="H49" i="90"/>
  <c r="H15" i="84"/>
  <c r="H15" i="48"/>
  <c r="H15" i="46"/>
  <c r="H15" i="77"/>
  <c r="H15" i="105"/>
  <c r="H15" i="95"/>
  <c r="H15" i="78"/>
  <c r="H15" i="45"/>
  <c r="H15" i="90"/>
  <c r="H15" i="61"/>
  <c r="H51" i="45"/>
  <c r="H51" i="48"/>
  <c r="H52" i="48"/>
  <c r="H59" i="105"/>
  <c r="H50" i="84"/>
  <c r="H48" i="45"/>
  <c r="H48" i="77"/>
  <c r="H48" i="78"/>
  <c r="H36" i="74"/>
  <c r="H36" i="8"/>
  <c r="H36" i="113"/>
  <c r="H36" i="96"/>
  <c r="H36" i="45"/>
  <c r="H36" i="105"/>
  <c r="H36" i="61"/>
  <c r="H36" i="48"/>
  <c r="H36" i="77"/>
  <c r="H36" i="95"/>
  <c r="H36" i="84"/>
  <c r="H36" i="52"/>
  <c r="H36" i="46"/>
  <c r="H36" i="90"/>
  <c r="H36" i="78"/>
  <c r="H45" i="84"/>
  <c r="H53" i="61"/>
  <c r="H34" i="45"/>
  <c r="H34" i="68"/>
  <c r="H10" i="46"/>
  <c r="H10" i="105"/>
  <c r="H10" i="48"/>
  <c r="H10" i="61"/>
  <c r="H10" i="95"/>
  <c r="H10" i="78"/>
  <c r="H10" i="90"/>
  <c r="H10" i="74"/>
  <c r="H10" i="45"/>
  <c r="H10" i="77"/>
  <c r="H10" i="84"/>
  <c r="H31" i="84"/>
  <c r="H38" i="48"/>
  <c r="H35" i="77"/>
  <c r="H35" i="90"/>
  <c r="H49" i="77"/>
  <c r="H49" i="95"/>
  <c r="H23" i="61"/>
  <c r="H23" i="45"/>
  <c r="H23" i="77"/>
  <c r="H23" i="105"/>
  <c r="H23" i="95"/>
  <c r="H23" i="78"/>
  <c r="H23" i="46"/>
  <c r="H23" i="48"/>
  <c r="H23" i="84"/>
  <c r="H23" i="90"/>
  <c r="H51" i="77"/>
  <c r="H51" i="105"/>
  <c r="H52" i="46"/>
  <c r="H52" i="105"/>
  <c r="H59" i="96"/>
  <c r="H59" i="48"/>
  <c r="H50" i="74"/>
  <c r="H48" i="90"/>
  <c r="H46" i="84"/>
  <c r="H46" i="113"/>
  <c r="H46" i="96"/>
  <c r="H46" i="78"/>
  <c r="H46" i="45"/>
  <c r="H46" i="74"/>
  <c r="H46" i="9"/>
  <c r="H46" i="77"/>
  <c r="H46" i="61"/>
  <c r="H46" i="48"/>
  <c r="H46" i="46"/>
  <c r="H46" i="95"/>
  <c r="H46" i="105"/>
  <c r="H46" i="90"/>
  <c r="H46" i="8"/>
  <c r="H53" i="84"/>
  <c r="H34" i="74"/>
  <c r="H34" i="96"/>
  <c r="H52" i="95"/>
  <c r="H34" i="113"/>
  <c r="H67" i="10"/>
  <c r="H31" i="90"/>
  <c r="H29" i="46"/>
  <c r="H29" i="105"/>
  <c r="H29" i="96"/>
  <c r="H29" i="78"/>
  <c r="H29" i="45"/>
  <c r="H29" i="61"/>
  <c r="H29" i="77"/>
  <c r="H29" i="95"/>
  <c r="H29" i="48"/>
  <c r="H29" i="84"/>
  <c r="H29" i="113"/>
  <c r="H29" i="90"/>
  <c r="H38" i="61"/>
  <c r="H35" i="46"/>
  <c r="H35" i="52"/>
  <c r="H35" i="95"/>
  <c r="H49" i="45"/>
  <c r="H52" i="77"/>
  <c r="H59" i="61"/>
  <c r="H59" i="45"/>
  <c r="H50" i="48"/>
  <c r="H50" i="78"/>
  <c r="H50" i="90"/>
  <c r="H48" i="95"/>
  <c r="H45" i="45"/>
  <c r="H45" i="77"/>
  <c r="H45" i="90"/>
  <c r="H53" i="46"/>
  <c r="H34" i="78"/>
  <c r="H34" i="105"/>
  <c r="H34" i="84"/>
  <c r="H52" i="84"/>
  <c r="H50" i="46"/>
  <c r="H50" i="77"/>
  <c r="H50" i="95"/>
  <c r="H56" i="105"/>
  <c r="H56" i="77"/>
  <c r="H56" i="61"/>
  <c r="H56" i="78"/>
  <c r="H56" i="48"/>
  <c r="H56" i="68"/>
  <c r="H56" i="46"/>
  <c r="H56" i="84"/>
  <c r="H56" i="95"/>
  <c r="H56" i="45"/>
  <c r="H56" i="90"/>
  <c r="H56" i="113"/>
  <c r="H57" i="113"/>
  <c r="H57" i="96"/>
  <c r="H57" i="45"/>
  <c r="H57" i="68"/>
  <c r="H57" i="77"/>
  <c r="H57" i="46"/>
  <c r="H57" i="105"/>
  <c r="H57" i="52"/>
  <c r="H57" i="95"/>
  <c r="H57" i="48"/>
  <c r="H57" i="9"/>
  <c r="H57" i="90"/>
  <c r="H57" i="61"/>
  <c r="H57" i="8"/>
  <c r="H57" i="84"/>
  <c r="H57" i="78"/>
  <c r="H45" i="95"/>
  <c r="H53" i="90"/>
  <c r="H30" i="45"/>
  <c r="H30" i="61"/>
  <c r="H30" i="95"/>
  <c r="H30" i="84"/>
  <c r="H30" i="105"/>
  <c r="H30" i="90"/>
  <c r="H30" i="74"/>
  <c r="H30" i="48"/>
  <c r="H30" i="96"/>
  <c r="H30" i="78"/>
  <c r="H30" i="77"/>
  <c r="H31" i="45"/>
  <c r="H31" i="77"/>
  <c r="H38" i="45"/>
  <c r="H38" i="78"/>
  <c r="H38" i="84"/>
  <c r="H35" i="45"/>
  <c r="H35" i="61"/>
  <c r="H35" i="68"/>
  <c r="H35" i="74"/>
  <c r="H35" i="105"/>
  <c r="H49" i="78"/>
  <c r="H49" i="105"/>
  <c r="E124" i="5"/>
  <c r="H8" i="90"/>
  <c r="H8" i="113"/>
  <c r="H8" i="84"/>
  <c r="H8" i="45"/>
  <c r="H8" i="96"/>
  <c r="H8" i="78"/>
  <c r="H8" i="77"/>
  <c r="H8" i="95"/>
  <c r="H8" i="105"/>
  <c r="H8" i="74"/>
  <c r="H8" i="61"/>
  <c r="H8" i="52"/>
  <c r="H8" i="46"/>
  <c r="H8" i="48"/>
  <c r="H51" i="78"/>
  <c r="H51" i="84"/>
  <c r="H52" i="96"/>
  <c r="H59" i="74"/>
  <c r="H59" i="46"/>
  <c r="H50" i="61"/>
  <c r="H48" i="46"/>
  <c r="H39" i="113"/>
  <c r="H39" i="84"/>
  <c r="H39" i="78"/>
  <c r="H39" i="105"/>
  <c r="H39" i="96"/>
  <c r="H39" i="74"/>
  <c r="H39" i="46"/>
  <c r="H39" i="68"/>
  <c r="H39" i="48"/>
  <c r="H39" i="61"/>
  <c r="H39" i="77"/>
  <c r="H39" i="45"/>
  <c r="H39" i="95"/>
  <c r="H39" i="90"/>
  <c r="H39" i="52"/>
  <c r="H45" i="46"/>
  <c r="H45" i="68"/>
  <c r="H67" i="68" s="1"/>
  <c r="H53" i="77"/>
  <c r="H53" i="95"/>
  <c r="H53" i="105"/>
  <c r="H34" i="48"/>
  <c r="H34" i="77"/>
  <c r="H34" i="90"/>
  <c r="H35" i="78"/>
  <c r="H35" i="96"/>
  <c r="H49" i="46"/>
  <c r="H49" i="61"/>
  <c r="H49" i="96"/>
  <c r="H51" i="90"/>
  <c r="H52" i="74"/>
  <c r="H59" i="77"/>
  <c r="H48" i="48"/>
  <c r="H48" i="105"/>
  <c r="H9" i="113"/>
  <c r="H9" i="77"/>
  <c r="H9" i="45"/>
  <c r="H9" i="105"/>
  <c r="H9" i="95"/>
  <c r="H9" i="90"/>
  <c r="H9" i="52"/>
  <c r="H9" i="48"/>
  <c r="H9" i="8"/>
  <c r="H67" i="8" s="1"/>
  <c r="H9" i="84"/>
  <c r="H9" i="78"/>
  <c r="H9" i="96"/>
  <c r="H9" i="74"/>
  <c r="H9" i="61"/>
  <c r="H9" i="9"/>
  <c r="H9" i="46"/>
  <c r="H45" i="48"/>
  <c r="H45" i="74"/>
  <c r="H45" i="105"/>
  <c r="H34" i="61"/>
  <c r="H34" i="95"/>
  <c r="H66" i="84"/>
  <c r="H66" i="48"/>
  <c r="H65" i="61"/>
  <c r="H66" i="105"/>
  <c r="H66" i="95"/>
  <c r="H66" i="78"/>
  <c r="H66" i="46"/>
  <c r="H66" i="77"/>
  <c r="H66" i="45"/>
  <c r="H24" i="84"/>
  <c r="H24" i="95"/>
  <c r="H24" i="78"/>
  <c r="H24" i="74"/>
  <c r="H24" i="48"/>
  <c r="H24" i="46"/>
  <c r="H24" i="45"/>
  <c r="H24" i="77"/>
  <c r="H24" i="105"/>
  <c r="H24" i="90"/>
  <c r="H24" i="61"/>
  <c r="H61" i="90"/>
  <c r="H60" i="61"/>
  <c r="H61" i="48"/>
  <c r="H61" i="105"/>
  <c r="H61" i="46"/>
  <c r="H61" i="84"/>
  <c r="H61" i="77"/>
  <c r="H61" i="45"/>
  <c r="H61" i="78"/>
  <c r="H61" i="74"/>
  <c r="H35" i="48"/>
  <c r="H35" i="113"/>
  <c r="H49" i="84"/>
  <c r="H51" i="46"/>
  <c r="H51" i="61"/>
  <c r="H51" i="95"/>
  <c r="H52" i="45"/>
  <c r="H52" i="61"/>
  <c r="H52" i="78"/>
  <c r="H59" i="84"/>
  <c r="H48" i="96"/>
  <c r="H45" i="52"/>
  <c r="H45" i="78"/>
  <c r="H45" i="96"/>
  <c r="H53" i="45"/>
  <c r="H34" i="46"/>
  <c r="H66" i="6"/>
  <c r="H67" i="9" l="1"/>
  <c r="H66" i="61"/>
  <c r="H67" i="95"/>
  <c r="H67" i="96"/>
  <c r="H67" i="113"/>
  <c r="H67" i="52"/>
  <c r="H67" i="74"/>
  <c r="H67" i="45"/>
  <c r="H67" i="90"/>
  <c r="H67" i="78"/>
  <c r="H67" i="48"/>
  <c r="H67" i="105"/>
  <c r="H67" i="77"/>
  <c r="H67" i="84"/>
  <c r="H67" i="46"/>
  <c r="M68" i="2" l="1"/>
  <c r="M55" i="2"/>
  <c r="M48" i="2"/>
  <c r="M59" i="2"/>
  <c r="M66" i="2"/>
  <c r="M67" i="2"/>
  <c r="M56" i="2"/>
  <c r="M58" i="2"/>
  <c r="M84" i="2"/>
  <c r="M47" i="2"/>
  <c r="M51" i="2"/>
  <c r="M62" i="2"/>
  <c r="M38" i="2"/>
  <c r="M69" i="2"/>
  <c r="M61" i="2"/>
  <c r="B4" i="90"/>
  <c r="B6" i="90" s="1"/>
  <c r="M63" i="2"/>
  <c r="M39" i="2"/>
  <c r="M64" i="2"/>
  <c r="M44" i="2"/>
  <c r="M50" i="2"/>
  <c r="M43" i="2"/>
  <c r="M53" i="2"/>
  <c r="B4" i="78"/>
  <c r="B6" i="78" s="1"/>
  <c r="M42" i="2"/>
  <c r="M70" i="2"/>
  <c r="M29" i="2"/>
  <c r="M33" i="2"/>
  <c r="M19" i="2"/>
  <c r="M20" i="2"/>
  <c r="M6" i="2"/>
  <c r="B4" i="61"/>
  <c r="B6" i="61" s="1"/>
  <c r="M34" i="2"/>
  <c r="M36" i="2"/>
  <c r="M16" i="2"/>
  <c r="M21" i="2"/>
  <c r="M18" i="2"/>
  <c r="M22" i="2"/>
  <c r="M4" i="2"/>
  <c r="M24" i="2"/>
  <c r="M8" i="2"/>
  <c r="M37" i="2"/>
  <c r="B4" i="46"/>
  <c r="B6" i="46" s="1"/>
  <c r="M13" i="2"/>
  <c r="M27" i="2"/>
  <c r="M14" i="2"/>
  <c r="M5" i="2"/>
  <c r="M10" i="2"/>
  <c r="M15" i="2"/>
  <c r="M17" i="2"/>
  <c r="M9" i="2"/>
  <c r="M32" i="2"/>
  <c r="M35" i="2"/>
  <c r="M7" i="2"/>
  <c r="L85" i="2"/>
  <c r="H85" i="2"/>
  <c r="T84" i="2"/>
  <c r="S84" i="2"/>
  <c r="R84" i="2"/>
  <c r="Q84" i="2"/>
  <c r="P84" i="2"/>
  <c r="T70" i="2"/>
  <c r="S70" i="2"/>
  <c r="R70" i="2"/>
  <c r="Q70" i="2"/>
  <c r="P70" i="2"/>
  <c r="T69" i="2"/>
  <c r="S69" i="2"/>
  <c r="R69" i="2"/>
  <c r="Q69" i="2"/>
  <c r="P69" i="2"/>
  <c r="T68" i="2"/>
  <c r="S68" i="2"/>
  <c r="R68" i="2"/>
  <c r="Q68" i="2"/>
  <c r="P68" i="2"/>
  <c r="T67" i="2"/>
  <c r="S67" i="2"/>
  <c r="R67" i="2"/>
  <c r="Q67" i="2"/>
  <c r="P67" i="2"/>
  <c r="T66" i="2"/>
  <c r="S66" i="2"/>
  <c r="R66" i="2"/>
  <c r="Q66" i="2"/>
  <c r="P66" i="2"/>
  <c r="T65" i="2"/>
  <c r="S65" i="2"/>
  <c r="R65" i="2"/>
  <c r="Q65" i="2"/>
  <c r="P65" i="2"/>
  <c r="M65" i="2"/>
  <c r="T64" i="2"/>
  <c r="S64" i="2"/>
  <c r="R64" i="2"/>
  <c r="Q64" i="2"/>
  <c r="P64" i="2"/>
  <c r="T63" i="2"/>
  <c r="S63" i="2"/>
  <c r="R63" i="2"/>
  <c r="Q63" i="2"/>
  <c r="P63" i="2"/>
  <c r="T62" i="2"/>
  <c r="S62" i="2"/>
  <c r="R62" i="2"/>
  <c r="Q62" i="2"/>
  <c r="P62" i="2"/>
  <c r="T61" i="2"/>
  <c r="S61" i="2"/>
  <c r="R61" i="2"/>
  <c r="Q61" i="2"/>
  <c r="P61" i="2"/>
  <c r="T60" i="2"/>
  <c r="S60" i="2"/>
  <c r="R60" i="2"/>
  <c r="Q60" i="2"/>
  <c r="P60" i="2"/>
  <c r="M60" i="2"/>
  <c r="T59" i="2"/>
  <c r="S59" i="2"/>
  <c r="R59" i="2"/>
  <c r="Q59" i="2"/>
  <c r="P59" i="2"/>
  <c r="T58" i="2"/>
  <c r="S58" i="2"/>
  <c r="R58" i="2"/>
  <c r="Q58" i="2"/>
  <c r="P58" i="2"/>
  <c r="T57" i="2"/>
  <c r="S57" i="2"/>
  <c r="R57" i="2"/>
  <c r="Q57" i="2"/>
  <c r="P57" i="2"/>
  <c r="M57" i="2"/>
  <c r="T56" i="2"/>
  <c r="S56" i="2"/>
  <c r="R56" i="2"/>
  <c r="Q56" i="2"/>
  <c r="P56" i="2"/>
  <c r="T55" i="2"/>
  <c r="S55" i="2"/>
  <c r="R55" i="2"/>
  <c r="Q55" i="2"/>
  <c r="P55" i="2"/>
  <c r="T54" i="2"/>
  <c r="S54" i="2"/>
  <c r="R54" i="2"/>
  <c r="Q54" i="2"/>
  <c r="P54" i="2"/>
  <c r="M54" i="2"/>
  <c r="T53" i="2"/>
  <c r="S53" i="2"/>
  <c r="R53" i="2"/>
  <c r="Q53" i="2"/>
  <c r="P53" i="2"/>
  <c r="T52" i="2"/>
  <c r="S52" i="2"/>
  <c r="R52" i="2"/>
  <c r="Q52" i="2"/>
  <c r="P52" i="2"/>
  <c r="M52" i="2"/>
  <c r="T51" i="2"/>
  <c r="S51" i="2"/>
  <c r="R51" i="2"/>
  <c r="Q51" i="2"/>
  <c r="P51" i="2"/>
  <c r="T50" i="2"/>
  <c r="S50" i="2"/>
  <c r="R50" i="2"/>
  <c r="Q50" i="2"/>
  <c r="P50" i="2"/>
  <c r="T49" i="2"/>
  <c r="S49" i="2"/>
  <c r="R49" i="2"/>
  <c r="Q49" i="2"/>
  <c r="P49" i="2"/>
  <c r="M49" i="2"/>
  <c r="T48" i="2"/>
  <c r="S48" i="2"/>
  <c r="R48" i="2"/>
  <c r="Q48" i="2"/>
  <c r="P48" i="2"/>
  <c r="T47" i="2"/>
  <c r="S47" i="2"/>
  <c r="R47" i="2"/>
  <c r="Q47" i="2"/>
  <c r="P47" i="2"/>
  <c r="T46" i="2"/>
  <c r="S46" i="2"/>
  <c r="R46" i="2"/>
  <c r="Q46" i="2"/>
  <c r="P46" i="2"/>
  <c r="M46" i="2"/>
  <c r="T45" i="2"/>
  <c r="S45" i="2"/>
  <c r="R45" i="2"/>
  <c r="Q45" i="2"/>
  <c r="P45" i="2"/>
  <c r="M45" i="2"/>
  <c r="T44" i="2"/>
  <c r="S44" i="2"/>
  <c r="R44" i="2"/>
  <c r="Q44" i="2"/>
  <c r="P44" i="2"/>
  <c r="T43" i="2"/>
  <c r="S43" i="2"/>
  <c r="R43" i="2"/>
  <c r="Q43" i="2"/>
  <c r="P43" i="2"/>
  <c r="T42" i="2"/>
  <c r="S42" i="2"/>
  <c r="R42" i="2"/>
  <c r="Q42" i="2"/>
  <c r="P42" i="2"/>
  <c r="T41" i="2"/>
  <c r="S41" i="2"/>
  <c r="R41" i="2"/>
  <c r="Q41" i="2"/>
  <c r="P41" i="2"/>
  <c r="M41" i="2"/>
  <c r="T40" i="2"/>
  <c r="S40" i="2"/>
  <c r="R40" i="2"/>
  <c r="Q40" i="2"/>
  <c r="P40" i="2"/>
  <c r="M40" i="2"/>
  <c r="T39" i="2"/>
  <c r="S39" i="2"/>
  <c r="R39" i="2"/>
  <c r="Q39" i="2"/>
  <c r="P39" i="2"/>
  <c r="T38" i="2"/>
  <c r="S38" i="2"/>
  <c r="R38" i="2"/>
  <c r="Q38" i="2"/>
  <c r="P38" i="2"/>
  <c r="T37" i="2"/>
  <c r="S37" i="2"/>
  <c r="R37" i="2"/>
  <c r="Q37" i="2"/>
  <c r="P37" i="2"/>
  <c r="T36" i="2"/>
  <c r="S36" i="2"/>
  <c r="R36" i="2"/>
  <c r="Q36" i="2"/>
  <c r="P36" i="2"/>
  <c r="T35" i="2"/>
  <c r="S35" i="2"/>
  <c r="R35" i="2"/>
  <c r="Q35" i="2"/>
  <c r="P35" i="2"/>
  <c r="T34" i="2"/>
  <c r="S34" i="2"/>
  <c r="R34" i="2"/>
  <c r="Q34" i="2"/>
  <c r="P34" i="2"/>
  <c r="T33" i="2"/>
  <c r="S33" i="2"/>
  <c r="R33" i="2"/>
  <c r="Q33" i="2"/>
  <c r="P33" i="2"/>
  <c r="T32" i="2"/>
  <c r="S32" i="2"/>
  <c r="R32" i="2"/>
  <c r="Q32" i="2"/>
  <c r="P32" i="2"/>
  <c r="T31" i="2"/>
  <c r="S31" i="2"/>
  <c r="R31" i="2"/>
  <c r="Q31" i="2"/>
  <c r="P31" i="2"/>
  <c r="M31" i="2"/>
  <c r="T30" i="2"/>
  <c r="S30" i="2"/>
  <c r="R30" i="2"/>
  <c r="Q30" i="2"/>
  <c r="P30" i="2"/>
  <c r="M30" i="2"/>
  <c r="T29" i="2"/>
  <c r="S29" i="2"/>
  <c r="R29" i="2"/>
  <c r="Q29" i="2"/>
  <c r="P29" i="2"/>
  <c r="T28" i="2"/>
  <c r="S28" i="2"/>
  <c r="R28" i="2"/>
  <c r="Q28" i="2"/>
  <c r="P28" i="2"/>
  <c r="M28" i="2"/>
  <c r="T27" i="2"/>
  <c r="S27" i="2"/>
  <c r="R27" i="2"/>
  <c r="Q27" i="2"/>
  <c r="P27" i="2"/>
  <c r="T26" i="2"/>
  <c r="S26" i="2"/>
  <c r="R26" i="2"/>
  <c r="Q26" i="2"/>
  <c r="P26" i="2"/>
  <c r="M26" i="2"/>
  <c r="T25" i="2"/>
  <c r="S25" i="2"/>
  <c r="R25" i="2"/>
  <c r="Q25" i="2"/>
  <c r="P25" i="2"/>
  <c r="M25" i="2"/>
  <c r="T24" i="2"/>
  <c r="S24" i="2"/>
  <c r="R24" i="2"/>
  <c r="Q24" i="2"/>
  <c r="P24" i="2"/>
  <c r="T23" i="2"/>
  <c r="S23" i="2"/>
  <c r="R23" i="2"/>
  <c r="Q23" i="2"/>
  <c r="P23" i="2"/>
  <c r="M23" i="2"/>
  <c r="T22" i="2"/>
  <c r="S22" i="2"/>
  <c r="R22" i="2"/>
  <c r="Q22" i="2"/>
  <c r="P22" i="2"/>
  <c r="T21" i="2"/>
  <c r="S21" i="2"/>
  <c r="R21" i="2"/>
  <c r="Q21" i="2"/>
  <c r="P21" i="2"/>
  <c r="T20" i="2"/>
  <c r="S20" i="2"/>
  <c r="R20" i="2"/>
  <c r="Q20" i="2"/>
  <c r="P20" i="2"/>
  <c r="T19" i="2"/>
  <c r="S19" i="2"/>
  <c r="R19" i="2"/>
  <c r="Q19" i="2"/>
  <c r="P19" i="2"/>
  <c r="T18" i="2"/>
  <c r="S18" i="2"/>
  <c r="R18" i="2"/>
  <c r="Q18" i="2"/>
  <c r="P18" i="2"/>
  <c r="T17" i="2"/>
  <c r="S17" i="2"/>
  <c r="R17" i="2"/>
  <c r="Q17" i="2"/>
  <c r="P17" i="2"/>
  <c r="T16" i="2"/>
  <c r="S16" i="2"/>
  <c r="R16" i="2"/>
  <c r="Q16" i="2"/>
  <c r="P16" i="2"/>
  <c r="T15" i="2"/>
  <c r="S15" i="2"/>
  <c r="R15" i="2"/>
  <c r="Q15" i="2"/>
  <c r="P15" i="2"/>
  <c r="T14" i="2"/>
  <c r="S14" i="2"/>
  <c r="R14" i="2"/>
  <c r="Q14" i="2"/>
  <c r="P14" i="2"/>
  <c r="T13" i="2"/>
  <c r="S13" i="2"/>
  <c r="R13" i="2"/>
  <c r="Q13" i="2"/>
  <c r="P13" i="2"/>
  <c r="T12" i="2"/>
  <c r="S12" i="2"/>
  <c r="R12" i="2"/>
  <c r="Q12" i="2"/>
  <c r="P12" i="2"/>
  <c r="M12" i="2"/>
  <c r="T11" i="2"/>
  <c r="S11" i="2"/>
  <c r="R11" i="2"/>
  <c r="Q11" i="2"/>
  <c r="P11" i="2"/>
  <c r="M11" i="2"/>
  <c r="T10" i="2"/>
  <c r="S10" i="2"/>
  <c r="R10" i="2"/>
  <c r="Q10" i="2"/>
  <c r="P10" i="2"/>
  <c r="T9" i="2"/>
  <c r="S9" i="2"/>
  <c r="R9" i="2"/>
  <c r="Q9" i="2"/>
  <c r="P9" i="2"/>
  <c r="T8" i="2"/>
  <c r="S8" i="2"/>
  <c r="R8" i="2"/>
  <c r="Q8" i="2"/>
  <c r="P8" i="2"/>
  <c r="T7" i="2"/>
  <c r="S7" i="2"/>
  <c r="R7" i="2"/>
  <c r="Q7" i="2"/>
  <c r="P7" i="2"/>
  <c r="T6" i="2"/>
  <c r="S6" i="2"/>
  <c r="R6" i="2"/>
  <c r="Q6" i="2"/>
  <c r="P6" i="2"/>
  <c r="T5" i="2"/>
  <c r="S5" i="2"/>
  <c r="R5" i="2"/>
  <c r="Q5" i="2"/>
  <c r="P5" i="2"/>
  <c r="T4" i="2"/>
  <c r="S4" i="2"/>
  <c r="R4" i="2"/>
  <c r="Q4" i="2"/>
  <c r="P4" i="2"/>
  <c r="T3" i="2"/>
  <c r="S3" i="2"/>
  <c r="R3" i="2"/>
  <c r="Q3" i="2"/>
  <c r="N84" i="2" l="1"/>
  <c r="N70" i="2" l="1"/>
  <c r="O70" i="2" s="1"/>
  <c r="N65" i="2"/>
  <c r="O65" i="2" s="1"/>
  <c r="N39" i="2"/>
  <c r="O39" i="2" s="1"/>
  <c r="N10" i="2"/>
  <c r="O10" i="2" s="1"/>
  <c r="N11" i="2"/>
  <c r="O11" i="2" s="1"/>
  <c r="N64" i="2"/>
  <c r="O64" i="2" s="1"/>
  <c r="N50" i="2"/>
  <c r="O50" i="2" s="1"/>
  <c r="N43" i="2"/>
  <c r="O43" i="2" s="1"/>
  <c r="N51" i="2"/>
  <c r="O51" i="2" s="1"/>
  <c r="N3" i="2"/>
  <c r="N66" i="2"/>
  <c r="O66" i="2" s="1"/>
  <c r="N25" i="2"/>
  <c r="O25" i="2" s="1"/>
  <c r="N8" i="2"/>
  <c r="O8" i="2" s="1"/>
  <c r="N9" i="2"/>
  <c r="O9" i="2" s="1"/>
  <c r="N20" i="2"/>
  <c r="O20" i="2" s="1"/>
  <c r="N63" i="2"/>
  <c r="O63" i="2" s="1"/>
  <c r="N55" i="2"/>
  <c r="O55" i="2" s="1"/>
  <c r="N14" i="2"/>
  <c r="O14" i="2" s="1"/>
  <c r="N32" i="2"/>
  <c r="O32" i="2" s="1"/>
  <c r="N42" i="2"/>
  <c r="O42" i="2" s="1"/>
  <c r="N27" i="2"/>
  <c r="O27" i="2" s="1"/>
  <c r="N17" i="2"/>
  <c r="O17" i="2" s="1"/>
  <c r="N52" i="2"/>
  <c r="O52" i="2" s="1"/>
  <c r="N23" i="2"/>
  <c r="O23" i="2" s="1"/>
  <c r="N18" i="2"/>
  <c r="O18" i="2" s="1"/>
  <c r="N46" i="2"/>
  <c r="O46" i="2" s="1"/>
  <c r="N60" i="2"/>
  <c r="O60" i="2" s="1"/>
  <c r="N12" i="2"/>
  <c r="O12" i="2" s="1"/>
  <c r="N69" i="2"/>
  <c r="O69" i="2" s="1"/>
  <c r="N31" i="2"/>
  <c r="O31" i="2" s="1"/>
  <c r="N22" i="2"/>
  <c r="O22" i="2" s="1"/>
  <c r="N44" i="2"/>
  <c r="O44" i="2" s="1"/>
  <c r="N59" i="2"/>
  <c r="O59" i="2" s="1"/>
  <c r="N30" i="2"/>
  <c r="O30" i="2" s="1"/>
  <c r="N35" i="2"/>
  <c r="O35" i="2" s="1"/>
  <c r="N56" i="2"/>
  <c r="O56" i="2" s="1"/>
  <c r="N24" i="2"/>
  <c r="O24" i="2" s="1"/>
  <c r="N13" i="2"/>
  <c r="O13" i="2" s="1"/>
  <c r="N67" i="2"/>
  <c r="O67" i="2" s="1"/>
  <c r="N4" i="2"/>
  <c r="O4" i="2" s="1"/>
  <c r="N58" i="2"/>
  <c r="O58" i="2" s="1"/>
  <c r="N41" i="2"/>
  <c r="O41" i="2" s="1"/>
  <c r="N34" i="2"/>
  <c r="O34" i="2" s="1"/>
  <c r="N6" i="2"/>
  <c r="O6" i="2" s="1"/>
  <c r="N45" i="2"/>
  <c r="O45" i="2" s="1"/>
  <c r="N49" i="2"/>
  <c r="O49" i="2" s="1"/>
  <c r="N19" i="2"/>
  <c r="O19" i="2" s="1"/>
  <c r="N5" i="2"/>
  <c r="O5" i="2" s="1"/>
  <c r="N54" i="2"/>
  <c r="O54" i="2" s="1"/>
  <c r="N7" i="2"/>
  <c r="O7" i="2" s="1"/>
  <c r="N21" i="2"/>
  <c r="O21" i="2" s="1"/>
  <c r="N29" i="2"/>
  <c r="O29" i="2" s="1"/>
  <c r="N53" i="2"/>
  <c r="O53" i="2" s="1"/>
  <c r="N48" i="2"/>
  <c r="O48" i="2" s="1"/>
  <c r="N33" i="2"/>
  <c r="O33" i="2" s="1"/>
  <c r="N57" i="2"/>
  <c r="O57" i="2" s="1"/>
  <c r="N15" i="2"/>
  <c r="O15" i="2" s="1"/>
  <c r="N36" i="2"/>
  <c r="O36" i="2" s="1"/>
  <c r="N61" i="2"/>
  <c r="O61" i="2" s="1"/>
  <c r="N38" i="2"/>
  <c r="O38" i="2" s="1"/>
  <c r="N62" i="2"/>
  <c r="O62" i="2" s="1"/>
  <c r="N40" i="2"/>
  <c r="O40" i="2" s="1"/>
  <c r="N47" i="2"/>
  <c r="O47" i="2" s="1"/>
  <c r="N16" i="2"/>
  <c r="O16" i="2" s="1"/>
  <c r="N26" i="2"/>
  <c r="O26" i="2" s="1"/>
  <c r="N28" i="2"/>
  <c r="O28" i="2" s="1"/>
  <c r="N37" i="2"/>
  <c r="O37" i="2" s="1"/>
  <c r="N68" i="2"/>
  <c r="O68" i="2" s="1"/>
  <c r="O3" i="2" l="1"/>
  <c r="N85" i="2"/>
</calcChain>
</file>

<file path=xl/comments1.xml><?xml version="1.0" encoding="utf-8"?>
<comments xmlns="http://schemas.openxmlformats.org/spreadsheetml/2006/main">
  <authors>
    <author>tuoi.pham</author>
  </authors>
  <commentList>
    <comment ref="F13" authorId="0" shapeId="0">
      <text>
        <r>
          <rPr>
            <b/>
            <sz val="9"/>
            <color indexed="81"/>
            <rFont val="Tahoma"/>
            <family val="2"/>
          </rPr>
          <t>tuoi.pham:</t>
        </r>
        <r>
          <rPr>
            <sz val="9"/>
            <color indexed="81"/>
            <rFont val="Tahoma"/>
            <family val="2"/>
          </rPr>
          <t xml:space="preserve">
Vân Hường</t>
        </r>
      </text>
    </comment>
    <comment ref="F42" authorId="0" shapeId="0">
      <text>
        <r>
          <rPr>
            <b/>
            <sz val="9"/>
            <color indexed="81"/>
            <rFont val="Tahoma"/>
            <family val="2"/>
          </rPr>
          <t>tuoi.pham:</t>
        </r>
        <r>
          <rPr>
            <sz val="9"/>
            <color indexed="81"/>
            <rFont val="Tahoma"/>
            <family val="2"/>
          </rPr>
          <t xml:space="preserve">
trang2.le</t>
        </r>
      </text>
    </comment>
    <comment ref="F56" authorId="0" shapeId="0">
      <text>
        <r>
          <rPr>
            <b/>
            <sz val="9"/>
            <color rgb="FF000000"/>
            <rFont val="Tahoma"/>
            <family val="2"/>
          </rPr>
          <t>tuoi.pham:</t>
        </r>
        <r>
          <rPr>
            <sz val="9"/>
            <color rgb="FF000000"/>
            <rFont val="Tahoma"/>
            <family val="2"/>
          </rPr>
          <t xml:space="preserve">
</t>
        </r>
        <r>
          <rPr>
            <sz val="9"/>
            <color rgb="FF000000"/>
            <rFont val="Tahoma"/>
            <family val="2"/>
          </rPr>
          <t>nguyet2.nguyen</t>
        </r>
      </text>
    </comment>
    <comment ref="F58" authorId="0" shapeId="0">
      <text>
        <r>
          <rPr>
            <b/>
            <sz val="9"/>
            <color indexed="81"/>
            <rFont val="Tahoma"/>
            <family val="2"/>
          </rPr>
          <t>tuoi.pham:</t>
        </r>
        <r>
          <rPr>
            <sz val="9"/>
            <color indexed="81"/>
            <rFont val="Tahoma"/>
            <family val="2"/>
          </rPr>
          <t xml:space="preserve">
trang2.nguyen</t>
        </r>
      </text>
    </comment>
    <comment ref="F63" authorId="0" shapeId="0">
      <text>
        <r>
          <rPr>
            <b/>
            <sz val="9"/>
            <color indexed="81"/>
            <rFont val="Tahoma"/>
            <family val="2"/>
          </rPr>
          <t>tuoi.pham:</t>
        </r>
        <r>
          <rPr>
            <sz val="9"/>
            <color indexed="81"/>
            <rFont val="Tahoma"/>
            <family val="2"/>
          </rPr>
          <t xml:space="preserve">
Thuy Le MIB</t>
        </r>
      </text>
    </comment>
    <comment ref="F67" authorId="0" shapeId="0">
      <text>
        <r>
          <rPr>
            <b/>
            <sz val="9"/>
            <color indexed="81"/>
            <rFont val="Tahoma"/>
            <family val="2"/>
          </rPr>
          <t>tuoi.pham:</t>
        </r>
        <r>
          <rPr>
            <sz val="9"/>
            <color indexed="81"/>
            <rFont val="Tahoma"/>
            <family val="2"/>
          </rPr>
          <t xml:space="preserve">
huyen3.nguyen</t>
        </r>
      </text>
    </comment>
  </commentList>
</comments>
</file>

<file path=xl/comments2.xml><?xml version="1.0" encoding="utf-8"?>
<comments xmlns="http://schemas.openxmlformats.org/spreadsheetml/2006/main">
  <authors>
    <author>tuoi.pham</author>
    <author>honglien.nguyen</author>
  </authors>
  <commentList>
    <comment ref="I2" authorId="0" shapeId="0">
      <text>
        <r>
          <rPr>
            <b/>
            <sz val="9"/>
            <color indexed="81"/>
            <rFont val="Tahoma"/>
            <family val="2"/>
          </rPr>
          <t>tuoi.pham:</t>
        </r>
        <r>
          <rPr>
            <sz val="9"/>
            <color indexed="81"/>
            <rFont val="Tahoma"/>
            <family val="2"/>
          </rPr>
          <t xml:space="preserve">
LG account</t>
        </r>
      </text>
    </comment>
    <comment ref="K2" authorId="0" shapeId="0">
      <text>
        <r>
          <rPr>
            <b/>
            <sz val="9"/>
            <color indexed="81"/>
            <rFont val="Tahoma"/>
            <family val="2"/>
          </rPr>
          <t>tuoi.pham:</t>
        </r>
        <r>
          <rPr>
            <sz val="9"/>
            <color indexed="81"/>
            <rFont val="Tahoma"/>
            <family val="2"/>
          </rPr>
          <t xml:space="preserve">
M: Mandatory
O: Optional</t>
        </r>
      </text>
    </comment>
    <comment ref="G8" authorId="1" shapeId="0">
      <text>
        <r>
          <rPr>
            <b/>
            <sz val="9"/>
            <color indexed="81"/>
            <rFont val="Tahoma"/>
            <family val="2"/>
          </rPr>
          <t>honglien.nguyen:</t>
        </r>
        <r>
          <rPr>
            <sz val="9"/>
            <color indexed="81"/>
            <rFont val="Tahoma"/>
            <family val="2"/>
          </rPr>
          <t xml:space="preserve">
Will be changed PIC after finish material
</t>
        </r>
      </text>
    </comment>
    <comment ref="E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E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3.xml><?xml version="1.0" encoding="utf-8"?>
<comments xmlns="http://schemas.openxmlformats.org/spreadsheetml/2006/main">
  <authors>
    <author>tuoi.pham</author>
  </authors>
  <commentList>
    <comment ref="D3" authorId="0" shapeId="0">
      <text>
        <r>
          <rPr>
            <b/>
            <sz val="9"/>
            <color indexed="81"/>
            <rFont val="Tahoma"/>
            <family val="2"/>
          </rPr>
          <t>tuoi.pham:</t>
        </r>
        <r>
          <rPr>
            <sz val="9"/>
            <color indexed="81"/>
            <rFont val="Tahoma"/>
            <family val="2"/>
          </rPr>
          <t xml:space="preserve">
M: Mandatory
N/A: Not Applicable
O: Optional</t>
        </r>
      </text>
    </comment>
    <comment ref="E3" authorId="0" shapeId="0">
      <text>
        <r>
          <rPr>
            <b/>
            <sz val="9"/>
            <color indexed="81"/>
            <rFont val="Tahoma"/>
            <family val="2"/>
          </rPr>
          <t>tuoi.pham:</t>
        </r>
        <r>
          <rPr>
            <sz val="9"/>
            <color indexed="81"/>
            <rFont val="Tahoma"/>
            <family val="2"/>
          </rPr>
          <t xml:space="preserve">
M: Mandatory
N/A: Not Applicable
O: Optional</t>
        </r>
      </text>
    </comment>
    <comment ref="F3" authorId="0" shapeId="0">
      <text>
        <r>
          <rPr>
            <b/>
            <sz val="9"/>
            <color indexed="81"/>
            <rFont val="Tahoma"/>
            <family val="2"/>
          </rPr>
          <t>tuoi.pham:</t>
        </r>
        <r>
          <rPr>
            <sz val="9"/>
            <color indexed="81"/>
            <rFont val="Tahoma"/>
            <family val="2"/>
          </rPr>
          <t xml:space="preserve">
M: Mandatory
N/A: Not Applicable
O: Optional</t>
        </r>
      </text>
    </comment>
    <comment ref="G3" authorId="0" shapeId="0">
      <text>
        <r>
          <rPr>
            <b/>
            <sz val="9"/>
            <color indexed="81"/>
            <rFont val="Tahoma"/>
            <family val="2"/>
          </rPr>
          <t>tuoi.pham:</t>
        </r>
        <r>
          <rPr>
            <sz val="9"/>
            <color indexed="81"/>
            <rFont val="Tahoma"/>
            <family val="2"/>
          </rPr>
          <t xml:space="preserve">
M: Mandatory
N/A: Not Applicable
O: Optional</t>
        </r>
      </text>
    </comment>
    <comment ref="H3" authorId="0" shapeId="0">
      <text>
        <r>
          <rPr>
            <b/>
            <sz val="9"/>
            <color indexed="81"/>
            <rFont val="Tahoma"/>
            <family val="2"/>
          </rPr>
          <t>tuoi.pham:</t>
        </r>
        <r>
          <rPr>
            <sz val="9"/>
            <color indexed="81"/>
            <rFont val="Tahoma"/>
            <family val="2"/>
          </rPr>
          <t xml:space="preserve">
M: Mandatory
N/A: Not Applicable
O: Optional</t>
        </r>
      </text>
    </comment>
    <comment ref="D65" authorId="0" shapeId="0">
      <text>
        <r>
          <rPr>
            <b/>
            <sz val="9"/>
            <color indexed="81"/>
            <rFont val="Tahoma"/>
            <family val="2"/>
          </rPr>
          <t>tuoi.pham:</t>
        </r>
        <r>
          <rPr>
            <sz val="9"/>
            <color indexed="81"/>
            <rFont val="Tahoma"/>
            <family val="2"/>
          </rPr>
          <t xml:space="preserve">
M: Mandatory
N/A: Not Applicable
O: Optional</t>
        </r>
      </text>
    </comment>
  </commentList>
</comments>
</file>

<file path=xl/comments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T17" authorId="0" shapeId="0">
      <text>
        <r>
          <rPr>
            <b/>
            <sz val="9"/>
            <color indexed="81"/>
            <rFont val="Tahoma"/>
            <family val="2"/>
          </rPr>
          <t>tuoi.pham:</t>
        </r>
        <r>
          <rPr>
            <sz val="9"/>
            <color indexed="81"/>
            <rFont val="Tahoma"/>
            <family val="2"/>
          </rPr>
          <t xml:space="preserve">
M: Mandatory
O: Optional</t>
        </r>
      </text>
    </comment>
    <comment ref="O22" authorId="1" shapeId="0">
      <text>
        <r>
          <rPr>
            <sz val="9"/>
            <color indexed="81"/>
            <rFont val="Tahoma"/>
            <family val="2"/>
          </rPr>
          <t>Changed name</t>
        </r>
      </text>
    </comment>
    <comment ref="O24" authorId="1" shapeId="0">
      <text>
        <r>
          <rPr>
            <sz val="9"/>
            <color indexed="81"/>
            <rFont val="Tahoma"/>
            <family val="2"/>
          </rPr>
          <t>Changed Name</t>
        </r>
      </text>
    </comment>
    <comment ref="O25" authorId="1" shapeId="0">
      <text>
        <r>
          <rPr>
            <sz val="9"/>
            <color indexed="81"/>
            <rFont val="Tahoma"/>
            <family val="2"/>
          </rPr>
          <t>Removed</t>
        </r>
      </text>
    </comment>
    <comment ref="O33" authorId="1" shapeId="0">
      <text>
        <r>
          <rPr>
            <sz val="9"/>
            <color indexed="81"/>
            <rFont val="Tahoma"/>
            <family val="2"/>
          </rPr>
          <t>Removed</t>
        </r>
      </text>
    </comment>
    <comment ref="T38" authorId="0" shapeId="0">
      <text>
        <r>
          <rPr>
            <b/>
            <sz val="9"/>
            <color indexed="81"/>
            <rFont val="Tahoma"/>
            <family val="2"/>
          </rPr>
          <t>tuoi.pham:</t>
        </r>
        <r>
          <rPr>
            <sz val="9"/>
            <color indexed="81"/>
            <rFont val="Tahoma"/>
            <family val="2"/>
          </rPr>
          <t xml:space="preserve">
M: Mandatory
O: Optional</t>
        </r>
      </text>
    </comment>
    <comment ref="O40" authorId="1" shapeId="0">
      <text>
        <r>
          <rPr>
            <b/>
            <sz val="9"/>
            <color indexed="81"/>
            <rFont val="Tahoma"/>
            <family val="2"/>
          </rPr>
          <t>honglien.nguyen:</t>
        </r>
        <r>
          <rPr>
            <sz val="9"/>
            <color indexed="81"/>
            <rFont val="Tahoma"/>
            <family val="2"/>
          </rPr>
          <t xml:space="preserve">
Removed</t>
        </r>
      </text>
    </comment>
    <comment ref="T58" authorId="0" shapeId="0">
      <text>
        <r>
          <rPr>
            <b/>
            <sz val="9"/>
            <color indexed="81"/>
            <rFont val="Tahoma"/>
            <family val="2"/>
          </rPr>
          <t>tuoi.pham:</t>
        </r>
        <r>
          <rPr>
            <sz val="9"/>
            <color indexed="81"/>
            <rFont val="Tahoma"/>
            <family val="2"/>
          </rPr>
          <t xml:space="preserve">
M: Mandatory
O: Optional</t>
        </r>
      </text>
    </comment>
    <comment ref="T72" authorId="0" shapeId="0">
      <text>
        <r>
          <rPr>
            <b/>
            <sz val="9"/>
            <color indexed="81"/>
            <rFont val="Tahoma"/>
            <family val="2"/>
          </rPr>
          <t>tuoi.pham:</t>
        </r>
        <r>
          <rPr>
            <sz val="9"/>
            <color indexed="81"/>
            <rFont val="Tahoma"/>
            <family val="2"/>
          </rPr>
          <t xml:space="preserve">
M: Mandatory
O: Optional</t>
        </r>
      </text>
    </comment>
  </commentList>
</comments>
</file>

<file path=xl/comments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0"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1" authorId="1" shapeId="0">
      <text>
        <r>
          <rPr>
            <b/>
            <sz val="9"/>
            <color indexed="81"/>
            <rFont val="Tahoma"/>
            <family val="2"/>
          </rPr>
          <t>honglien.nguyen:</t>
        </r>
        <r>
          <rPr>
            <sz val="9"/>
            <color indexed="81"/>
            <rFont val="Tahoma"/>
            <family val="2"/>
          </rPr>
          <t xml:space="preserve">
Need to setup devices first
</t>
        </r>
      </text>
    </comment>
  </commentList>
</comments>
</file>

<file path=xl/comments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5.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6.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7.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8.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19.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0.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1.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2.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3.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comments24.xml><?xml version="1.0" encoding="utf-8"?>
<comments xmlns="http://schemas.openxmlformats.org/spreadsheetml/2006/main">
  <authors>
    <author>tuoi.pham</author>
    <author>honglien.nguyen</author>
  </authors>
  <commentList>
    <comment ref="S2" authorId="0" shapeId="0">
      <text>
        <r>
          <rPr>
            <b/>
            <sz val="9"/>
            <color indexed="81"/>
            <rFont val="Tahoma"/>
            <family val="2"/>
          </rPr>
          <t>tuoi.pham:</t>
        </r>
        <r>
          <rPr>
            <sz val="9"/>
            <color indexed="81"/>
            <rFont val="Tahoma"/>
            <family val="2"/>
          </rPr>
          <t xml:space="preserve">
LG account</t>
        </r>
      </text>
    </comment>
    <comment ref="T2" authorId="0" shapeId="0">
      <text>
        <r>
          <rPr>
            <b/>
            <sz val="9"/>
            <color indexed="81"/>
            <rFont val="Tahoma"/>
            <family val="2"/>
          </rPr>
          <t>tuoi.pham:</t>
        </r>
        <r>
          <rPr>
            <sz val="9"/>
            <color indexed="81"/>
            <rFont val="Tahoma"/>
            <family val="2"/>
          </rPr>
          <t xml:space="preserve">
M: Mandatory
O: Optional</t>
        </r>
      </text>
    </comment>
    <comment ref="Q8" authorId="1" shapeId="0">
      <text>
        <r>
          <rPr>
            <b/>
            <sz val="9"/>
            <color indexed="81"/>
            <rFont val="Tahoma"/>
            <family val="2"/>
          </rPr>
          <t>honglien.nguyen:</t>
        </r>
        <r>
          <rPr>
            <sz val="9"/>
            <color indexed="81"/>
            <rFont val="Tahoma"/>
            <family val="2"/>
          </rPr>
          <t xml:space="preserve">
Will be changed PIC after finish material
</t>
        </r>
      </text>
    </comment>
    <comment ref="O32" authorId="1" shapeId="0">
      <text>
        <r>
          <rPr>
            <b/>
            <sz val="9"/>
            <color indexed="81"/>
            <rFont val="Tahoma"/>
            <family val="2"/>
          </rPr>
          <t>honglien.nguyen:</t>
        </r>
        <r>
          <rPr>
            <sz val="9"/>
            <color indexed="81"/>
            <rFont val="Tahoma"/>
            <family val="2"/>
          </rPr>
          <t xml:space="preserve">
2019 : Merge with Make test set, Test Run on CB, pass this course in 2019 mean pass Make Test Set/Test Run</t>
        </r>
      </text>
    </comment>
    <comment ref="O33" authorId="1" shapeId="0">
      <text>
        <r>
          <rPr>
            <b/>
            <sz val="9"/>
            <color indexed="81"/>
            <rFont val="Tahoma"/>
            <family val="2"/>
          </rPr>
          <t>honglien.nguyen:</t>
        </r>
        <r>
          <rPr>
            <sz val="9"/>
            <color indexed="81"/>
            <rFont val="Tahoma"/>
            <family val="2"/>
          </rPr>
          <t xml:space="preserve">
Need to setup devices first
</t>
        </r>
      </text>
    </comment>
  </commentList>
</comments>
</file>

<file path=xl/sharedStrings.xml><?xml version="1.0" encoding="utf-8"?>
<sst xmlns="http://schemas.openxmlformats.org/spreadsheetml/2006/main" count="13713" uniqueCount="747">
  <si>
    <t>Set up test environment</t>
  </si>
  <si>
    <t>Do Sampling Testing</t>
  </si>
  <si>
    <t>Make test strategy</t>
  </si>
  <si>
    <t>Give solution for architecture &amp; automotive testing</t>
  </si>
  <si>
    <t>Skill</t>
  </si>
  <si>
    <t>Level 1</t>
  </si>
  <si>
    <t>Level 2</t>
  </si>
  <si>
    <t>Level 3</t>
  </si>
  <si>
    <t>Level 4</t>
  </si>
  <si>
    <t>Level 5</t>
  </si>
  <si>
    <t>Can log Defect under instruction</t>
  </si>
  <si>
    <t>Understand basic term &amp; SW testing life cycle</t>
  </si>
  <si>
    <t>Understand common LG testing process</t>
  </si>
  <si>
    <t>Understand common LG testing process &amp; suggest improvement idea</t>
  </si>
  <si>
    <t>Can make TC under instruction</t>
  </si>
  <si>
    <t>Can report personal test result follow template</t>
  </si>
  <si>
    <t>Can report personal test result by request or follow template</t>
  </si>
  <si>
    <t>Can report personal test result independently</t>
  </si>
  <si>
    <t>Can log Q&amp;A independently</t>
  </si>
  <si>
    <t>Can run test scripts for specific area</t>
  </si>
  <si>
    <t>Can figure out personal issue &amp; find root cause</t>
  </si>
  <si>
    <t>Can do sampling testing</t>
  </si>
  <si>
    <t>Can create test methodologies 
Develop test standards , best practices &amp; policies</t>
  </si>
  <si>
    <t>Can make test strategy, give idea to improve test standards</t>
  </si>
  <si>
    <t>Contribute idea, solutions for developing architecture &amp; automotive testing</t>
  </si>
  <si>
    <t>Can develop architecture &amp; automotive testing</t>
  </si>
  <si>
    <t>Can make guideline for setting up test environment &amp; troubleshoot issue if any</t>
  </si>
  <si>
    <t>Can raise personal issue report to leaders</t>
  </si>
  <si>
    <t>Execute TC under instruction</t>
  </si>
  <si>
    <t xml:space="preserve">Build up &amp; upgrade LG testing process </t>
  </si>
  <si>
    <t>Execute TC independently</t>
  </si>
  <si>
    <t>Log Defect</t>
  </si>
  <si>
    <t>1. Log defect independently 
2. Can review defects</t>
  </si>
  <si>
    <t>1. Log defect and feedback with partners
2. Review defects for difficult cases</t>
  </si>
  <si>
    <t>Can setup test environment independently</t>
  </si>
  <si>
    <t>Log defect and feedback with partners together with: 
1. Figure out root cause 
2. Suggest solution</t>
  </si>
  <si>
    <t xml:space="preserve">Log defect and feedback with partners and suggest the root cause </t>
  </si>
  <si>
    <t>Can advice &amp; create complex template for any kinds of Test reports</t>
  </si>
  <si>
    <t xml:space="preserve">1. Can make TC independently by using testing technique
2. Can peer/sampling review TC
3. Can make test case for integrated features </t>
  </si>
  <si>
    <t>1. Can make TC for complex  requirements (integrated features &amp; low architecture levels) and using testing technique
2. Can review complex TC
3. Can make guideline/workshop to improve writing TC productivity and quality
4. Contribute to improve/upgrade creating TC process</t>
  </si>
  <si>
    <t>1. Can review/update TC guideline for any kinds of requirement with testing technique
2. Research new testing techniques to optimize LG writing TC process</t>
  </si>
  <si>
    <t>Study/Investigate Requirement (REQ)</t>
  </si>
  <si>
    <t>Can read &amp; understand TC, refer to REQs</t>
  </si>
  <si>
    <t>1. Can understand REQs
2. Can review and scoring REQs</t>
  </si>
  <si>
    <t>Can analyze requirement to increase REQ coverage</t>
  </si>
  <si>
    <t>1. Can analyze system architecture / low level REQ and complex REQ
2. Research new techniques to study REQ effectively and apply to LG analyzing REQ process</t>
  </si>
  <si>
    <t>Log Q&amp;As</t>
  </si>
  <si>
    <t>Can ask make draft Q&amp;A version and request senior's review before submitting</t>
  </si>
  <si>
    <t xml:space="preserve">Can give advices &amp; solution in advanced when have Q&amp;A </t>
  </si>
  <si>
    <t>1. Can log &amp; review Q&amp;A 
2. Can manage Q&amp;As, answer Q&amp;As after reviweing investigating REQ</t>
  </si>
  <si>
    <t>Can test without set up test environment (based on available test environment)</t>
  </si>
  <si>
    <t>Can setup test environment under instruction</t>
  </si>
  <si>
    <t>Customize &amp; fix issue related to  test environment for any kinds of products</t>
  </si>
  <si>
    <t>Run Test Script</t>
  </si>
  <si>
    <t>Report Test Result</t>
  </si>
  <si>
    <t>Execute Test Case</t>
  </si>
  <si>
    <t>Create Test Case</t>
  </si>
  <si>
    <t>Can create / run test scripts for multiple testing areas</t>
  </si>
  <si>
    <t>1. Can create / run test scripts for complex testing areas
2. Build framework for automation testing</t>
  </si>
  <si>
    <t>Handle/Manage Technical Issue</t>
  </si>
  <si>
    <t>Can submit personal issue with root cause and suggest solution</t>
  </si>
  <si>
    <t>1. Can figure out complex issue &amp; find root cause &amp; solution
2. Can forecast technical risks/problems for project level and suggest prevention/mitigation actions</t>
  </si>
  <si>
    <t>Can forecast technical risks/problems for whole company and suggest prevention/mitigation actions</t>
  </si>
  <si>
    <t>Do Training/Coaching Member</t>
  </si>
  <si>
    <t>Can train low level members in same projects</t>
  </si>
  <si>
    <t>1. Can coach technical domain for level 3 and train lower levels
2. Build training plan, training manual &amp; processes
3. Able to conduct technical workshop in DCV</t>
  </si>
  <si>
    <t>Able to conduct training globally &amp; build expert training courses</t>
  </si>
  <si>
    <t>Do Sampling Review TC</t>
  </si>
  <si>
    <t xml:space="preserve">Can do sampling review TCs for LG and partner members </t>
  </si>
  <si>
    <t>1. Can do sampling review for complex TC
2. Can forecast type of common issues in writing TC</t>
  </si>
  <si>
    <t>1. Can do sampling testing for complex test case
2. Forecast type of common issues in executing TC
3. Can define Sampling Testing criteria and guide other members</t>
  </si>
  <si>
    <r>
      <rPr>
        <b/>
        <i/>
        <u/>
        <sz val="12"/>
        <color theme="0"/>
        <rFont val="Arial"/>
        <family val="2"/>
      </rPr>
      <t>RULE:</t>
    </r>
    <r>
      <rPr>
        <b/>
        <i/>
        <sz val="12"/>
        <color theme="0"/>
        <rFont val="Arial"/>
        <family val="2"/>
      </rPr>
      <t xml:space="preserve"> By default, the higher level will cover all requested skills defined in the lower levels</t>
    </r>
  </si>
  <si>
    <t>M</t>
  </si>
  <si>
    <t>O</t>
  </si>
  <si>
    <t>1. Execute complex TC  for low level/ architecture testing &amp; do ad testing for those levels
2. Make Testing guideline for all kind of levels to improve testing productivity/quality
3. Can implement field test</t>
  </si>
  <si>
    <t>Level</t>
  </si>
  <si>
    <t>Total</t>
  </si>
  <si>
    <t>x</t>
  </si>
  <si>
    <t>Skill Option</t>
  </si>
  <si>
    <t>CBL Score</t>
  </si>
  <si>
    <t>CBL Score Standard</t>
  </si>
  <si>
    <t>CBL Level</t>
  </si>
  <si>
    <r>
      <rPr>
        <b/>
        <i/>
        <u/>
        <sz val="10"/>
        <color theme="0"/>
        <rFont val="Arial"/>
        <family val="2"/>
      </rPr>
      <t>RULE:</t>
    </r>
    <r>
      <rPr>
        <b/>
        <i/>
        <sz val="10"/>
        <color theme="0"/>
        <rFont val="Arial"/>
        <family val="2"/>
      </rPr>
      <t xml:space="preserve"> Member can cover at least Mandatory Skills for the current level can be upgraded to the next level</t>
    </r>
  </si>
  <si>
    <t>% Mandatory Skill Coverage</t>
  </si>
  <si>
    <t>(6M~1Y Testing exp.)</t>
  </si>
  <si>
    <t xml:space="preserve">(1~3Y Testing exp.) </t>
  </si>
  <si>
    <t>(&gt; 5Y Testing exp.
 &gt;3Y Automotive Testing exp.)</t>
  </si>
  <si>
    <t xml:space="preserve">(&gt; 8Y Testing exp.
&gt;5Y Automotive Testing exp.) </t>
  </si>
  <si>
    <t>No.</t>
  </si>
  <si>
    <t>Name</t>
  </si>
  <si>
    <t>% Completed Mandatory Skills</t>
  </si>
  <si>
    <t>Team</t>
  </si>
  <si>
    <t>Part</t>
  </si>
  <si>
    <t>Score Unit</t>
  </si>
  <si>
    <t>Part 2</t>
  </si>
  <si>
    <t>VT1</t>
  </si>
  <si>
    <t>NGAN DO</t>
  </si>
  <si>
    <t>PHUONG PHAM</t>
  </si>
  <si>
    <t>DIU LE</t>
  </si>
  <si>
    <t>TRANG TRAN</t>
  </si>
  <si>
    <t>TRUONG DAO</t>
  </si>
  <si>
    <t>ANH PHAN</t>
  </si>
  <si>
    <t>LAM BUI</t>
  </si>
  <si>
    <t>VI NGUYEN</t>
  </si>
  <si>
    <t>HANH TRINH</t>
  </si>
  <si>
    <t>HIEN BUI</t>
  </si>
  <si>
    <t>THU NGUYEN</t>
  </si>
  <si>
    <t>HUONG NGUYEN</t>
  </si>
  <si>
    <t>GIANG NGUYEN</t>
  </si>
  <si>
    <t>NGOC DANG</t>
  </si>
  <si>
    <t>HIEN QUACH</t>
  </si>
  <si>
    <t>ANH DUONG</t>
  </si>
  <si>
    <t>LY NGUYEN</t>
  </si>
  <si>
    <t>DUY NGO</t>
  </si>
  <si>
    <t>HUYEN GIAP</t>
  </si>
  <si>
    <t>DUNG PHAM</t>
  </si>
  <si>
    <t>HUONG LUONG</t>
  </si>
  <si>
    <t>HANH DUONG</t>
  </si>
  <si>
    <t>LOC LE</t>
  </si>
  <si>
    <t>CUONG TRUONG</t>
  </si>
  <si>
    <t>LAN NGUYEN</t>
  </si>
  <si>
    <t>NA NGUYEN</t>
  </si>
  <si>
    <t>THUY LANG</t>
  </si>
  <si>
    <t>LINH NGUYEN</t>
  </si>
  <si>
    <t>PHUONG PHAN</t>
  </si>
  <si>
    <t>NGAN BUI</t>
  </si>
  <si>
    <t>DAN NGUYEN</t>
  </si>
  <si>
    <t>TAM HOANG</t>
  </si>
  <si>
    <t>Part 1</t>
  </si>
  <si>
    <t>NGOC DAO</t>
  </si>
  <si>
    <t>HA NGUYEN</t>
  </si>
  <si>
    <t>DUYEN PHAM</t>
  </si>
  <si>
    <t>Division</t>
  </si>
  <si>
    <t>Capability</t>
  </si>
  <si>
    <t>Session</t>
  </si>
  <si>
    <t>Tentative training time</t>
  </si>
  <si>
    <t>Instructor name</t>
  </si>
  <si>
    <t>Email</t>
  </si>
  <si>
    <t>Target attendee</t>
  </si>
  <si>
    <t>Training Material</t>
  </si>
  <si>
    <t>(By month)</t>
  </si>
  <si>
    <t>VS DCV</t>
  </si>
  <si>
    <t>VT</t>
  </si>
  <si>
    <t>Testing Fundamental</t>
  </si>
  <si>
    <t>When have new member</t>
  </si>
  <si>
    <t>Le Thi Thuy Diu</t>
  </si>
  <si>
    <t xml:space="preserve"> Diu.Le</t>
  </si>
  <si>
    <t xml:space="preserve">http://collab.lge.com/main/x/gOGHLw </t>
  </si>
  <si>
    <t>LG Testing process</t>
  </si>
  <si>
    <t>Trinh Hai Hanh</t>
  </si>
  <si>
    <t>Hanh.Trinh</t>
  </si>
  <si>
    <t>http://collab.lge.com/main/x/UUMXIQ</t>
  </si>
  <si>
    <t>Nguyen Hong Lien</t>
  </si>
  <si>
    <t>Truong Khanh Cuong</t>
  </si>
  <si>
    <t>Honglien.nguyen</t>
  </si>
  <si>
    <t>http://collab.lge.com/main/x/_dSyMw</t>
  </si>
  <si>
    <t>Cuong.Truong</t>
  </si>
  <si>
    <t>http://collab.lge.com/main/x/19WyMw</t>
  </si>
  <si>
    <t>http://collab.lge.com/main/x/t7LdMw</t>
  </si>
  <si>
    <t>Do Thi Ngan</t>
  </si>
  <si>
    <t>ngan1.do</t>
  </si>
  <si>
    <t>http://collab.lge.com/main/x/0bLdMw</t>
  </si>
  <si>
    <t>Nguyen Minh Quyen</t>
  </si>
  <si>
    <t>Quyen.nguyen</t>
  </si>
  <si>
    <t>http://collab.lge.com/main/x/47LdMw</t>
  </si>
  <si>
    <t>Pham Thi Thuy</t>
  </si>
  <si>
    <t>Thuy2.Pham</t>
  </si>
  <si>
    <t>http://collab.lge.com/main/x/iCwfN</t>
  </si>
  <si>
    <t>CBL Training Course for Level 2</t>
  </si>
  <si>
    <t>Q&amp;A process</t>
  </si>
  <si>
    <t>Dao Thu Trang</t>
  </si>
  <si>
    <t>Trang.Dao</t>
  </si>
  <si>
    <t>http://collab.lge.com/main/x/_96HLw</t>
  </si>
  <si>
    <t>Defect Management Process</t>
  </si>
  <si>
    <t xml:space="preserve"> Thuy.Le</t>
  </si>
  <si>
    <t>http://collab.lge.com/main/x/rtuHLw</t>
  </si>
  <si>
    <t>Review/ Scoring SRS/SyRS Process</t>
  </si>
  <si>
    <t>Nguyen Thi Kim Oanh</t>
  </si>
  <si>
    <t>KimOanh.Nguyen</t>
  </si>
  <si>
    <t>http://collab.lge.com/main/x/P1LdJw</t>
  </si>
  <si>
    <t>TC Review Process</t>
  </si>
  <si>
    <t>Trang.dao</t>
  </si>
  <si>
    <t>http://collab.lge.com/main/x/LmahLg</t>
  </si>
  <si>
    <t>Reducing Leaked Defect</t>
  </si>
  <si>
    <t>http://collab.lge.com/main/x/1NuHLw</t>
  </si>
  <si>
    <t>Smart Validation Introduce (Intermediate)</t>
  </si>
  <si>
    <t>Introduction AVN &amp; Phone Connectivity (Intermediate)</t>
  </si>
  <si>
    <t>Onstar Telematics (Intermediate)</t>
  </si>
  <si>
    <t>LTE Overview (Intermediate)</t>
  </si>
  <si>
    <t>Understand Radio Broadcast Reception (Intermediate)</t>
  </si>
  <si>
    <t>Canoe</t>
  </si>
  <si>
    <t>http://collab.lge.com/main/x/z91qLg</t>
  </si>
  <si>
    <t>NeoVI</t>
  </si>
  <si>
    <t>http://collab.lge.com/main/x/2N1qLg</t>
  </si>
  <si>
    <t>DAB Generator</t>
  </si>
  <si>
    <t>http://collab.lge.com/main/x/2t1qLg</t>
  </si>
  <si>
    <t>XM/HD Radio Generator</t>
  </si>
  <si>
    <t>Duong Ho Hanh</t>
  </si>
  <si>
    <t>Hanh.Duong</t>
  </si>
  <si>
    <t>http://collab.lge.com/main/x/5d1qLg</t>
  </si>
  <si>
    <t>ODIS</t>
  </si>
  <si>
    <t>http://collab.lge.com/main/x/-3wrLQ</t>
  </si>
  <si>
    <t xml:space="preserve"> Thuy2.Pham</t>
  </si>
  <si>
    <t>http://collab.lge.com/main/x/Z9yHLw</t>
  </si>
  <si>
    <t>Project Senior</t>
  </si>
  <si>
    <t xml:space="preserve"> Quyen.Nguyen</t>
  </si>
  <si>
    <t>http://collab.lge.com/main/x/laxqLg</t>
  </si>
  <si>
    <t>Nguyen Thi Lan</t>
  </si>
  <si>
    <t>Lan.nguyen</t>
  </si>
  <si>
    <t>CBL Training Course for Level 3</t>
  </si>
  <si>
    <t xml:space="preserve">Le Thi Thuy Diu </t>
  </si>
  <si>
    <t>Diu.Le</t>
  </si>
  <si>
    <t>http://collab.lge.com/main/x/YdsmN</t>
  </si>
  <si>
    <t>Make understandable TCs</t>
  </si>
  <si>
    <t>http://collab.lge.com/main/x/1bmXLw</t>
  </si>
  <si>
    <t>Nguyen Thi Diem Hang</t>
  </si>
  <si>
    <t>diemhang.nguyen</t>
  </si>
  <si>
    <t>http://collab.lge.com/main/x/ztuHLw</t>
  </si>
  <si>
    <t xml:space="preserve">Do Thi Ngan </t>
  </si>
  <si>
    <t xml:space="preserve">Duong Thi Ho Hanh </t>
  </si>
  <si>
    <t>\\dcv-data\VT\01.Training Material\Sharing Seminar</t>
  </si>
  <si>
    <t>Automation Test Scripting – ATS tool</t>
  </si>
  <si>
    <t>Nguyen Kim Oanh</t>
  </si>
  <si>
    <t>Kimoanh.nguyen</t>
  </si>
  <si>
    <t>Automation Test Scripting – Python</t>
  </si>
  <si>
    <t>To Thi Van Anh</t>
  </si>
  <si>
    <t>Anh.to</t>
  </si>
  <si>
    <t>SW Technique</t>
  </si>
  <si>
    <t>TBD</t>
  </si>
  <si>
    <t>Make Test Report on CB</t>
  </si>
  <si>
    <t>http://collab.lge.com/main/x/JIVXLQ</t>
  </si>
  <si>
    <t>CBL Training Course for Level 4</t>
  </si>
  <si>
    <t>Create Test Strategy</t>
  </si>
  <si>
    <t>Training Management</t>
  </si>
  <si>
    <t>Make training plan for team level</t>
  </si>
  <si>
    <t>How to read use case/read UML for intermediate</t>
  </si>
  <si>
    <t>How to analysis log file</t>
  </si>
  <si>
    <t>Understand system architecture / low level</t>
  </si>
  <si>
    <t>Diemhang.nguyen</t>
  </si>
  <si>
    <t>http://collab.lge.com/main/x/jywfN</t>
  </si>
  <si>
    <t>CBL Training Course for Level 5</t>
  </si>
  <si>
    <t>Global Communication</t>
  </si>
  <si>
    <t>New SW/Testing development model if any</t>
  </si>
  <si>
    <t>Solution architecture analysis</t>
  </si>
  <si>
    <t>http://collab.lge.com/main/x/AocBNg
http://collab.lge.com/main/x/W1pKI</t>
  </si>
  <si>
    <t>http://collab.lge.com/main/x/j9smN
http://collab.lge.com/main/x/8dyHLw</t>
  </si>
  <si>
    <t>No. of Attendees</t>
  </si>
  <si>
    <t>huyen.giap</t>
  </si>
  <si>
    <t>ngan.bui</t>
  </si>
  <si>
    <t>giang1.nguyen</t>
  </si>
  <si>
    <t>lam.bui</t>
  </si>
  <si>
    <t>thuy.lang</t>
  </si>
  <si>
    <t>trang.tran</t>
  </si>
  <si>
    <t>diu.le</t>
  </si>
  <si>
    <t>phuong.phan</t>
  </si>
  <si>
    <t>anh.duong</t>
  </si>
  <si>
    <t>hanh.duong</t>
  </si>
  <si>
    <t>hanh.trinh</t>
  </si>
  <si>
    <t>thuhien.bui</t>
  </si>
  <si>
    <t>thanhna.nguyen</t>
  </si>
  <si>
    <t>lan2.nguyen</t>
  </si>
  <si>
    <t>vanhuong2.nguyen</t>
  </si>
  <si>
    <t>huong1.luong</t>
  </si>
  <si>
    <t>cuong.truong</t>
  </si>
  <si>
    <t>phuonganh.phan</t>
  </si>
  <si>
    <t>dung1.pham</t>
  </si>
  <si>
    <t>ngan.do</t>
  </si>
  <si>
    <t>hien.quach</t>
  </si>
  <si>
    <t>minhthu2.nguyen</t>
  </si>
  <si>
    <t>ngoc.dang</t>
  </si>
  <si>
    <t>tam1.hoang</t>
  </si>
  <si>
    <t>thuylinh.nguyen</t>
  </si>
  <si>
    <t>ngoc.dao</t>
  </si>
  <si>
    <t>thanhloc.le</t>
  </si>
  <si>
    <t>truong.dao</t>
  </si>
  <si>
    <t>vi2.nguyen</t>
  </si>
  <si>
    <t>phuong4.pham</t>
  </si>
  <si>
    <t>duy.ngo</t>
  </si>
  <si>
    <t>ha2.nguyen</t>
  </si>
  <si>
    <t>dan.nguyen</t>
  </si>
  <si>
    <t>khanhly.nguyen</t>
  </si>
  <si>
    <t>VT2</t>
  </si>
  <si>
    <t>QUYEN NGUYEN</t>
  </si>
  <si>
    <t>OANH NGUYEN</t>
  </si>
  <si>
    <t>THUY LE</t>
  </si>
  <si>
    <t>PHUC TRUONG</t>
  </si>
  <si>
    <t>TRANG LE</t>
  </si>
  <si>
    <t>THUY PHAM</t>
  </si>
  <si>
    <t>PHONG NGUYEN</t>
  </si>
  <si>
    <t>ANH TO</t>
  </si>
  <si>
    <t>NHUNG HOANG</t>
  </si>
  <si>
    <t>CHINH TRAN</t>
  </si>
  <si>
    <t>TRANG1 TRAN</t>
  </si>
  <si>
    <t>HUE DO</t>
  </si>
  <si>
    <t>HA TO</t>
  </si>
  <si>
    <t>PHUONG NGUYEN</t>
  </si>
  <si>
    <t>BICH DO</t>
  </si>
  <si>
    <t>LAN HOANG</t>
  </si>
  <si>
    <t>NHUNG NGUYEN</t>
  </si>
  <si>
    <t>NGUYET NGUYEN</t>
  </si>
  <si>
    <t>HIEN DINH</t>
  </si>
  <si>
    <t>TRANG NGUYEN</t>
  </si>
  <si>
    <t>HANG VU</t>
  </si>
  <si>
    <t>THUY DANG</t>
  </si>
  <si>
    <t>TUNG TRAN</t>
  </si>
  <si>
    <t>CUONG TRAN</t>
  </si>
  <si>
    <t>THUY LE MIB</t>
  </si>
  <si>
    <t>VINH NGUYEN</t>
  </si>
  <si>
    <t>MEN THAN</t>
  </si>
  <si>
    <t>Y VU</t>
  </si>
  <si>
    <t>HUYEN NGUYEN</t>
  </si>
  <si>
    <t>PHUONG LE</t>
  </si>
  <si>
    <t>THANG VU</t>
  </si>
  <si>
    <t>Anh2.tran</t>
  </si>
  <si>
    <t>Phuc.truong</t>
  </si>
  <si>
    <t>Phuong1.Nguyen</t>
  </si>
  <si>
    <t>Bich2.Do</t>
  </si>
  <si>
    <t>quyen.nguyen</t>
  </si>
  <si>
    <t>cuong.tran</t>
  </si>
  <si>
    <t>lan.nguyen</t>
  </si>
  <si>
    <t>chinh.tran</t>
  </si>
  <si>
    <t xml:space="preserve"> </t>
  </si>
  <si>
    <t>nguyet2.nguyen</t>
  </si>
  <si>
    <t>hien.dinh</t>
  </si>
  <si>
    <t>huyen3.nguyen</t>
  </si>
  <si>
    <t>y.vu</t>
  </si>
  <si>
    <t>hang1.vu</t>
  </si>
  <si>
    <t>trang1.tran</t>
  </si>
  <si>
    <t>nhung2.nguyen</t>
  </si>
  <si>
    <t>phuong2.le</t>
  </si>
  <si>
    <t>thuy1.dang</t>
  </si>
  <si>
    <t>thuy.le</t>
  </si>
  <si>
    <t>Training Date</t>
  </si>
  <si>
    <t>Exam Result</t>
  </si>
  <si>
    <t>Type</t>
  </si>
  <si>
    <t>Personal report skill</t>
  </si>
  <si>
    <t>X</t>
  </si>
  <si>
    <t>LG Start Date</t>
  </si>
  <si>
    <t>trang2.le</t>
  </si>
  <si>
    <t>thuy2.pham</t>
  </si>
  <si>
    <t>anh.to</t>
  </si>
  <si>
    <t>lan.hoang</t>
  </si>
  <si>
    <t>vinh2.nguyen</t>
  </si>
  <si>
    <t>nhung2.hoang</t>
  </si>
  <si>
    <t>kimoanh.nguyen</t>
  </si>
  <si>
    <t>thuy1.le</t>
  </si>
  <si>
    <t>tung.tran</t>
  </si>
  <si>
    <t>thang2.vu</t>
  </si>
  <si>
    <t xml:space="preserve">(3~5Y Testing exp.)
(&gt;1 Automotive Testing Exp.) </t>
  </si>
  <si>
    <t>&lt;1</t>
  </si>
  <si>
    <t>LG Exp (Year)</t>
  </si>
  <si>
    <t>1&lt;= y &lt; 3</t>
  </si>
  <si>
    <t>3 &lt;= y &lt; 5</t>
  </si>
  <si>
    <t>5 &lt;= y &lt; 8</t>
  </si>
  <si>
    <t>y &gt;= 8</t>
  </si>
  <si>
    <t>&lt; 1</t>
  </si>
  <si>
    <t>y &gt;= 5</t>
  </si>
  <si>
    <t>LG Account</t>
  </si>
  <si>
    <t>LG Service Years</t>
  </si>
  <si>
    <t>duyen2.pham</t>
  </si>
  <si>
    <t>ASPICE overview</t>
  </si>
  <si>
    <t>Automation Overview</t>
  </si>
  <si>
    <t>Basic SW Testing</t>
  </si>
  <si>
    <t>SW Testing principle (SW testing life cycle, Defect life cycle &amp; template, Making TC Proces)</t>
  </si>
  <si>
    <t>Passed</t>
  </si>
  <si>
    <t>Joined CBL Training in 2018</t>
  </si>
  <si>
    <t>Covered by LG Assignment</t>
  </si>
  <si>
    <t>Y</t>
  </si>
  <si>
    <t>N</t>
  </si>
  <si>
    <t>Covered by LG</t>
  </si>
  <si>
    <t>y</t>
  </si>
  <si>
    <t>Nguyen Hung Duy</t>
  </si>
  <si>
    <t>duy2.nguyen</t>
  </si>
  <si>
    <t>Le Hong Thuy</t>
  </si>
  <si>
    <t>Nguyen Thi Phuong</t>
  </si>
  <si>
    <t>phuong1.nguyen</t>
  </si>
  <si>
    <t>ANH TRAN</t>
  </si>
  <si>
    <t>Exp. Year at joining</t>
  </si>
  <si>
    <t>Total No. of Testing Exp Years</t>
  </si>
  <si>
    <t>trang3.nguyen</t>
  </si>
  <si>
    <t>Testing Exp (Year)</t>
  </si>
  <si>
    <t>Total Working Years of Exp</t>
  </si>
  <si>
    <t>Failed</t>
  </si>
  <si>
    <t>How to write TC effectively</t>
  </si>
  <si>
    <t>Phan Phuong Anh</t>
  </si>
  <si>
    <t>How to read UML diagram and create test document</t>
  </si>
  <si>
    <t>hue.do</t>
  </si>
  <si>
    <t>Do Thi Hue</t>
  </si>
  <si>
    <t>Excel basic - advance</t>
  </si>
  <si>
    <t>How to setup Test Environment</t>
  </si>
  <si>
    <t>Manage Test Case on CB</t>
  </si>
  <si>
    <t>bich2.do</t>
  </si>
  <si>
    <t>huyen2.nguyen</t>
  </si>
  <si>
    <t>hoangphong.nguyen</t>
  </si>
  <si>
    <t>ha.to</t>
  </si>
  <si>
    <t>Home</t>
  </si>
  <si>
    <t>men2.than</t>
  </si>
  <si>
    <t>Huyen2.Nguyen</t>
  </si>
  <si>
    <t>Summary</t>
  </si>
  <si>
    <t>VH002113</t>
  </si>
  <si>
    <t>VH003271</t>
  </si>
  <si>
    <t>VH003019</t>
  </si>
  <si>
    <t>VH002950</t>
  </si>
  <si>
    <t>VH003201</t>
  </si>
  <si>
    <t>VH002407</t>
  </si>
  <si>
    <t>VH002390</t>
  </si>
  <si>
    <t>VH003010</t>
  </si>
  <si>
    <t>VH001725</t>
  </si>
  <si>
    <t>VH002410</t>
  </si>
  <si>
    <t>VH001641</t>
  </si>
  <si>
    <t>Reduce Not a bug</t>
  </si>
  <si>
    <t>VH003980</t>
  </si>
  <si>
    <t>Google search effectively</t>
  </si>
  <si>
    <t>VH002112</t>
  </si>
  <si>
    <t>Car Overview</t>
  </si>
  <si>
    <t>VH002099</t>
  </si>
  <si>
    <t>ID</t>
  </si>
  <si>
    <t>Course ID</t>
  </si>
  <si>
    <t>L1_CBL_001</t>
  </si>
  <si>
    <t>L1_CBL_002</t>
  </si>
  <si>
    <t>L1_CBL_003</t>
  </si>
  <si>
    <t>L1_CBL_004</t>
  </si>
  <si>
    <t>L1_CBL_005</t>
  </si>
  <si>
    <t>L1_CBL_006</t>
  </si>
  <si>
    <t>L1_CBL_007</t>
  </si>
  <si>
    <t>L1_CBL_008</t>
  </si>
  <si>
    <t>L1_CBL_009</t>
  </si>
  <si>
    <t>L1_CBL_010</t>
  </si>
  <si>
    <t>L1_CBL_011</t>
  </si>
  <si>
    <t>L1_CBL_012</t>
  </si>
  <si>
    <t>L2_CBL_001</t>
  </si>
  <si>
    <t>L2_CBL_002</t>
  </si>
  <si>
    <t>L2_CBL_003</t>
  </si>
  <si>
    <t>L2_CBL_004</t>
  </si>
  <si>
    <t>L2_CBL_005</t>
  </si>
  <si>
    <t>L2_CBL_006</t>
  </si>
  <si>
    <t>L2_CBL_007</t>
  </si>
  <si>
    <t>L2_CBL_008</t>
  </si>
  <si>
    <t>L2_CBL_009</t>
  </si>
  <si>
    <t>L2_CBL_010</t>
  </si>
  <si>
    <t>L2_CBL_011</t>
  </si>
  <si>
    <t>L2_CBL_012</t>
  </si>
  <si>
    <t>L2_CBL_013</t>
  </si>
  <si>
    <t>L2_CBL_014</t>
  </si>
  <si>
    <t>L3_CBL_001</t>
  </si>
  <si>
    <t>L3_CBL_002</t>
  </si>
  <si>
    <t>L3_CBL_003</t>
  </si>
  <si>
    <t>L3_CBL_004</t>
  </si>
  <si>
    <t>L3_CBL_005</t>
  </si>
  <si>
    <t>L3_CBL_006</t>
  </si>
  <si>
    <t>L3_CBL_007</t>
  </si>
  <si>
    <t>L3_CBL_008</t>
  </si>
  <si>
    <t>L3_CBL_009</t>
  </si>
  <si>
    <t>L3_CBL_010</t>
  </si>
  <si>
    <t>L3_CBL_011</t>
  </si>
  <si>
    <t>L3_CBL_012</t>
  </si>
  <si>
    <t>L3_CBL_013</t>
  </si>
  <si>
    <t>L3_CBL_014</t>
  </si>
  <si>
    <t>L3_CBL_015</t>
  </si>
  <si>
    <t>L3_CBL_016</t>
  </si>
  <si>
    <t>L3_CBL_017</t>
  </si>
  <si>
    <t>L4_CBL_001</t>
  </si>
  <si>
    <t>L4_CBL_002</t>
  </si>
  <si>
    <t>L4_CBL_003</t>
  </si>
  <si>
    <t>L4_CBL_004</t>
  </si>
  <si>
    <t>L4_CBL_005</t>
  </si>
  <si>
    <t>L4_CBL_006</t>
  </si>
  <si>
    <t>L4_CBL_007</t>
  </si>
  <si>
    <t>L4_CBL_008</t>
  </si>
  <si>
    <t>L5_CBL_001</t>
  </si>
  <si>
    <t>L5_CBL_002</t>
  </si>
  <si>
    <t>L5_CBL_003</t>
  </si>
  <si>
    <t>L5_CBL_004</t>
  </si>
  <si>
    <t>Field test</t>
  </si>
  <si>
    <t>Automotive trending in advanced</t>
  </si>
  <si>
    <t>Smart Validation Introduce</t>
  </si>
  <si>
    <t>anh2.tran</t>
  </si>
  <si>
    <t>phuc.truong</t>
  </si>
  <si>
    <t>Huyen2.nguyen</t>
  </si>
  <si>
    <t>2018 Level</t>
  </si>
  <si>
    <t>2018 Score</t>
  </si>
  <si>
    <t>2nd Half 2019 CBL Level</t>
  </si>
  <si>
    <t>2nd Half 2019 CBL score</t>
  </si>
  <si>
    <t>2019 CBL Score Target</t>
  </si>
  <si>
    <t>2019 CBL Level Target</t>
  </si>
  <si>
    <t>Q3 2019 CBL Level</t>
  </si>
  <si>
    <t>Q3 2019 CBL Score</t>
  </si>
  <si>
    <t>VH001502</t>
  </si>
  <si>
    <t>VH001851</t>
  </si>
  <si>
    <t>VH002064</t>
  </si>
  <si>
    <t>VH001897</t>
  </si>
  <si>
    <t>VH002055</t>
  </si>
  <si>
    <t>VH002394</t>
  </si>
  <si>
    <t>VH002100</t>
  </si>
  <si>
    <t>VH002320</t>
  </si>
  <si>
    <t>VH001894</t>
  </si>
  <si>
    <t>VH001501</t>
  </si>
  <si>
    <t>VH002221</t>
  </si>
  <si>
    <t>VH002395</t>
  </si>
  <si>
    <t>VH002966</t>
  </si>
  <si>
    <t>VH002404</t>
  </si>
  <si>
    <t>VH002873</t>
  </si>
  <si>
    <t>VH001781</t>
  </si>
  <si>
    <t>VH002540</t>
  </si>
  <si>
    <t>VH002749</t>
  </si>
  <si>
    <t>VH002310</t>
  </si>
  <si>
    <t>VH002216</t>
  </si>
  <si>
    <t>VH002533</t>
  </si>
  <si>
    <t>VH002420</t>
  </si>
  <si>
    <t>VH003080</t>
  </si>
  <si>
    <t>VH003256</t>
  </si>
  <si>
    <t>VH002318</t>
  </si>
  <si>
    <t>VH003233</t>
  </si>
  <si>
    <t>VH002541</t>
  </si>
  <si>
    <t>VH002397</t>
  </si>
  <si>
    <t>VH001724</t>
  </si>
  <si>
    <t>VH002319</t>
  </si>
  <si>
    <t>VH003016</t>
  </si>
  <si>
    <t>VH003510</t>
  </si>
  <si>
    <t>VH002689</t>
  </si>
  <si>
    <t>VH002206</t>
  </si>
  <si>
    <t>VH002905</t>
  </si>
  <si>
    <t>VH001741</t>
  </si>
  <si>
    <t>VH002323</t>
  </si>
  <si>
    <t>VH001978</t>
  </si>
  <si>
    <t>VH001883</t>
  </si>
  <si>
    <t>VH001961</t>
  </si>
  <si>
    <t>VH002322</t>
  </si>
  <si>
    <t>VH002874</t>
  </si>
  <si>
    <t>VH003032</t>
  </si>
  <si>
    <t>VH002398</t>
  </si>
  <si>
    <t>VH003095</t>
  </si>
  <si>
    <t>VH003204</t>
  </si>
  <si>
    <t>VH004037</t>
  </si>
  <si>
    <t>VH003020</t>
  </si>
  <si>
    <t>VH002210</t>
  </si>
  <si>
    <t>VH003459</t>
  </si>
  <si>
    <t>VH003064</t>
  </si>
  <si>
    <t>VH003171</t>
  </si>
  <si>
    <t>VH003203</t>
  </si>
  <si>
    <t>VH003681</t>
  </si>
  <si>
    <t>VH003961</t>
  </si>
  <si>
    <t>Row Labels</t>
  </si>
  <si>
    <t>Grand Total</t>
  </si>
  <si>
    <t>&lt;1 or (blank)</t>
  </si>
  <si>
    <t>1-1.5</t>
  </si>
  <si>
    <t>1.5-2</t>
  </si>
  <si>
    <t>2-2.5</t>
  </si>
  <si>
    <t>2.5-3</t>
  </si>
  <si>
    <t>3-3.5</t>
  </si>
  <si>
    <t>%</t>
  </si>
  <si>
    <t>No. Member</t>
  </si>
  <si>
    <t>1-1.2</t>
  </si>
  <si>
    <t>1.4-1.6</t>
  </si>
  <si>
    <t>2-2.2</t>
  </si>
  <si>
    <t>2.2-2.4</t>
  </si>
  <si>
    <t>2.4-2.6</t>
  </si>
  <si>
    <t>2.6-2.8</t>
  </si>
  <si>
    <t>3-3.2</t>
  </si>
  <si>
    <t>Plan 2020</t>
  </si>
  <si>
    <t>Current</t>
  </si>
  <si>
    <t>chi.bui</t>
  </si>
  <si>
    <t>hai.trinh</t>
  </si>
  <si>
    <t>minh.do</t>
  </si>
  <si>
    <t>hong2.nguyen</t>
  </si>
  <si>
    <t>CBL Training Course for Level 1</t>
  </si>
  <si>
    <t>http://collab.lge.com/main/x/_sLTOw</t>
  </si>
  <si>
    <t>http://collab.lge.com/main/display/IVIDCV/Personal+report+skill</t>
  </si>
  <si>
    <t>http://collab.lge.com/main/display/IVIDCV/How+to+write+TCs+effectively</t>
  </si>
  <si>
    <t>http://collab.lge.com/main/x/xbOKOg</t>
  </si>
  <si>
    <t>http://collab.lge.com/main/x/CLOKOg</t>
  </si>
  <si>
    <t>http://collab.lge.com/main/x/43iJOQ</t>
  </si>
  <si>
    <t>\\dcv-data\Video-Training\Do Sampling Review Test Case - By Pham Thi Phuong Dung - 28 Oct 2019</t>
  </si>
  <si>
    <t>\\dcv-data\Video-Training\Do Sampling Test - By Truong Thi Hanh Phuc - 25 Oct 2019</t>
  </si>
  <si>
    <t>Chi.Bui</t>
  </si>
  <si>
    <t> Pham Thi Phuong Dung</t>
  </si>
  <si>
    <t> Dung1.pham</t>
  </si>
  <si>
    <t> Truong Thi Hanh Phuc</t>
  </si>
  <si>
    <t>khanh.ha</t>
  </si>
  <si>
    <t>phuong.ngo</t>
  </si>
  <si>
    <t>Le Thanh Loc
Nguyen Thuy Vi</t>
  </si>
  <si>
    <t>ThanhLoc.Le
Vi2.nguyen</t>
  </si>
  <si>
    <t>Lang Thi Thuy
To Thi Van Anh</t>
  </si>
  <si>
    <t>Thuy.Lang
anh.to</t>
  </si>
  <si>
    <t>Truong Dieu Linh
Do Thi Hue</t>
  </si>
  <si>
    <t>Linh.Truong
Hue.do</t>
  </si>
  <si>
    <t>Nguyen Thi Diem Hang
Hoang Thi Nhung</t>
  </si>
  <si>
    <t>diemhang.nguyen
nhung2.hoang</t>
  </si>
  <si>
    <t>Ngan.Do
Bich2.do</t>
  </si>
  <si>
    <t>Do Thi Ngan 
Do Ngoc Bich</t>
  </si>
  <si>
    <t>Dao Xuan Truong</t>
  </si>
  <si>
    <t>How to create &amp; verify Defect on system management</t>
  </si>
  <si>
    <t>AVN overview</t>
  </si>
  <si>
    <t>Introduction Telematics overview</t>
  </si>
  <si>
    <t>Improve TC Creation Productivity Method</t>
  </si>
  <si>
    <t>Improve TC Execution Productivity Method</t>
  </si>
  <si>
    <t>Best Practice to increase testing productivity</t>
  </si>
  <si>
    <t>Duration 1</t>
  </si>
  <si>
    <t>Total Duration</t>
  </si>
  <si>
    <t>Duration 2</t>
  </si>
  <si>
    <t>Duration 3</t>
  </si>
  <si>
    <t>Duration 4</t>
  </si>
  <si>
    <t>Duration 5</t>
  </si>
  <si>
    <t>Start date (yyyy/mm/dd)</t>
  </si>
  <si>
    <t>End date (yyyy/mm/dd)</t>
  </si>
  <si>
    <t>Duration of course applying
(year)</t>
  </si>
  <si>
    <t xml:space="preserve"> y &lt; 0.5</t>
  </si>
  <si>
    <t>y &gt;= 2</t>
  </si>
  <si>
    <t>Reduce 1 level</t>
  </si>
  <si>
    <t>Keep level</t>
  </si>
  <si>
    <t>D</t>
  </si>
  <si>
    <t>D1</t>
  </si>
  <si>
    <r>
      <rPr>
        <b/>
        <i/>
        <u/>
        <sz val="10"/>
        <color theme="1"/>
        <rFont val="Arial"/>
        <family val="2"/>
      </rPr>
      <t>RULE:</t>
    </r>
    <r>
      <rPr>
        <i/>
        <sz val="10"/>
        <color theme="1"/>
        <rFont val="Arial"/>
        <family val="2"/>
      </rPr>
      <t xml:space="preserve"> Weight/Score of "Optional" item is a half of "Mandatory", "Duplicated" items</t>
    </r>
  </si>
  <si>
    <t>Presentation Skill</t>
  </si>
  <si>
    <t>Communication Skill</t>
  </si>
  <si>
    <t>Khanh.Ha</t>
  </si>
  <si>
    <t>0.5 &lt;= y &lt; 1.5</t>
  </si>
  <si>
    <t>Exploratory testing</t>
  </si>
  <si>
    <t>1. Execute complex TC
2. Optimize testing with high productivity &amp; quality
3. Can do Exploratory testing</t>
  </si>
  <si>
    <t>Part 3</t>
  </si>
  <si>
    <t>DUY DOAN</t>
  </si>
  <si>
    <t>duy.doan</t>
  </si>
  <si>
    <t>VH005550</t>
  </si>
  <si>
    <t>VH005629</t>
  </si>
  <si>
    <t>thoa.dien</t>
  </si>
  <si>
    <t>THOA DIEN</t>
  </si>
  <si>
    <t>duyen.tran</t>
  </si>
  <si>
    <t>Hien.Tran</t>
  </si>
  <si>
    <t>hien.tran</t>
  </si>
  <si>
    <t>N/A</t>
  </si>
  <si>
    <t>duong4.nguyen</t>
  </si>
  <si>
    <t>maii.le</t>
  </si>
  <si>
    <t>Mai.le</t>
  </si>
  <si>
    <t>tuan4.nguyen</t>
  </si>
  <si>
    <t>Bui Thi Chi</t>
  </si>
  <si>
    <t>HongLien.Nguyen</t>
  </si>
  <si>
    <t>hang2.vu</t>
  </si>
  <si>
    <t>Automation system immediate, Automation test ATS</t>
  </si>
  <si>
    <t>Training skills</t>
  </si>
  <si>
    <t>Agile Introduction</t>
  </si>
  <si>
    <t>Cluster Overview</t>
  </si>
  <si>
    <t>Telecomunication Overview</t>
  </si>
  <si>
    <t>QXDM</t>
  </si>
  <si>
    <r>
      <rPr>
        <b/>
        <sz val="10"/>
        <color rgb="FFFF0000"/>
        <rFont val="Arial"/>
        <family val="2"/>
      </rPr>
      <t>Automotive</t>
    </r>
    <r>
      <rPr>
        <b/>
        <sz val="10"/>
        <color rgb="FF000000"/>
        <rFont val="Arial"/>
        <family val="2"/>
      </rPr>
      <t xml:space="preserve"> Fundamental</t>
    </r>
  </si>
  <si>
    <r>
      <t xml:space="preserve">Telematics </t>
    </r>
    <r>
      <rPr>
        <sz val="10"/>
        <color rgb="FFFF0000"/>
        <rFont val="Arial"/>
        <family val="2"/>
      </rPr>
      <t>Introduction</t>
    </r>
    <r>
      <rPr>
        <sz val="10"/>
        <color rgb="FF000000"/>
        <rFont val="Arial"/>
        <family val="2"/>
      </rPr>
      <t xml:space="preserve"> (Intermediate)</t>
    </r>
  </si>
  <si>
    <t>VS Validation Introduce</t>
  </si>
  <si>
    <t>How to create &amp; verify Defect  on system management</t>
  </si>
  <si>
    <t>Numeric and conversion</t>
  </si>
  <si>
    <t>Le Thi Phuong</t>
  </si>
  <si>
    <t>L1_CBL_013</t>
  </si>
  <si>
    <t>L1_CBL_014</t>
  </si>
  <si>
    <t>trang.dao</t>
  </si>
  <si>
    <r>
      <rPr>
        <sz val="10"/>
        <color rgb="FFFF0000"/>
        <rFont val="Arial Narrow"/>
        <family val="2"/>
      </rPr>
      <t>Telematics</t>
    </r>
    <r>
      <rPr>
        <sz val="10"/>
        <color theme="1"/>
        <rFont val="Arial Narrow"/>
        <family val="2"/>
      </rPr>
      <t xml:space="preserve"> </t>
    </r>
    <r>
      <rPr>
        <sz val="10"/>
        <color rgb="FFFF0000"/>
        <rFont val="Arial Narrow"/>
        <family val="2"/>
      </rPr>
      <t>Introduction</t>
    </r>
    <r>
      <rPr>
        <sz val="10"/>
        <color theme="1"/>
        <rFont val="Arial Narrow"/>
        <family val="2"/>
      </rPr>
      <t xml:space="preserve"> (Intermediate)</t>
    </r>
  </si>
  <si>
    <r>
      <t xml:space="preserve">Le Thanh Loc
</t>
    </r>
    <r>
      <rPr>
        <b/>
        <sz val="10"/>
        <rFont val="Arial Narrow"/>
        <family val="2"/>
      </rPr>
      <t>Nguyen Thuy Vi</t>
    </r>
  </si>
  <si>
    <r>
      <t xml:space="preserve">Lang Thi Thuy
</t>
    </r>
    <r>
      <rPr>
        <b/>
        <sz val="10"/>
        <rFont val="Arial Narrow"/>
        <family val="2"/>
      </rPr>
      <t>To Thi Van Anh</t>
    </r>
  </si>
  <si>
    <t>thuy.lang
anh.to</t>
  </si>
  <si>
    <t>Exploratory testing &amp; combination testing</t>
  </si>
  <si>
    <t>Best practice to increase testing productivity</t>
  </si>
  <si>
    <t>Soft Skill</t>
  </si>
  <si>
    <t>Do Sampling Test case</t>
  </si>
  <si>
    <t>How to manage/measure Ad-hoc activities effectively</t>
  </si>
  <si>
    <r>
      <t xml:space="preserve">Nguyen Thi Diem Hang
</t>
    </r>
    <r>
      <rPr>
        <b/>
        <sz val="10"/>
        <rFont val="Arial Narrow"/>
        <family val="2"/>
      </rPr>
      <t>Hoang Hong Nhung</t>
    </r>
  </si>
  <si>
    <t>nhung.hoang</t>
  </si>
  <si>
    <r>
      <rPr>
        <b/>
        <sz val="10"/>
        <rFont val="Arial Narrow"/>
        <family val="2"/>
      </rPr>
      <t xml:space="preserve">Do Thi Ngan </t>
    </r>
    <r>
      <rPr>
        <sz val="10"/>
        <rFont val="Arial Narrow"/>
        <family val="2"/>
      </rPr>
      <t xml:space="preserve">
</t>
    </r>
    <r>
      <rPr>
        <b/>
        <sz val="10"/>
        <rFont val="Arial Narrow"/>
        <family val="2"/>
      </rPr>
      <t>Duong Ho Hanh</t>
    </r>
  </si>
  <si>
    <t xml:space="preserve">ngan.do
hanh.duong
</t>
  </si>
  <si>
    <t>Nguyen Minh Quyen
Bui Thi Chi</t>
  </si>
  <si>
    <t>Vendor</t>
  </si>
  <si>
    <t>Do Thi Ngoc Bich</t>
  </si>
  <si>
    <t>L3_CBL_018</t>
  </si>
  <si>
    <t xml:space="preserve">How to read use case/read UML for intermediate </t>
  </si>
  <si>
    <t>Automation system immediate, Automation test ATS)</t>
  </si>
  <si>
    <t>Test Design Unit</t>
  </si>
  <si>
    <t>Mr. So</t>
  </si>
  <si>
    <t>Development - FEG</t>
  </si>
  <si>
    <t>Test Environment Design Unit</t>
  </si>
  <si>
    <t>Development</t>
  </si>
  <si>
    <t>Nguyen Diem Hang</t>
  </si>
  <si>
    <t>L1_CBL_015</t>
  </si>
  <si>
    <r>
      <rPr>
        <sz val="10"/>
        <color rgb="FFFF0000"/>
        <rFont val="Arial"/>
        <family val="2"/>
      </rPr>
      <t>Automotive</t>
    </r>
    <r>
      <rPr>
        <sz val="10"/>
        <color rgb="FF000000"/>
        <rFont val="Arial"/>
        <family val="2"/>
      </rPr>
      <t xml:space="preserve"> Fundamental</t>
    </r>
  </si>
  <si>
    <t>VS Validation Introduce (Intermediate)</t>
  </si>
  <si>
    <r>
      <rPr>
        <sz val="10"/>
        <color rgb="FFFF0000"/>
        <rFont val="Arial Narrow"/>
        <family val="2"/>
      </rPr>
      <t>VS</t>
    </r>
    <r>
      <rPr>
        <sz val="10"/>
        <color theme="1"/>
        <rFont val="Arial Narrow"/>
        <family val="2"/>
      </rPr>
      <t xml:space="preserve"> Validation Introduce (Intermediate)</t>
    </r>
  </si>
  <si>
    <t>CBL Training Course for VT</t>
  </si>
  <si>
    <t>phuong5.pham
chau2.nguyen
hong2.nguyen
mai.ngo
oanh2.nguyen
oanh2.do
hai.trinh
doan.vu
duyen2.pham
tuan4.nguyen
thuy2.dao
thuhuong.nguyen
dieu2.nguyen</t>
  </si>
  <si>
    <t>Anh2.tran
Toan.chu</t>
  </si>
  <si>
    <t>Hien.Tran
thoa.dien
Huyen2.Nguyen
nguyet2.nguyen
trang1.tran
Toan.chu</t>
  </si>
  <si>
    <t>anh7.nguyen
phuong5.pham
hang2.vu
hoai.ngo
duyen.tran
chau2.nguyen
hong.pham
hong2.nguyen
mai.ngo
an.ta
oanh2.nguyen
oanh2.do
doan.vu
thuy2.dao
thuhuong.nguyen
dieu2.nguyen
nga.le
Toan.chu</t>
  </si>
  <si>
    <t>doan.vu
ngan.do
trang2.nguyen
y.vu
phuong2.le
nga.le
Toan.chu</t>
  </si>
  <si>
    <t>mai.ngo
chi.bui
duyen2.pham
trang3.nguyen
ha3.nguyen
trang2.nguyen
an2.nguyen
Toan.chu</t>
  </si>
  <si>
    <t>hang2.vu
hong2.nguyen
oanh2.do
hai.trinh
dieu2.nguyen
dinh2.pham
an2.nguyen</t>
  </si>
  <si>
    <t>mai.ngo
an2.nguyen
kien3.nguyen
nga.bui</t>
  </si>
  <si>
    <t>Hien.Tran
maii.le
hong2.nguyen
nga.bui
thanh2.hoang</t>
  </si>
  <si>
    <t>maii.le
hong2.nguyen
hai.trinh
an2.nguyen
kien3.nguyen
phuong.ngo
huong6.nguyen</t>
  </si>
  <si>
    <t>duong4.nguyen
Hien.Tran
maii.le
hang2.vu
hoai.ngo
duyen.tran
hong2.nguyen
mai.ngo
an.ta
khanh.ngo
oanh2.nguyen
minh.do
oanh2.do
chi.bui
thoa.dien
khanh.ha
ngan.do
thuy2.dao
thuhuong.nguyen
dieu2.nguyen
dinh2.pham
nhung2.nguyen
an2.nguyen
kien3.nguyen
phuong.ngo
nga.bui
nhung.do
thanh2.hoang
huong6.nguyen
nga.le
Toan.chu</t>
  </si>
  <si>
    <t>hong2.nguyen
hai.trinh
la.dang
trang2.nguyen
y.vu</t>
  </si>
  <si>
    <t>maii.le
hang2.vu
hong2.nguyen
oanh2.nguyen
minh.do
oanh2.do
hai.trinh
ha3.nguyen
thang2.vu
trang2.nguyen
hien.dinh
y.vu
phuong2.le
an2.nguyen
thanh.nguyen
Toan.chu</t>
  </si>
  <si>
    <t>an.ta
khanh.ngo
hai.trinh
chi.bui
ha3.nguyen
trang2.nguyen</t>
  </si>
  <si>
    <t>chau2.nguyen
hong.pham
hong2.nguyen
trang3.nguyen
dieu2.nguyen
phuong.ngo
nhung.do</t>
  </si>
  <si>
    <t>hai.trinh
trang2.nguyen
kien3.nguyen
nga.bui</t>
  </si>
  <si>
    <t>trang2.nguyen
y.vu
nga.bui
thanh.nguyen</t>
  </si>
  <si>
    <t>Hien.Tran
maii.le
chau2.nguyen
cuong.tran
trang2.nguyen
huong6.nguyen</t>
  </si>
  <si>
    <t>dung1.pham
trang3.nguyen
lan.nguyen
trang2.nguyen
phuong.ngo
nga.bui
thanh.nguyen
nga.le
Toan.chu</t>
  </si>
  <si>
    <t>maii.le
duyen.tran
hong2.nguyen
oanh2.do
doan.vu
ngan.do
thuhuong.nguyen
trang2.nguyen
an2.nguyen
kien3.nguyen
phuong.ngo
nga.bui
nhung.do
thanh2.hoang
huong6.nguyen</t>
  </si>
  <si>
    <t>tam1.hoang
trang2.nguyen
nguyet2.nguyen
hang1.vu
thuy1.dang</t>
  </si>
  <si>
    <t>an2.nguyen
kien3.nguyen
Toan.chu</t>
  </si>
  <si>
    <t>anh7.nguyen
trang2.nguyen
y.vu
nhung2.nguyen</t>
  </si>
  <si>
    <t>duong4.nguyen
Hien.Tran
maii.le
hang2.vu
linh2.doan
hong2.nguyen
mai.ngo
thuy2.dao
thuhuong.nguyen
cuong.tran
Huyen2.Nguyen
kien3.nguyen
nhung.do
thanh.nguyen
thanh2.hoang</t>
  </si>
  <si>
    <t>duyen.tran
chau2.nguyen
hong2.nguyen
ngan.bui
thuhuong.nguyen
trang2.nguyen</t>
  </si>
  <si>
    <t>duyen.tran
hong2.nguyen
trang2.nguyen</t>
  </si>
  <si>
    <t>duyen2.pham
ngan.do
trang2.le</t>
  </si>
  <si>
    <t>anh7.nguyen
chau2.nguyen
oanh2.do
duyen2.pham
huong1.luong
ngan.do
Ha.To
hien.dinh</t>
  </si>
  <si>
    <t>minh.do
giang1.nguyen
lam.bui
thuy.lang
diu.le
hanh.trinh
vanhuong2.nguyen
thanhna.nguyen
duyen2.pham
cuong.truong
phuonganh.phan
trang2.le
thuy2.pham
HoangPhong.Nguyen
anh.to
lan.nguyen</t>
  </si>
  <si>
    <t>minh.do
giang1.nguyen
lam.bui
thuy.lang
cuong.tran</t>
  </si>
  <si>
    <t>duong4.nguyen
Hien.Tran
linh2.doan
duyen.tran
hong2.nguyen
mai.ngo
an.ta
khanh.ngo
oanh2.nguyen
oanh2.do
chi.bui
minhthu2.nguyen
thuy2.dao
thuhuong.nguyen
dieu2.nguyen
quyen.nguyen
nhung.do
thanh2.hoang
huong6.nguyen</t>
  </si>
  <si>
    <t>duong4.nguyen
Hien.Tran
lam.bui
thuy.lang
ngan.do
minhthu2.nguyen
khanhly.nguyen
Bich2.Do
anh.to
hien.dinh
thanh.nguyen
Toan.chu</t>
  </si>
  <si>
    <t>trang.tran
cuong.truong
phuonganh.phan
dung1.pham
ngan.do
truong.dao
Phuc.truong
thuy2.pham
nhung2.hoang
quyen.nguyen
thuy.le</t>
  </si>
  <si>
    <t>phuonganh.phan
dung1.pham
ngan.do
tam1.hoang
truong.dao
vi2.nguyen
Phuc.truong
Phuong1.Nguyen
Bich2.Do
Ha.To
nhung2.hoang
quyen.nguyen
thuy.le</t>
  </si>
  <si>
    <t>tam1.hoang
vi2.nguyen
trang2.le
Phuc.truong
thuy2.pham
HoangPhong.Nguyen
quyen.nguyen
thuy.le</t>
  </si>
  <si>
    <t>vi2.nguyen
khanhly.nguyen
thuy2.pham</t>
  </si>
  <si>
    <t>chi.bui
trang.tran
hanh.duong
hanh.trinh
thanhloc.le
nhung2.hoang
quyen.nguyen</t>
  </si>
  <si>
    <t>HAI TRINH</t>
  </si>
  <si>
    <t>PHUONG NGO</t>
  </si>
  <si>
    <t>DUYEN TRAN</t>
  </si>
  <si>
    <t>thuy2.tran</t>
  </si>
  <si>
    <t>THUY TRAN</t>
  </si>
  <si>
    <t>tam.trinh</t>
  </si>
  <si>
    <t>TAM TRINH</t>
  </si>
  <si>
    <t>nga.dang</t>
  </si>
  <si>
    <t>NGA DANG</t>
  </si>
  <si>
    <t>hung2.nguyen</t>
  </si>
  <si>
    <t>HUNG NGUYEN</t>
  </si>
  <si>
    <t>hang.pham</t>
  </si>
  <si>
    <t>HANG PHAM</t>
  </si>
  <si>
    <t>phuong2.ha</t>
  </si>
  <si>
    <t>PHUONG HA</t>
  </si>
  <si>
    <t>tuyen.do</t>
  </si>
  <si>
    <t>TUYEN DO</t>
  </si>
  <si>
    <t>thanh5.nguyen</t>
  </si>
  <si>
    <t>Ha.Han</t>
  </si>
  <si>
    <t>yen2.nguyen</t>
  </si>
  <si>
    <t>Navigation</t>
  </si>
  <si>
    <t>Nguyen Van Huong</t>
  </si>
  <si>
    <t>Than Thi Men</t>
  </si>
  <si>
    <t>men.than</t>
  </si>
  <si>
    <t>Y </t>
  </si>
  <si>
    <t>Đã join CBL </t>
  </si>
  <si>
    <t>Joined CBL</t>
  </si>
  <si>
    <t>07/27/2020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</si>
</sst>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_-;\-* #,##0_-;_-* &quot;-&quot;??_-;_-@_-"/>
    <numFmt numFmtId="165" formatCode="0.0%"/>
    <numFmt numFmtId="166" formatCode="0.0"/>
  </numFmts>
  <fonts count="41" x14ac:knownFonts="1">
    <font>
      <sz val="11"/>
      <color theme="1"/>
      <name val="Calibri"/>
      <family val="2"/>
      <scheme val="minor"/>
    </font>
    <font>
      <b/>
      <sz val="10"/>
      <color theme="1"/>
      <name val="Arial"/>
      <family val="2"/>
    </font>
    <font>
      <sz val="10"/>
      <color theme="1"/>
      <name val="Arial"/>
      <family val="2"/>
    </font>
    <font>
      <b/>
      <sz val="10"/>
      <color theme="0"/>
      <name val="Arial"/>
      <family val="2"/>
    </font>
    <font>
      <b/>
      <sz val="12"/>
      <color theme="0"/>
      <name val="Arial"/>
      <family val="2"/>
    </font>
    <font>
      <b/>
      <i/>
      <u/>
      <sz val="12"/>
      <color theme="0"/>
      <name val="Arial"/>
      <family val="2"/>
    </font>
    <font>
      <b/>
      <i/>
      <sz val="12"/>
      <color theme="0"/>
      <name val="Arial"/>
      <family val="2"/>
    </font>
    <font>
      <sz val="9"/>
      <color indexed="81"/>
      <name val="Tahoma"/>
      <family val="2"/>
    </font>
    <font>
      <b/>
      <sz val="9"/>
      <color indexed="81"/>
      <name val="Tahoma"/>
      <family val="2"/>
    </font>
    <font>
      <b/>
      <i/>
      <sz val="10"/>
      <color theme="0"/>
      <name val="Arial"/>
      <family val="2"/>
    </font>
    <font>
      <b/>
      <i/>
      <u/>
      <sz val="10"/>
      <color theme="0"/>
      <name val="Arial"/>
      <family val="2"/>
    </font>
    <font>
      <i/>
      <sz val="10"/>
      <color theme="1"/>
      <name val="Arial"/>
      <family val="2"/>
    </font>
    <font>
      <b/>
      <i/>
      <u/>
      <sz val="10"/>
      <color theme="1"/>
      <name val="Arial"/>
      <family val="2"/>
    </font>
    <font>
      <sz val="10"/>
      <color rgb="FF000000"/>
      <name val="Arial"/>
      <family val="2"/>
    </font>
    <font>
      <sz val="10"/>
      <name val="Arial"/>
      <family val="2"/>
    </font>
    <font>
      <b/>
      <sz val="18"/>
      <color rgb="FF000000"/>
      <name val="Arial Narrow"/>
      <family val="2"/>
    </font>
    <font>
      <b/>
      <sz val="10"/>
      <color rgb="FF000000"/>
      <name val="Arial Narrow"/>
      <family val="2"/>
    </font>
    <font>
      <b/>
      <i/>
      <sz val="10"/>
      <color rgb="FF000000"/>
      <name val="Arial Narrow"/>
      <family val="2"/>
    </font>
    <font>
      <sz val="10"/>
      <color rgb="FF000000"/>
      <name val="Arial Narrow"/>
      <family val="2"/>
    </font>
    <font>
      <u/>
      <sz val="11"/>
      <color theme="10"/>
      <name val="Calibri"/>
      <family val="2"/>
      <scheme val="minor"/>
    </font>
    <font>
      <u/>
      <sz val="10"/>
      <color theme="10"/>
      <name val="Arial Narrow"/>
      <family val="2"/>
    </font>
    <font>
      <sz val="10"/>
      <color theme="1"/>
      <name val="Arial Narrow"/>
      <family val="2"/>
    </font>
    <font>
      <sz val="10"/>
      <name val="Arial Narrow"/>
      <family val="2"/>
    </font>
    <font>
      <b/>
      <sz val="10"/>
      <color rgb="FF000000"/>
      <name val="Arial"/>
      <family val="2"/>
    </font>
    <font>
      <sz val="10"/>
      <color theme="0"/>
      <name val="Arial"/>
      <family val="2"/>
    </font>
    <font>
      <sz val="10"/>
      <color rgb="FFFF0000"/>
      <name val="Arial"/>
      <family val="2"/>
    </font>
    <font>
      <b/>
      <sz val="9"/>
      <color rgb="FF000000"/>
      <name val="Tahoma"/>
      <family val="2"/>
    </font>
    <font>
      <sz val="9"/>
      <color rgb="FF000000"/>
      <name val="Tahoma"/>
      <family val="2"/>
    </font>
    <font>
      <sz val="10"/>
      <color rgb="FFFF0000"/>
      <name val="Arial Narrow"/>
      <family val="2"/>
    </font>
    <font>
      <sz val="11"/>
      <color indexed="8"/>
      <name val="Calibri"/>
      <family val="2"/>
    </font>
    <font>
      <u/>
      <sz val="10"/>
      <color theme="10"/>
      <name val="Arial"/>
      <family val="2"/>
    </font>
    <font>
      <sz val="11"/>
      <color theme="1"/>
      <name val="Calibri"/>
      <family val="2"/>
      <scheme val="minor"/>
    </font>
    <font>
      <b/>
      <sz val="11"/>
      <color theme="1"/>
      <name val="Calibri"/>
      <family val="2"/>
      <scheme val="minor"/>
    </font>
    <font>
      <sz val="8"/>
      <color rgb="FF000000"/>
      <name val="Segoe UI"/>
      <family val="2"/>
    </font>
    <font>
      <b/>
      <sz val="10"/>
      <color rgb="FFFF0000"/>
      <name val="Arial"/>
      <family val="2"/>
    </font>
    <font>
      <sz val="11"/>
      <color rgb="FFFF0000"/>
      <name val="Calibri"/>
      <family val="2"/>
      <scheme val="minor"/>
    </font>
    <font>
      <b/>
      <sz val="10"/>
      <name val="Arial Narrow"/>
      <family val="2"/>
    </font>
    <font>
      <sz val="11"/>
      <name val="Calibri"/>
      <family val="2"/>
      <scheme val="minor"/>
    </font>
    <font>
      <sz val="11"/>
      <color rgb="FF000000"/>
      <name val="Calibri"/>
      <family val="2"/>
    </font>
    <font>
      <b/>
      <u/>
      <sz val="10"/>
      <color rgb="FF000000"/>
      <name val="Arial Narrow"/>
      <family val="2"/>
    </font>
    <font>
      <b/>
      <u/>
      <sz val="10"/>
      <color rgb="FFFF0000"/>
      <name val="Arial Narrow"/>
      <family val="2"/>
    </font>
  </fonts>
  <fills count="16">
    <fill>
      <patternFill patternType="none"/>
    </fill>
    <fill>
      <patternFill patternType="gray125"/>
    </fill>
    <fill>
      <patternFill patternType="solid">
        <fgColor theme="8" tint="-0.499984740745262"/>
        <bgColor indexed="64"/>
      </patternFill>
    </fill>
    <fill>
      <patternFill patternType="solid">
        <fgColor theme="4" tint="0.79998168889431442"/>
        <bgColor indexed="64"/>
      </patternFill>
    </fill>
    <fill>
      <patternFill patternType="solid">
        <fgColor theme="0"/>
        <bgColor indexed="64"/>
      </patternFill>
    </fill>
    <fill>
      <patternFill patternType="solid">
        <fgColor rgb="FF002060"/>
        <bgColor indexed="64"/>
      </patternFill>
    </fill>
    <fill>
      <patternFill patternType="solid">
        <fgColor theme="7" tint="0.79998168889431442"/>
        <bgColor indexed="64"/>
      </patternFill>
    </fill>
    <fill>
      <patternFill patternType="solid">
        <fgColor theme="2"/>
        <bgColor indexed="64"/>
      </patternFill>
    </fill>
    <fill>
      <patternFill patternType="solid">
        <fgColor theme="7"/>
        <bgColor indexed="64"/>
      </patternFill>
    </fill>
    <fill>
      <patternFill patternType="solid">
        <fgColor rgb="FFFFFF00"/>
        <bgColor indexed="64"/>
      </patternFill>
    </fill>
    <fill>
      <patternFill patternType="solid">
        <fgColor indexed="33"/>
        <bgColor indexed="64"/>
      </patternFill>
    </fill>
    <fill>
      <patternFill patternType="solid">
        <fgColor indexed="9"/>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9998168889431442"/>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right/>
      <top/>
      <bottom style="thin">
        <color indexed="64"/>
      </bottom>
      <diagonal/>
    </border>
    <border>
      <left style="thin">
        <color rgb="FF000000"/>
      </left>
      <right style="thin">
        <color indexed="64"/>
      </right>
      <top/>
      <bottom style="thin">
        <color indexed="64"/>
      </bottom>
      <diagonal/>
    </border>
    <border>
      <left style="dotted">
        <color indexed="64"/>
      </left>
      <right style="dotted">
        <color indexed="64"/>
      </right>
      <top style="dotted">
        <color indexed="64"/>
      </top>
      <bottom style="dotted">
        <color indexed="64"/>
      </bottom>
      <diagonal/>
    </border>
    <border>
      <left/>
      <right style="medium">
        <color rgb="FF000000"/>
      </right>
      <top/>
      <bottom style="medium">
        <color rgb="FF000000"/>
      </bottom>
      <diagonal/>
    </border>
    <border>
      <left/>
      <right/>
      <top/>
      <bottom style="medium">
        <color rgb="FF000000"/>
      </bottom>
      <diagonal/>
    </border>
    <border>
      <left style="thin">
        <color rgb="FF000000"/>
      </left>
      <right style="thin">
        <color indexed="64"/>
      </right>
      <top/>
      <bottom/>
      <diagonal/>
    </border>
    <border>
      <left style="dotted">
        <color indexed="64"/>
      </left>
      <right style="dotted">
        <color indexed="64"/>
      </right>
      <top style="dotted">
        <color indexed="64"/>
      </top>
      <bottom/>
      <diagonal/>
    </border>
  </borders>
  <cellStyleXfs count="5">
    <xf numFmtId="0" fontId="0" fillId="0" borderId="0"/>
    <xf numFmtId="0" fontId="14" fillId="0" borderId="0"/>
    <xf numFmtId="0" fontId="19" fillId="0" borderId="0" applyNumberFormat="0" applyFill="0" applyBorder="0" applyAlignment="0" applyProtection="0"/>
    <xf numFmtId="0" fontId="29" fillId="0" borderId="0" applyFill="0" applyProtection="0"/>
    <xf numFmtId="9" fontId="31" fillId="0" borderId="0" applyFont="0" applyFill="0" applyBorder="0" applyAlignment="0" applyProtection="0"/>
  </cellStyleXfs>
  <cellXfs count="382">
    <xf numFmtId="0" fontId="0" fillId="0" borderId="0" xfId="0"/>
    <xf numFmtId="0" fontId="2" fillId="0" borderId="1" xfId="0" applyFont="1" applyBorder="1" applyAlignment="1">
      <alignment vertical="center" wrapText="1"/>
    </xf>
    <xf numFmtId="0" fontId="2" fillId="0" borderId="1"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vertical="center" wrapText="1"/>
    </xf>
    <xf numFmtId="0" fontId="3" fillId="2" borderId="1" xfId="0" applyFont="1" applyFill="1" applyBorder="1" applyAlignment="1">
      <alignment horizontal="center" vertical="center" wrapText="1"/>
    </xf>
    <xf numFmtId="2" fontId="2" fillId="0" borderId="1" xfId="0" applyNumberFormat="1" applyFont="1" applyBorder="1" applyAlignment="1">
      <alignment horizontal="center" vertical="center"/>
    </xf>
    <xf numFmtId="2" fontId="2" fillId="0" borderId="1" xfId="0" applyNumberFormat="1" applyFont="1" applyBorder="1" applyAlignment="1">
      <alignment horizontal="center" vertical="center" wrapText="1"/>
    </xf>
    <xf numFmtId="0" fontId="1" fillId="0" borderId="1" xfId="0" applyFont="1" applyBorder="1" applyAlignment="1">
      <alignment horizontal="center" vertical="center"/>
    </xf>
    <xf numFmtId="2" fontId="1" fillId="3" borderId="3" xfId="0" applyNumberFormat="1" applyFont="1" applyFill="1" applyBorder="1" applyAlignment="1">
      <alignment horizontal="center" vertical="center" wrapText="1"/>
    </xf>
    <xf numFmtId="0" fontId="11" fillId="0" borderId="0" xfId="0" applyFont="1" applyAlignment="1">
      <alignment vertical="center"/>
    </xf>
    <xf numFmtId="0" fontId="1" fillId="0" borderId="4" xfId="0" applyFont="1" applyBorder="1" applyAlignment="1">
      <alignment vertical="center"/>
    </xf>
    <xf numFmtId="0" fontId="2" fillId="0" borderId="5" xfId="0" applyFont="1" applyBorder="1" applyAlignment="1">
      <alignment vertical="center" wrapText="1"/>
    </xf>
    <xf numFmtId="0" fontId="1" fillId="0" borderId="6" xfId="0" applyFont="1" applyBorder="1" applyAlignment="1">
      <alignment vertical="center"/>
    </xf>
    <xf numFmtId="0" fontId="2" fillId="0" borderId="7" xfId="0" applyFont="1" applyBorder="1" applyAlignment="1">
      <alignment horizontal="center" vertical="center" wrapText="1"/>
    </xf>
    <xf numFmtId="0" fontId="2" fillId="0" borderId="7" xfId="0" applyFont="1" applyBorder="1" applyAlignment="1">
      <alignment vertical="center" wrapText="1"/>
    </xf>
    <xf numFmtId="0" fontId="2" fillId="0" borderId="8" xfId="0" applyFont="1" applyBorder="1" applyAlignment="1">
      <alignment vertical="center" wrapText="1"/>
    </xf>
    <xf numFmtId="0" fontId="1" fillId="0" borderId="9" xfId="0" applyFont="1" applyBorder="1" applyAlignment="1">
      <alignment vertical="center"/>
    </xf>
    <xf numFmtId="0" fontId="2" fillId="0" borderId="10" xfId="0" applyFont="1" applyBorder="1" applyAlignment="1">
      <alignment vertical="center" wrapText="1"/>
    </xf>
    <xf numFmtId="0" fontId="2" fillId="0" borderId="11" xfId="0" applyFont="1" applyBorder="1" applyAlignment="1">
      <alignment vertical="center" wrapText="1"/>
    </xf>
    <xf numFmtId="0" fontId="4" fillId="2" borderId="13"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2" fillId="0" borderId="1" xfId="0" applyFont="1" applyBorder="1" applyAlignment="1">
      <alignment horizontal="center" vertical="center"/>
    </xf>
    <xf numFmtId="0" fontId="3" fillId="5" borderId="1" xfId="0" applyFont="1" applyFill="1" applyBorder="1" applyAlignment="1">
      <alignment horizontal="center" vertical="center"/>
    </xf>
    <xf numFmtId="0" fontId="13" fillId="6" borderId="1" xfId="0" applyFont="1" applyFill="1" applyBorder="1" applyAlignment="1">
      <alignment horizontal="center" vertical="center" wrapText="1"/>
    </xf>
    <xf numFmtId="0" fontId="14" fillId="0" borderId="1" xfId="1" applyFont="1" applyFill="1" applyBorder="1" applyAlignment="1">
      <alignment horizontal="center" vertical="center"/>
    </xf>
    <xf numFmtId="0" fontId="14" fillId="0" borderId="1" xfId="0" applyFont="1" applyBorder="1" applyAlignment="1">
      <alignment horizontal="center" vertical="center"/>
    </xf>
    <xf numFmtId="0" fontId="3" fillId="5" borderId="0" xfId="0" applyFont="1" applyFill="1" applyBorder="1" applyAlignment="1">
      <alignment horizontal="center" vertical="center"/>
    </xf>
    <xf numFmtId="0" fontId="3" fillId="5" borderId="0" xfId="0" applyFont="1" applyFill="1" applyBorder="1" applyAlignment="1">
      <alignment horizontal="center" vertical="center" wrapText="1"/>
    </xf>
    <xf numFmtId="0" fontId="2" fillId="0" borderId="0" xfId="0" applyFont="1"/>
    <xf numFmtId="0" fontId="2" fillId="0" borderId="1" xfId="0" applyFont="1" applyBorder="1" applyAlignment="1">
      <alignment horizontal="center"/>
    </xf>
    <xf numFmtId="2" fontId="2" fillId="0" borderId="1" xfId="0" applyNumberFormat="1" applyFont="1" applyBorder="1" applyAlignment="1">
      <alignment horizontal="center"/>
    </xf>
    <xf numFmtId="10" fontId="2" fillId="0" borderId="1" xfId="0" applyNumberFormat="1" applyFont="1" applyBorder="1" applyAlignment="1">
      <alignment horizontal="center"/>
    </xf>
    <xf numFmtId="0" fontId="2" fillId="0" borderId="0" xfId="0" applyFont="1" applyAlignment="1">
      <alignment horizontal="center"/>
    </xf>
    <xf numFmtId="2" fontId="2" fillId="0" borderId="0" xfId="0" applyNumberFormat="1" applyFont="1"/>
    <xf numFmtId="0" fontId="18" fillId="0" borderId="1" xfId="0" applyFont="1" applyBorder="1" applyAlignment="1">
      <alignment horizontal="left" vertical="center" wrapText="1" readingOrder="1"/>
    </xf>
    <xf numFmtId="0" fontId="18" fillId="0" borderId="35" xfId="0" applyFont="1" applyBorder="1" applyAlignment="1">
      <alignment horizontal="left" vertical="center" wrapText="1" indent="1" readingOrder="1"/>
    </xf>
    <xf numFmtId="0" fontId="18" fillId="0" borderId="37" xfId="0" applyFont="1" applyBorder="1" applyAlignment="1">
      <alignment horizontal="center" vertical="center" wrapText="1" readingOrder="1"/>
    </xf>
    <xf numFmtId="0" fontId="18" fillId="0" borderId="35" xfId="0" applyFont="1" applyBorder="1" applyAlignment="1">
      <alignment horizontal="left" wrapText="1" indent="1" readingOrder="1"/>
    </xf>
    <xf numFmtId="0" fontId="20" fillId="0" borderId="37" xfId="2" applyFont="1" applyBorder="1" applyAlignment="1">
      <alignment horizontal="center" vertical="center" wrapText="1" readingOrder="1"/>
    </xf>
    <xf numFmtId="0" fontId="18" fillId="0" borderId="37" xfId="0" applyFont="1" applyBorder="1" applyAlignment="1">
      <alignment horizontal="center" wrapText="1" readingOrder="1"/>
    </xf>
    <xf numFmtId="16" fontId="18" fillId="0" borderId="35" xfId="0" applyNumberFormat="1" applyFont="1" applyBorder="1" applyAlignment="1">
      <alignment horizontal="center" wrapText="1" readingOrder="1"/>
    </xf>
    <xf numFmtId="0" fontId="21" fillId="0" borderId="0" xfId="0" applyFont="1" applyAlignment="1">
      <alignment vertical="center"/>
    </xf>
    <xf numFmtId="0" fontId="20" fillId="0" borderId="37" xfId="2" applyFont="1" applyBorder="1" applyAlignment="1">
      <alignment horizontal="center" wrapText="1" readingOrder="1"/>
    </xf>
    <xf numFmtId="0" fontId="18" fillId="0" borderId="1" xfId="0" applyFont="1" applyBorder="1" applyAlignment="1">
      <alignment horizontal="left" wrapText="1" readingOrder="1"/>
    </xf>
    <xf numFmtId="0" fontId="20" fillId="0" borderId="32" xfId="2" applyFont="1" applyBorder="1" applyAlignment="1">
      <alignment horizontal="center" wrapText="1" readingOrder="1"/>
    </xf>
    <xf numFmtId="0" fontId="22" fillId="0" borderId="37" xfId="0" applyFont="1" applyBorder="1" applyAlignment="1">
      <alignment horizontal="center" vertical="center" wrapText="1"/>
    </xf>
    <xf numFmtId="0" fontId="18" fillId="0" borderId="35" xfId="0" applyFont="1" applyBorder="1" applyAlignment="1">
      <alignment horizontal="left" vertical="center" wrapText="1" readingOrder="1"/>
    </xf>
    <xf numFmtId="0" fontId="14" fillId="0" borderId="37" xfId="0" applyFont="1" applyBorder="1" applyAlignment="1">
      <alignment horizontal="center" vertical="center" wrapText="1"/>
    </xf>
    <xf numFmtId="0" fontId="18" fillId="0" borderId="30" xfId="0" applyFont="1" applyBorder="1" applyAlignment="1">
      <alignment horizontal="left" vertical="center" wrapText="1" indent="1" readingOrder="1"/>
    </xf>
    <xf numFmtId="0" fontId="18" fillId="0" borderId="29" xfId="0" applyFont="1" applyBorder="1" applyAlignment="1">
      <alignment horizontal="left" vertical="center" wrapText="1" indent="1" readingOrder="1"/>
    </xf>
    <xf numFmtId="0" fontId="18" fillId="9" borderId="1" xfId="0" applyFont="1" applyFill="1" applyBorder="1" applyAlignment="1">
      <alignment horizontal="left" vertical="center" wrapText="1" readingOrder="1"/>
    </xf>
    <xf numFmtId="0" fontId="14" fillId="4" borderId="1" xfId="1" applyFont="1" applyFill="1" applyBorder="1" applyAlignment="1">
      <alignment horizontal="center" vertical="center"/>
    </xf>
    <xf numFmtId="0" fontId="14" fillId="4" borderId="1" xfId="0" applyFont="1" applyFill="1" applyBorder="1" applyAlignment="1">
      <alignment horizontal="center" vertical="center"/>
    </xf>
    <xf numFmtId="0" fontId="2" fillId="4" borderId="1" xfId="0" applyFont="1" applyFill="1" applyBorder="1" applyAlignment="1">
      <alignment horizontal="center" vertical="center"/>
    </xf>
    <xf numFmtId="1" fontId="2" fillId="0" borderId="1" xfId="0" applyNumberFormat="1" applyFont="1" applyBorder="1" applyAlignment="1">
      <alignment horizontal="center"/>
    </xf>
    <xf numFmtId="0" fontId="2" fillId="0" borderId="0" xfId="0" applyFont="1" applyAlignment="1">
      <alignment horizontal="center" vertical="center"/>
    </xf>
    <xf numFmtId="0" fontId="21" fillId="0" borderId="0" xfId="0" applyFont="1" applyAlignment="1">
      <alignment horizontal="center" vertical="center"/>
    </xf>
    <xf numFmtId="0" fontId="18" fillId="0" borderId="1" xfId="0" applyFont="1" applyBorder="1" applyAlignment="1">
      <alignment horizontal="center" vertical="center" wrapText="1"/>
    </xf>
    <xf numFmtId="2" fontId="2" fillId="0" borderId="0" xfId="0" applyNumberFormat="1" applyFont="1" applyAlignment="1">
      <alignment horizontal="center"/>
    </xf>
    <xf numFmtId="1" fontId="2" fillId="0" borderId="10" xfId="0" applyNumberFormat="1" applyFont="1" applyBorder="1" applyAlignment="1">
      <alignment horizontal="center"/>
    </xf>
    <xf numFmtId="0" fontId="18" fillId="0" borderId="37" xfId="0" applyFont="1" applyBorder="1" applyAlignment="1">
      <alignment horizontal="left" wrapText="1" indent="1" readingOrder="1"/>
    </xf>
    <xf numFmtId="0" fontId="18" fillId="0" borderId="1" xfId="0" applyFont="1" applyBorder="1" applyAlignment="1">
      <alignment horizontal="left" vertical="center" wrapText="1" indent="1" readingOrder="1"/>
    </xf>
    <xf numFmtId="0" fontId="18" fillId="0" borderId="37" xfId="0" applyFont="1" applyBorder="1" applyAlignment="1">
      <alignment horizontal="left" vertical="center" wrapText="1" indent="1" readingOrder="1"/>
    </xf>
    <xf numFmtId="0" fontId="18" fillId="0" borderId="37" xfId="0" applyFont="1" applyBorder="1" applyAlignment="1">
      <alignment horizontal="left" wrapText="1" readingOrder="1"/>
    </xf>
    <xf numFmtId="0" fontId="18" fillId="0" borderId="32" xfId="0" applyFont="1" applyBorder="1" applyAlignment="1">
      <alignment horizontal="left" wrapText="1" indent="1" readingOrder="1"/>
    </xf>
    <xf numFmtId="0" fontId="2" fillId="0" borderId="0" xfId="0" applyFont="1" applyAlignment="1">
      <alignment horizontal="left" vertical="center"/>
    </xf>
    <xf numFmtId="0" fontId="18" fillId="0" borderId="31" xfId="0" applyFont="1" applyBorder="1" applyAlignment="1">
      <alignment horizontal="left" vertical="center" wrapText="1" readingOrder="1"/>
    </xf>
    <xf numFmtId="0" fontId="21" fillId="0" borderId="0" xfId="0" applyFont="1" applyAlignment="1">
      <alignment horizontal="left" vertical="center"/>
    </xf>
    <xf numFmtId="0" fontId="3" fillId="2" borderId="1" xfId="0" applyFont="1" applyFill="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xf>
    <xf numFmtId="0" fontId="13" fillId="0" borderId="0" xfId="0" applyFont="1" applyBorder="1" applyAlignment="1">
      <alignment horizontal="left" vertical="center" wrapText="1"/>
    </xf>
    <xf numFmtId="0" fontId="13" fillId="0" borderId="0" xfId="0" applyFont="1" applyBorder="1" applyAlignment="1">
      <alignment horizontal="center" vertical="center" wrapText="1"/>
    </xf>
    <xf numFmtId="2" fontId="1" fillId="0" borderId="0" xfId="0" applyNumberFormat="1" applyFont="1" applyAlignment="1">
      <alignment horizontal="center" vertical="center"/>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4" xfId="0" applyFont="1" applyFill="1" applyBorder="1" applyAlignment="1">
      <alignment vertical="center"/>
    </xf>
    <xf numFmtId="2" fontId="1" fillId="3" borderId="45"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0" fontId="3" fillId="2" borderId="1" xfId="0" applyFont="1" applyFill="1" applyBorder="1" applyAlignment="1">
      <alignment horizontal="left" vertical="center"/>
    </xf>
    <xf numFmtId="2" fontId="1" fillId="0" borderId="0" xfId="0" applyNumberFormat="1" applyFont="1" applyAlignment="1">
      <alignment horizont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49" xfId="0" applyFont="1" applyFill="1" applyBorder="1" applyAlignment="1">
      <alignment horizontal="center" vertical="center"/>
    </xf>
    <xf numFmtId="0" fontId="2" fillId="0" borderId="0" xfId="0" applyFont="1" applyAlignment="1">
      <alignment horizontal="right"/>
    </xf>
    <xf numFmtId="0" fontId="2" fillId="0" borderId="0" xfId="0" applyFont="1" applyAlignment="1">
      <alignment horizontal="right"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8" fillId="0" borderId="30" xfId="0" applyFont="1" applyBorder="1" applyAlignment="1">
      <alignment horizontal="left" vertical="center" wrapText="1" readingOrder="1"/>
    </xf>
    <xf numFmtId="0" fontId="18" fillId="10" borderId="1" xfId="0" applyFont="1" applyFill="1" applyBorder="1" applyAlignment="1">
      <alignment horizontal="center" vertical="center" wrapText="1"/>
    </xf>
    <xf numFmtId="10" fontId="23" fillId="3" borderId="44" xfId="0" applyNumberFormat="1" applyFont="1" applyFill="1" applyBorder="1" applyAlignment="1">
      <alignment horizontal="center" vertical="center"/>
    </xf>
    <xf numFmtId="0" fontId="13" fillId="0" borderId="0" xfId="0" applyFont="1"/>
    <xf numFmtId="0" fontId="18" fillId="0" borderId="1" xfId="0" applyFont="1" applyBorder="1" applyAlignment="1">
      <alignment horizontal="center" wrapText="1" readingOrder="1"/>
    </xf>
    <xf numFmtId="15" fontId="18" fillId="0" borderId="1" xfId="0" applyNumberFormat="1" applyFont="1" applyBorder="1" applyAlignment="1">
      <alignment horizontal="center" vertical="center" wrapText="1"/>
    </xf>
    <xf numFmtId="16" fontId="18" fillId="0" borderId="1" xfId="0" applyNumberFormat="1" applyFont="1" applyBorder="1" applyAlignment="1">
      <alignment horizontal="center" vertical="center" wrapText="1"/>
    </xf>
    <xf numFmtId="16" fontId="18" fillId="0" borderId="35" xfId="0" applyNumberFormat="1" applyFont="1" applyBorder="1" applyAlignment="1">
      <alignment horizontal="center" vertical="top" wrapText="1" readingOrder="1"/>
    </xf>
    <xf numFmtId="0" fontId="19" fillId="0" borderId="0" xfId="2"/>
    <xf numFmtId="0" fontId="18" fillId="0" borderId="1" xfId="0" applyFont="1" applyBorder="1" applyAlignment="1">
      <alignment horizontal="center" vertical="center"/>
    </xf>
    <xf numFmtId="0" fontId="13" fillId="9" borderId="1" xfId="0" applyFont="1" applyFill="1" applyBorder="1" applyAlignment="1">
      <alignment horizontal="center" vertical="center" wrapText="1"/>
    </xf>
    <xf numFmtId="0" fontId="19" fillId="0" borderId="0" xfId="2" applyAlignment="1">
      <alignment vertical="center"/>
    </xf>
    <xf numFmtId="0" fontId="18" fillId="11" borderId="1" xfId="0" applyFont="1" applyFill="1" applyBorder="1" applyAlignment="1">
      <alignment horizontal="center" vertical="center" wrapText="1"/>
    </xf>
    <xf numFmtId="0" fontId="13" fillId="9" borderId="1" xfId="0" applyFont="1" applyFill="1" applyBorder="1" applyAlignment="1">
      <alignment horizontal="left" vertical="center" wrapText="1"/>
    </xf>
    <xf numFmtId="0" fontId="2" fillId="0" borderId="10" xfId="0" applyFont="1" applyBorder="1" applyAlignment="1">
      <alignment horizontal="center" vertical="center"/>
    </xf>
    <xf numFmtId="2" fontId="3" fillId="5" borderId="0" xfId="0" applyNumberFormat="1" applyFont="1" applyFill="1" applyBorder="1" applyAlignment="1">
      <alignment horizontal="center" vertical="center"/>
    </xf>
    <xf numFmtId="2" fontId="2" fillId="0" borderId="10" xfId="0" applyNumberFormat="1" applyFont="1" applyBorder="1" applyAlignment="1">
      <alignment horizontal="center" vertical="center"/>
    </xf>
    <xf numFmtId="2" fontId="14" fillId="0" borderId="1" xfId="1" applyNumberFormat="1" applyFont="1" applyFill="1" applyBorder="1" applyAlignment="1">
      <alignment horizontal="center" vertical="center"/>
    </xf>
    <xf numFmtId="2" fontId="14" fillId="0" borderId="1" xfId="0" applyNumberFormat="1" applyFont="1" applyBorder="1" applyAlignment="1">
      <alignment horizontal="center" vertical="center"/>
    </xf>
    <xf numFmtId="2" fontId="14" fillId="4" borderId="1" xfId="0" applyNumberFormat="1" applyFont="1" applyFill="1" applyBorder="1" applyAlignment="1">
      <alignment horizontal="center" vertical="center"/>
    </xf>
    <xf numFmtId="2" fontId="2" fillId="4" borderId="1" xfId="0" applyNumberFormat="1" applyFont="1" applyFill="1" applyBorder="1" applyAlignment="1">
      <alignment horizontal="center" vertical="center"/>
    </xf>
    <xf numFmtId="2" fontId="14" fillId="4" borderId="1" xfId="1" applyNumberFormat="1" applyFont="1" applyFill="1" applyBorder="1" applyAlignment="1">
      <alignment horizontal="center" vertical="center"/>
    </xf>
    <xf numFmtId="0" fontId="30" fillId="4" borderId="1" xfId="2" applyFont="1" applyFill="1" applyBorder="1" applyAlignment="1">
      <alignment horizontal="center" vertical="center"/>
    </xf>
    <xf numFmtId="2" fontId="30" fillId="4" borderId="1" xfId="2" applyNumberFormat="1" applyFont="1" applyFill="1" applyBorder="1" applyAlignment="1">
      <alignment horizontal="center" vertical="center"/>
    </xf>
    <xf numFmtId="0" fontId="30" fillId="0" borderId="1" xfId="2" applyFont="1" applyBorder="1" applyAlignment="1">
      <alignment horizontal="center"/>
    </xf>
    <xf numFmtId="2" fontId="3" fillId="5" borderId="42" xfId="0" applyNumberFormat="1" applyFont="1" applyFill="1" applyBorder="1" applyAlignment="1">
      <alignment horizontal="center" vertical="center"/>
    </xf>
    <xf numFmtId="164" fontId="14" fillId="0" borderId="52" xfId="0" applyNumberFormat="1" applyFont="1" applyFill="1" applyBorder="1" applyAlignment="1">
      <alignment horizontal="center" vertical="center" wrapText="1"/>
    </xf>
    <xf numFmtId="0" fontId="3" fillId="2" borderId="47" xfId="0" applyFont="1" applyFill="1" applyBorder="1" applyAlignment="1">
      <alignment vertical="center"/>
    </xf>
    <xf numFmtId="0" fontId="3" fillId="2" borderId="50" xfId="0" applyFont="1" applyFill="1" applyBorder="1" applyAlignment="1">
      <alignment vertical="center"/>
    </xf>
    <xf numFmtId="0" fontId="0" fillId="0" borderId="1" xfId="0" pivotButton="1" applyBorder="1"/>
    <xf numFmtId="0" fontId="0" fillId="0" borderId="1" xfId="0" applyBorder="1" applyAlignment="1">
      <alignment horizontal="left"/>
    </xf>
    <xf numFmtId="0" fontId="0" fillId="0" borderId="1" xfId="0" applyNumberFormat="1" applyBorder="1"/>
    <xf numFmtId="165" fontId="0" fillId="0" borderId="1" xfId="0" applyNumberFormat="1" applyBorder="1"/>
    <xf numFmtId="165" fontId="0" fillId="0" borderId="0" xfId="0" applyNumberFormat="1"/>
    <xf numFmtId="0" fontId="0" fillId="0" borderId="1" xfId="0" pivotButton="1" applyBorder="1" applyAlignment="1">
      <alignment horizontal="center"/>
    </xf>
    <xf numFmtId="0" fontId="0" fillId="0" borderId="1" xfId="0" applyBorder="1" applyAlignment="1">
      <alignment horizontal="center"/>
    </xf>
    <xf numFmtId="165" fontId="0" fillId="0" borderId="1" xfId="0" applyNumberFormat="1" applyBorder="1" applyAlignment="1">
      <alignment horizontal="center"/>
    </xf>
    <xf numFmtId="9" fontId="0" fillId="0" borderId="0" xfId="4" applyFont="1"/>
    <xf numFmtId="1" fontId="0" fillId="0" borderId="0" xfId="0" applyNumberFormat="1"/>
    <xf numFmtId="0" fontId="32" fillId="0" borderId="0" xfId="0" applyFont="1"/>
    <xf numFmtId="0" fontId="0" fillId="9" borderId="0" xfId="0" applyFill="1"/>
    <xf numFmtId="0" fontId="19" fillId="4" borderId="1" xfId="2" applyFill="1" applyBorder="1" applyAlignment="1">
      <alignment horizontal="left" vertical="center" wrapText="1"/>
    </xf>
    <xf numFmtId="0" fontId="20" fillId="0" borderId="38" xfId="2" applyFont="1" applyBorder="1" applyAlignment="1">
      <alignment horizontal="center" vertical="center" wrapText="1" readingOrder="1"/>
    </xf>
    <xf numFmtId="0" fontId="20" fillId="0" borderId="1" xfId="2" applyFont="1" applyBorder="1" applyAlignment="1">
      <alignment horizontal="center" vertical="center" wrapText="1" readingOrder="1"/>
    </xf>
    <xf numFmtId="166"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0" fontId="16" fillId="0" borderId="2" xfId="0" applyFont="1" applyBorder="1" applyAlignment="1">
      <alignment horizontal="center" vertical="center" wrapText="1" readingOrder="1"/>
    </xf>
    <xf numFmtId="0" fontId="16" fillId="0" borderId="10" xfId="0" applyFont="1" applyBorder="1" applyAlignment="1">
      <alignment horizontal="center" vertical="center" wrapText="1" readingOrder="1"/>
    </xf>
    <xf numFmtId="0" fontId="15" fillId="7" borderId="0" xfId="0" applyFont="1" applyFill="1" applyBorder="1" applyAlignment="1"/>
    <xf numFmtId="0" fontId="3" fillId="2" borderId="25" xfId="0" applyFont="1" applyFill="1" applyBorder="1" applyAlignment="1">
      <alignment horizontal="center" vertical="center"/>
    </xf>
    <xf numFmtId="0" fontId="3" fillId="2" borderId="26" xfId="0" applyFont="1" applyFill="1" applyBorder="1" applyAlignment="1">
      <alignment horizontal="center" vertical="center"/>
    </xf>
    <xf numFmtId="0" fontId="3" fillId="2" borderId="27" xfId="0" applyFont="1" applyFill="1" applyBorder="1" applyAlignment="1">
      <alignment horizontal="center" vertical="center"/>
    </xf>
    <xf numFmtId="0" fontId="34" fillId="0" borderId="4" xfId="0" applyFont="1" applyBorder="1" applyAlignment="1">
      <alignment horizontal="left" vertical="center" wrapText="1"/>
    </xf>
    <xf numFmtId="0" fontId="18" fillId="9" borderId="37" xfId="0" applyFont="1" applyFill="1" applyBorder="1" applyAlignment="1">
      <alignment horizontal="left" wrapText="1" indent="1" readingOrder="1"/>
    </xf>
    <xf numFmtId="0" fontId="16" fillId="0" borderId="1" xfId="0" applyFont="1" applyBorder="1" applyAlignment="1">
      <alignment horizontal="center" vertical="center" wrapText="1" readingOrder="1"/>
    </xf>
    <xf numFmtId="0" fontId="15" fillId="7" borderId="0" xfId="0" applyFont="1" applyFill="1" applyBorder="1" applyAlignment="1">
      <alignment horizontal="center"/>
    </xf>
    <xf numFmtId="0" fontId="16" fillId="0" borderId="29" xfId="0" applyFont="1" applyBorder="1" applyAlignment="1">
      <alignment horizontal="left" vertical="center" wrapText="1" readingOrder="1"/>
    </xf>
    <xf numFmtId="0" fontId="16" fillId="0" borderId="30" xfId="0" applyFont="1" applyBorder="1" applyAlignment="1">
      <alignment horizontal="left" vertical="center" wrapText="1" readingOrder="1"/>
    </xf>
    <xf numFmtId="0" fontId="16" fillId="8" borderId="28" xfId="0" applyFont="1" applyFill="1" applyBorder="1" applyAlignment="1">
      <alignment horizontal="center" vertical="center" wrapText="1"/>
    </xf>
    <xf numFmtId="0" fontId="16" fillId="0" borderId="28"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8" fillId="0" borderId="30" xfId="0" applyFont="1" applyBorder="1" applyAlignment="1">
      <alignment horizontal="center" vertical="center" wrapText="1" readingOrder="1"/>
    </xf>
    <xf numFmtId="0" fontId="18" fillId="0" borderId="28" xfId="0" applyFont="1" applyBorder="1" applyAlignment="1">
      <alignment horizontal="center" vertical="center" wrapText="1" readingOrder="1"/>
    </xf>
    <xf numFmtId="0" fontId="18" fillId="0" borderId="29" xfId="0" applyFont="1" applyBorder="1" applyAlignment="1">
      <alignment horizontal="center" vertical="center" wrapText="1" readingOrder="1"/>
    </xf>
    <xf numFmtId="0" fontId="16" fillId="8" borderId="28" xfId="0" applyFont="1" applyFill="1" applyBorder="1" applyAlignment="1">
      <alignment horizontal="center" vertical="center" wrapText="1" readingOrder="1"/>
    </xf>
    <xf numFmtId="0" fontId="16" fillId="8" borderId="30" xfId="0" applyFont="1" applyFill="1" applyBorder="1" applyAlignment="1">
      <alignment horizontal="center" vertical="center" wrapText="1" readingOrder="1"/>
    </xf>
    <xf numFmtId="0" fontId="20" fillId="0" borderId="32" xfId="2" applyFont="1" applyBorder="1" applyAlignment="1">
      <alignment horizontal="center" vertical="center" wrapText="1" readingOrder="1"/>
    </xf>
    <xf numFmtId="0" fontId="20" fillId="0" borderId="34" xfId="2" applyFont="1" applyBorder="1" applyAlignment="1">
      <alignment horizontal="center" vertical="center" wrapText="1" readingOrder="1"/>
    </xf>
    <xf numFmtId="0" fontId="19" fillId="0" borderId="1" xfId="2" applyBorder="1" applyAlignment="1">
      <alignment horizontal="center"/>
    </xf>
    <xf numFmtId="164" fontId="19" fillId="0" borderId="52" xfId="2" applyNumberFormat="1" applyFill="1" applyBorder="1" applyAlignment="1">
      <alignment horizontal="center" vertical="center" wrapText="1"/>
    </xf>
    <xf numFmtId="0" fontId="2" fillId="0" borderId="1" xfId="0" applyFont="1" applyBorder="1" applyAlignment="1">
      <alignment horizontal="center" vertical="center"/>
    </xf>
    <xf numFmtId="0" fontId="0" fillId="0" borderId="0" xfId="0"/>
    <xf numFmtId="0" fontId="2" fillId="0" borderId="0" xfId="0" applyFont="1" applyAlignment="1">
      <alignment vertical="center"/>
    </xf>
    <xf numFmtId="0" fontId="2" fillId="0" borderId="0" xfId="0" applyFont="1"/>
    <xf numFmtId="2" fontId="2" fillId="0" borderId="0" xfId="0" applyNumberFormat="1" applyFont="1"/>
    <xf numFmtId="0" fontId="18" fillId="0" borderId="1" xfId="0" applyFont="1" applyBorder="1" applyAlignment="1">
      <alignment horizontal="center" vertical="center" wrapText="1"/>
    </xf>
    <xf numFmtId="0" fontId="2" fillId="0" borderId="1" xfId="0" applyFont="1" applyBorder="1" applyAlignment="1">
      <alignment vertical="center"/>
    </xf>
    <xf numFmtId="14" fontId="14" fillId="0" borderId="1" xfId="0" applyNumberFormat="1" applyFont="1" applyFill="1" applyBorder="1" applyAlignment="1">
      <alignment horizontal="center" vertical="center" wrapText="1"/>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0" fontId="13" fillId="0" borderId="0" xfId="0" applyFont="1"/>
    <xf numFmtId="0" fontId="0" fillId="0" borderId="0" xfId="0"/>
    <xf numFmtId="0" fontId="2" fillId="0" borderId="0" xfId="0" applyFont="1" applyAlignment="1">
      <alignment vertical="center"/>
    </xf>
    <xf numFmtId="2" fontId="1" fillId="3" borderId="3" xfId="0" applyNumberFormat="1" applyFont="1" applyFill="1" applyBorder="1" applyAlignment="1">
      <alignment horizontal="center" vertical="center" wrapText="1"/>
    </xf>
    <xf numFmtId="0" fontId="2" fillId="0" borderId="0" xfId="0" applyFont="1"/>
    <xf numFmtId="2" fontId="2" fillId="0" borderId="0" xfId="0" applyNumberFormat="1" applyFont="1"/>
    <xf numFmtId="0" fontId="17" fillId="0" borderId="29" xfId="0" applyFont="1" applyBorder="1" applyAlignment="1">
      <alignment horizontal="center" vertical="center" wrapText="1" readingOrder="1"/>
    </xf>
    <xf numFmtId="0" fontId="18" fillId="0" borderId="1" xfId="0" applyFont="1" applyBorder="1" applyAlignment="1">
      <alignment horizontal="left" vertical="center" wrapText="1" readingOrder="1"/>
    </xf>
    <xf numFmtId="0" fontId="18" fillId="0" borderId="35" xfId="0" applyFont="1" applyBorder="1" applyAlignment="1">
      <alignment horizontal="center" vertical="center" wrapText="1" readingOrder="1"/>
    </xf>
    <xf numFmtId="0" fontId="18" fillId="0" borderId="35" xfId="0" applyFont="1" applyBorder="1" applyAlignment="1">
      <alignment horizontal="left" vertical="center" wrapText="1" indent="1" readingOrder="1"/>
    </xf>
    <xf numFmtId="0" fontId="18" fillId="0" borderId="35" xfId="0" applyFont="1" applyBorder="1" applyAlignment="1">
      <alignment horizontal="center" wrapText="1" readingOrder="1"/>
    </xf>
    <xf numFmtId="0" fontId="18" fillId="0" borderId="36" xfId="0" applyFont="1" applyBorder="1" applyAlignment="1">
      <alignment horizontal="center" vertical="center" wrapText="1" readingOrder="1"/>
    </xf>
    <xf numFmtId="0" fontId="18" fillId="0" borderId="36" xfId="0" applyFont="1" applyBorder="1" applyAlignment="1">
      <alignment horizontal="center" wrapText="1" readingOrder="1"/>
    </xf>
    <xf numFmtId="0" fontId="18" fillId="0" borderId="37" xfId="0" applyFont="1" applyBorder="1" applyAlignment="1">
      <alignment horizontal="center" wrapText="1" readingOrder="1"/>
    </xf>
    <xf numFmtId="0" fontId="21" fillId="0" borderId="0" xfId="0" applyFont="1" applyAlignment="1">
      <alignment vertical="center"/>
    </xf>
    <xf numFmtId="0" fontId="18" fillId="0" borderId="35" xfId="0" applyFont="1" applyBorder="1" applyAlignment="1">
      <alignment horizontal="left" wrapText="1" readingOrder="1"/>
    </xf>
    <xf numFmtId="16" fontId="18" fillId="0" borderId="35" xfId="0" applyNumberFormat="1" applyFont="1" applyBorder="1" applyAlignment="1">
      <alignment horizontal="center" vertical="center" wrapText="1" readingOrder="1"/>
    </xf>
    <xf numFmtId="0" fontId="18" fillId="0" borderId="36" xfId="0" applyFont="1" applyBorder="1" applyAlignment="1">
      <alignment horizontal="left" vertical="center" wrapText="1" indent="1" readingOrder="1"/>
    </xf>
    <xf numFmtId="0" fontId="22" fillId="0" borderId="37" xfId="0" applyFont="1" applyBorder="1" applyAlignment="1">
      <alignment horizontal="center" vertical="center" wrapText="1"/>
    </xf>
    <xf numFmtId="0" fontId="22" fillId="0" borderId="35" xfId="0" applyFont="1" applyBorder="1" applyAlignment="1">
      <alignment horizontal="center" vertical="center" wrapText="1"/>
    </xf>
    <xf numFmtId="0" fontId="22" fillId="0" borderId="35" xfId="0" applyFont="1" applyBorder="1" applyAlignment="1">
      <alignment vertical="center" wrapText="1"/>
    </xf>
    <xf numFmtId="0" fontId="22" fillId="0" borderId="36" xfId="0" applyFont="1" applyBorder="1" applyAlignment="1">
      <alignment horizontal="center" vertical="center" wrapText="1"/>
    </xf>
    <xf numFmtId="0" fontId="14" fillId="0" borderId="35" xfId="0" applyFont="1" applyBorder="1" applyAlignment="1">
      <alignment vertical="center" wrapText="1"/>
    </xf>
    <xf numFmtId="0" fontId="14" fillId="0" borderId="35" xfId="0" applyFont="1" applyBorder="1" applyAlignment="1">
      <alignment horizontal="center" vertical="center" wrapText="1"/>
    </xf>
    <xf numFmtId="0" fontId="14" fillId="0" borderId="36" xfId="0" applyFont="1" applyBorder="1" applyAlignment="1">
      <alignment horizontal="center" vertical="center" wrapText="1"/>
    </xf>
    <xf numFmtId="0" fontId="2" fillId="0" borderId="1" xfId="0" applyFont="1" applyBorder="1" applyAlignment="1">
      <alignment vertical="center"/>
    </xf>
    <xf numFmtId="0" fontId="13" fillId="0" borderId="1" xfId="0" applyFont="1" applyBorder="1" applyAlignment="1">
      <alignment horizontal="left" vertical="center" wrapText="1"/>
    </xf>
    <xf numFmtId="0" fontId="13" fillId="0" borderId="1" xfId="0" applyFont="1" applyBorder="1" applyAlignment="1">
      <alignment horizontal="center" vertical="center" wrapText="1" readingOrder="1"/>
    </xf>
    <xf numFmtId="0" fontId="24" fillId="2" borderId="13" xfId="0" applyFont="1" applyFill="1" applyBorder="1" applyAlignment="1">
      <alignment horizontal="center" vertical="center" wrapText="1"/>
    </xf>
    <xf numFmtId="2" fontId="24" fillId="2" borderId="3" xfId="0" applyNumberFormat="1" applyFont="1" applyFill="1" applyBorder="1" applyAlignment="1">
      <alignment horizontal="center" vertical="center" wrapText="1"/>
    </xf>
    <xf numFmtId="0" fontId="23" fillId="0" borderId="9" xfId="0" applyFont="1" applyBorder="1" applyAlignment="1">
      <alignment horizontal="left" vertical="center" wrapText="1"/>
    </xf>
    <xf numFmtId="0" fontId="13" fillId="0" borderId="10" xfId="0" applyFont="1" applyBorder="1" applyAlignment="1">
      <alignment horizontal="left" vertical="center" wrapText="1"/>
    </xf>
    <xf numFmtId="2" fontId="2" fillId="0" borderId="11" xfId="0" applyNumberFormat="1" applyFont="1" applyBorder="1"/>
    <xf numFmtId="0" fontId="23" fillId="0" borderId="4" xfId="0" applyFont="1" applyBorder="1" applyAlignment="1">
      <alignment horizontal="left" vertical="center" wrapText="1"/>
    </xf>
    <xf numFmtId="0" fontId="23" fillId="0" borderId="6" xfId="0" applyFont="1" applyBorder="1" applyAlignment="1">
      <alignment horizontal="left" vertical="center" wrapText="1"/>
    </xf>
    <xf numFmtId="0" fontId="1" fillId="3" borderId="22" xfId="0" applyFont="1" applyFill="1" applyBorder="1" applyAlignment="1">
      <alignment vertical="center"/>
    </xf>
    <xf numFmtId="0" fontId="1" fillId="3" borderId="44" xfId="0" applyFont="1" applyFill="1" applyBorder="1" applyAlignment="1">
      <alignment vertical="center"/>
    </xf>
    <xf numFmtId="2" fontId="1" fillId="3" borderId="45" xfId="0" applyNumberFormat="1" applyFont="1" applyFill="1" applyBorder="1" applyAlignment="1">
      <alignment horizontal="center" vertical="center" wrapText="1"/>
    </xf>
    <xf numFmtId="2" fontId="3" fillId="2" borderId="21" xfId="0" applyNumberFormat="1" applyFont="1" applyFill="1" applyBorder="1" applyAlignment="1">
      <alignment horizontal="center" vertical="center"/>
    </xf>
    <xf numFmtId="14" fontId="14" fillId="0" borderId="1" xfId="0" applyNumberFormat="1" applyFont="1" applyFill="1" applyBorder="1" applyAlignment="1">
      <alignment horizontal="center" vertical="center" wrapText="1"/>
    </xf>
    <xf numFmtId="0" fontId="24" fillId="2" borderId="14" xfId="0" applyFont="1" applyFill="1" applyBorder="1" applyAlignment="1">
      <alignment horizontal="center" vertical="center"/>
    </xf>
    <xf numFmtId="0" fontId="24" fillId="2" borderId="49" xfId="0" applyFont="1" applyFill="1" applyBorder="1" applyAlignment="1">
      <alignment horizontal="center" vertical="center"/>
    </xf>
    <xf numFmtId="2" fontId="14" fillId="0" borderId="1" xfId="0" applyNumberFormat="1" applyFont="1" applyFill="1" applyBorder="1" applyAlignment="1">
      <alignment horizontal="center" vertical="center" wrapText="1"/>
    </xf>
    <xf numFmtId="14" fontId="2" fillId="0" borderId="0" xfId="0" applyNumberFormat="1" applyFont="1" applyAlignment="1">
      <alignment vertical="center"/>
    </xf>
    <xf numFmtId="2" fontId="2" fillId="0" borderId="0" xfId="0" applyNumberFormat="1" applyFont="1" applyAlignment="1">
      <alignment horizontal="center" vertical="center"/>
    </xf>
    <xf numFmtId="10" fontId="23" fillId="3" borderId="44" xfId="0" applyNumberFormat="1" applyFont="1" applyFill="1" applyBorder="1" applyAlignment="1">
      <alignment horizontal="center" vertical="center"/>
    </xf>
    <xf numFmtId="0" fontId="13" fillId="0" borderId="0" xfId="0" applyFont="1"/>
    <xf numFmtId="0" fontId="18" fillId="0" borderId="31" xfId="0" applyFont="1" applyBorder="1" applyAlignment="1">
      <alignment horizontal="center" vertical="center" wrapText="1" readingOrder="1"/>
    </xf>
    <xf numFmtId="0" fontId="18" fillId="0" borderId="33" xfId="0" applyFont="1" applyBorder="1" applyAlignment="1">
      <alignment horizontal="center" vertical="center" wrapText="1" readingOrder="1"/>
    </xf>
    <xf numFmtId="0" fontId="18" fillId="0" borderId="30" xfId="0" applyFont="1" applyBorder="1" applyAlignment="1">
      <alignment horizontal="center" wrapText="1" readingOrder="1"/>
    </xf>
    <xf numFmtId="0" fontId="18" fillId="0" borderId="53" xfId="0" applyFont="1" applyBorder="1" applyAlignment="1">
      <alignment horizontal="left" vertical="center" wrapText="1" indent="1"/>
    </xf>
    <xf numFmtId="0" fontId="18" fillId="0" borderId="54" xfId="0" applyFont="1" applyBorder="1" applyAlignment="1">
      <alignment horizontal="left" vertical="center" wrapText="1" indent="1"/>
    </xf>
    <xf numFmtId="0" fontId="22" fillId="0" borderId="1" xfId="0" applyFont="1" applyBorder="1" applyAlignment="1">
      <alignment horizontal="center" wrapText="1" readingOrder="1"/>
    </xf>
    <xf numFmtId="0" fontId="20" fillId="0" borderId="1" xfId="2" applyFont="1" applyBorder="1" applyAlignment="1">
      <alignment horizontal="center" vertical="center" wrapText="1" readingOrder="1"/>
    </xf>
    <xf numFmtId="166" fontId="22" fillId="0" borderId="1" xfId="2" applyNumberFormat="1" applyFont="1" applyBorder="1" applyAlignment="1">
      <alignment horizontal="center" vertical="center" wrapText="1" readingOrder="1"/>
    </xf>
    <xf numFmtId="14" fontId="22" fillId="0" borderId="1" xfId="2" applyNumberFormat="1" applyFont="1" applyBorder="1" applyAlignment="1">
      <alignment horizontal="center" vertical="center" wrapText="1" readingOrder="1"/>
    </xf>
    <xf numFmtId="16" fontId="18" fillId="0" borderId="35" xfId="0" applyNumberFormat="1" applyFont="1" applyBorder="1" applyAlignment="1">
      <alignment horizontal="center" wrapText="1" readingOrder="1"/>
    </xf>
    <xf numFmtId="0" fontId="18" fillId="0" borderId="1" xfId="0" applyFont="1" applyBorder="1" applyAlignment="1">
      <alignment horizontal="center" vertical="center" wrapText="1"/>
    </xf>
    <xf numFmtId="15" fontId="18" fillId="0" borderId="1" xfId="0" applyNumberFormat="1" applyFont="1" applyBorder="1" applyAlignment="1">
      <alignment horizontal="center" vertical="center" wrapText="1"/>
    </xf>
    <xf numFmtId="0" fontId="13" fillId="6"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8" fillId="0" borderId="30" xfId="0" applyFont="1" applyBorder="1" applyAlignment="1">
      <alignment horizontal="center" vertical="center" wrapText="1" readingOrder="1"/>
    </xf>
    <xf numFmtId="0" fontId="16" fillId="0" borderId="29" xfId="0" applyFont="1" applyBorder="1" applyAlignment="1">
      <alignment horizontal="center" vertical="center" wrapText="1" readingOrder="1"/>
    </xf>
    <xf numFmtId="0" fontId="16" fillId="0" borderId="30" xfId="0" applyFont="1" applyBorder="1" applyAlignment="1">
      <alignment horizontal="center" vertical="center" wrapText="1" readingOrder="1"/>
    </xf>
    <xf numFmtId="0" fontId="16" fillId="0" borderId="28" xfId="0" applyFont="1" applyBorder="1" applyAlignment="1">
      <alignment horizontal="center" vertical="center" wrapText="1" readingOrder="1"/>
    </xf>
    <xf numFmtId="0" fontId="18" fillId="0" borderId="34" xfId="0" applyFont="1" applyBorder="1" applyAlignment="1">
      <alignment horizontal="center" wrapText="1" readingOrder="1"/>
    </xf>
    <xf numFmtId="0" fontId="17" fillId="0" borderId="28" xfId="0" applyFont="1" applyBorder="1" applyAlignment="1">
      <alignment horizontal="center" vertical="center" wrapText="1" readingOrder="1"/>
    </xf>
    <xf numFmtId="15" fontId="0" fillId="0" borderId="0" xfId="0" applyNumberFormat="1"/>
    <xf numFmtId="0" fontId="19" fillId="4" borderId="1" xfId="2" applyFill="1" applyBorder="1" applyAlignment="1">
      <alignment horizontal="left" vertical="center"/>
    </xf>
    <xf numFmtId="22" fontId="0" fillId="0" borderId="0" xfId="0" applyNumberFormat="1"/>
    <xf numFmtId="22" fontId="18" fillId="0" borderId="1" xfId="0" applyNumberFormat="1" applyFont="1" applyBorder="1" applyAlignment="1">
      <alignment horizontal="center" vertical="center" wrapText="1"/>
    </xf>
    <xf numFmtId="0" fontId="23" fillId="9" borderId="4" xfId="0" applyFont="1" applyFill="1" applyBorder="1" applyAlignment="1">
      <alignment horizontal="left" vertical="center" wrapText="1"/>
    </xf>
    <xf numFmtId="0" fontId="21" fillId="9" borderId="1" xfId="0" applyFont="1" applyFill="1" applyBorder="1" applyAlignment="1">
      <alignment horizontal="left"/>
    </xf>
    <xf numFmtId="0" fontId="18" fillId="0" borderId="28" xfId="0" applyFont="1" applyBorder="1" applyAlignment="1">
      <alignment horizontal="center" vertical="center" wrapText="1" readingOrder="1"/>
    </xf>
    <xf numFmtId="0" fontId="14" fillId="6" borderId="1" xfId="0" applyFont="1" applyFill="1" applyBorder="1" applyAlignment="1">
      <alignment horizontal="center" vertical="center"/>
    </xf>
    <xf numFmtId="0" fontId="22" fillId="6" borderId="1" xfId="0" applyFont="1" applyFill="1" applyBorder="1" applyAlignment="1">
      <alignment horizontal="left" vertical="center"/>
    </xf>
    <xf numFmtId="0" fontId="21" fillId="6" borderId="1" xfId="0" applyFont="1" applyFill="1" applyBorder="1" applyAlignment="1">
      <alignment horizontal="left" vertical="center"/>
    </xf>
    <xf numFmtId="0" fontId="21" fillId="6" borderId="1" xfId="0" applyFont="1" applyFill="1" applyBorder="1" applyAlignment="1">
      <alignment horizontal="left"/>
    </xf>
    <xf numFmtId="16" fontId="28" fillId="6" borderId="1" xfId="0" applyNumberFormat="1" applyFont="1" applyFill="1" applyBorder="1" applyAlignment="1">
      <alignment horizontal="center"/>
    </xf>
    <xf numFmtId="0" fontId="22" fillId="6" borderId="1" xfId="0" applyFont="1" applyFill="1" applyBorder="1" applyAlignment="1">
      <alignment horizontal="center"/>
    </xf>
    <xf numFmtId="16" fontId="22" fillId="6" borderId="1" xfId="0" applyNumberFormat="1" applyFont="1" applyFill="1" applyBorder="1" applyAlignment="1">
      <alignment horizontal="center"/>
    </xf>
    <xf numFmtId="0" fontId="28" fillId="6" borderId="1" xfId="0" applyFont="1" applyFill="1" applyBorder="1" applyAlignment="1">
      <alignment horizontal="center"/>
    </xf>
    <xf numFmtId="0" fontId="22" fillId="9" borderId="1" xfId="0" applyFont="1" applyFill="1" applyBorder="1" applyAlignment="1">
      <alignment horizontal="center"/>
    </xf>
    <xf numFmtId="0" fontId="28" fillId="6" borderId="1" xfId="0" applyFont="1" applyFill="1" applyBorder="1" applyAlignment="1">
      <alignment horizontal="center" wrapText="1"/>
    </xf>
    <xf numFmtId="0" fontId="22" fillId="6" borderId="1" xfId="0" applyFont="1" applyFill="1" applyBorder="1" applyAlignment="1">
      <alignment horizontal="center" wrapText="1"/>
    </xf>
    <xf numFmtId="0" fontId="36" fillId="6" borderId="1" xfId="0" applyFont="1" applyFill="1" applyBorder="1" applyAlignment="1">
      <alignment horizontal="center" wrapText="1"/>
    </xf>
    <xf numFmtId="0" fontId="14" fillId="3" borderId="1" xfId="0" applyFont="1" applyFill="1" applyBorder="1" applyAlignment="1">
      <alignment horizontal="center" vertical="center"/>
    </xf>
    <xf numFmtId="0" fontId="22" fillId="3" borderId="1" xfId="0" applyFont="1" applyFill="1" applyBorder="1" applyAlignment="1">
      <alignment horizontal="left" vertical="center"/>
    </xf>
    <xf numFmtId="0" fontId="21" fillId="3" borderId="1" xfId="0" applyFont="1" applyFill="1" applyBorder="1" applyAlignment="1">
      <alignment horizontal="left" vertical="center"/>
    </xf>
    <xf numFmtId="0" fontId="22" fillId="3" borderId="1" xfId="0" applyFont="1" applyFill="1" applyBorder="1" applyAlignment="1">
      <alignment horizontal="center"/>
    </xf>
    <xf numFmtId="0" fontId="21" fillId="3" borderId="1" xfId="0" applyFont="1" applyFill="1" applyBorder="1" applyAlignment="1">
      <alignment horizontal="left"/>
    </xf>
    <xf numFmtId="0" fontId="22" fillId="3" borderId="1" xfId="0" applyFont="1" applyFill="1" applyBorder="1" applyAlignment="1">
      <alignment horizontal="center" wrapText="1"/>
    </xf>
    <xf numFmtId="0" fontId="37" fillId="3" borderId="1" xfId="0" applyFont="1" applyFill="1" applyBorder="1" applyAlignment="1">
      <alignment horizontal="center"/>
    </xf>
    <xf numFmtId="16" fontId="35" fillId="9" borderId="1" xfId="0" applyNumberFormat="1" applyFont="1" applyFill="1" applyBorder="1" applyAlignment="1">
      <alignment horizontal="center"/>
    </xf>
    <xf numFmtId="16" fontId="35" fillId="3" borderId="1" xfId="0" applyNumberFormat="1" applyFont="1" applyFill="1" applyBorder="1" applyAlignment="1">
      <alignment horizontal="center"/>
    </xf>
    <xf numFmtId="0" fontId="14" fillId="13" borderId="1" xfId="0" applyFont="1" applyFill="1" applyBorder="1" applyAlignment="1">
      <alignment horizontal="center" vertical="center"/>
    </xf>
    <xf numFmtId="0" fontId="22" fillId="13" borderId="1" xfId="0" applyFont="1" applyFill="1" applyBorder="1" applyAlignment="1">
      <alignment horizontal="left" vertical="center"/>
    </xf>
    <xf numFmtId="0" fontId="21" fillId="13" borderId="1" xfId="0" applyFont="1" applyFill="1" applyBorder="1" applyAlignment="1">
      <alignment horizontal="left"/>
    </xf>
    <xf numFmtId="0" fontId="21" fillId="13" borderId="1" xfId="0" applyFont="1" applyFill="1" applyBorder="1" applyAlignment="1">
      <alignment horizontal="left" vertical="center"/>
    </xf>
    <xf numFmtId="0" fontId="21" fillId="9" borderId="1" xfId="0" applyFont="1" applyFill="1" applyBorder="1" applyAlignment="1">
      <alignment horizontal="left" vertical="center"/>
    </xf>
    <xf numFmtId="0" fontId="22" fillId="13" borderId="1" xfId="0" applyFont="1" applyFill="1" applyBorder="1" applyAlignment="1">
      <alignment horizontal="center"/>
    </xf>
    <xf numFmtId="0" fontId="36" fillId="13" borderId="1" xfId="0" applyFont="1" applyFill="1" applyBorder="1" applyAlignment="1">
      <alignment horizontal="center" wrapText="1"/>
    </xf>
    <xf numFmtId="0" fontId="22" fillId="13" borderId="1" xfId="0" applyFont="1" applyFill="1" applyBorder="1" applyAlignment="1">
      <alignment horizontal="center" wrapText="1"/>
    </xf>
    <xf numFmtId="16" fontId="22" fillId="13" borderId="1" xfId="0" applyNumberFormat="1" applyFont="1" applyFill="1" applyBorder="1" applyAlignment="1">
      <alignment horizontal="center"/>
    </xf>
    <xf numFmtId="0" fontId="14" fillId="14" borderId="1" xfId="0" applyFont="1" applyFill="1" applyBorder="1" applyAlignment="1">
      <alignment horizontal="center" vertical="center"/>
    </xf>
    <xf numFmtId="0" fontId="22" fillId="14" borderId="1" xfId="0" applyFont="1" applyFill="1" applyBorder="1" applyAlignment="1">
      <alignment horizontal="left" vertical="center"/>
    </xf>
    <xf numFmtId="0" fontId="37" fillId="14" borderId="1" xfId="0" applyFont="1" applyFill="1" applyBorder="1" applyAlignment="1">
      <alignment horizontal="center"/>
    </xf>
    <xf numFmtId="0" fontId="13" fillId="15" borderId="1" xfId="0" applyFont="1" applyFill="1" applyBorder="1" applyAlignment="1">
      <alignment horizontal="center" vertical="center"/>
    </xf>
    <xf numFmtId="0" fontId="18" fillId="15" borderId="1" xfId="0" applyFont="1" applyFill="1" applyBorder="1" applyAlignment="1">
      <alignment horizontal="left" vertical="center"/>
    </xf>
    <xf numFmtId="0" fontId="21" fillId="15" borderId="1" xfId="0" applyFont="1" applyFill="1" applyBorder="1" applyAlignment="1">
      <alignment horizontal="left" vertical="center"/>
    </xf>
    <xf numFmtId="0" fontId="18" fillId="0" borderId="0" xfId="0" applyFont="1" applyBorder="1" applyAlignment="1">
      <alignment horizontal="left" vertical="center" wrapText="1" readingOrder="1"/>
    </xf>
    <xf numFmtId="0" fontId="13" fillId="4" borderId="1" xfId="0" applyFont="1" applyFill="1" applyBorder="1" applyAlignment="1">
      <alignment horizontal="center" vertical="center" wrapText="1"/>
    </xf>
    <xf numFmtId="0" fontId="13" fillId="13" borderId="1" xfId="0" applyFont="1" applyFill="1" applyBorder="1" applyAlignment="1">
      <alignment horizontal="center" vertical="center" wrapText="1"/>
    </xf>
    <xf numFmtId="0" fontId="16" fillId="0" borderId="1" xfId="0" applyFont="1" applyBorder="1" applyAlignment="1">
      <alignment horizontal="center" vertical="center"/>
    </xf>
    <xf numFmtId="0" fontId="16" fillId="0" borderId="1" xfId="0" applyFont="1" applyBorder="1" applyAlignment="1">
      <alignment horizontal="center" vertical="center"/>
    </xf>
    <xf numFmtId="0" fontId="15" fillId="7" borderId="1" xfId="0" applyFont="1" applyFill="1" applyBorder="1" applyAlignment="1"/>
    <xf numFmtId="0" fontId="0" fillId="0" borderId="1" xfId="0" applyBorder="1" applyAlignment="1"/>
    <xf numFmtId="0" fontId="16" fillId="8" borderId="1" xfId="0" applyFont="1" applyFill="1" applyBorder="1" applyAlignment="1">
      <alignment horizontal="center" vertical="center" wrapText="1"/>
    </xf>
    <xf numFmtId="0" fontId="17" fillId="0" borderId="1" xfId="0" applyFont="1" applyBorder="1" applyAlignment="1">
      <alignment horizontal="center" vertical="center"/>
    </xf>
    <xf numFmtId="0" fontId="16" fillId="8" borderId="1" xfId="0" applyFont="1" applyFill="1" applyBorder="1" applyAlignment="1">
      <alignment horizontal="center" vertical="center"/>
    </xf>
    <xf numFmtId="0" fontId="20" fillId="0" borderId="1" xfId="2" applyFont="1" applyBorder="1" applyAlignment="1">
      <alignment horizontal="center" vertical="center"/>
    </xf>
    <xf numFmtId="0" fontId="18" fillId="0" borderId="1" xfId="0" applyFont="1" applyBorder="1" applyAlignment="1">
      <alignment horizontal="center"/>
    </xf>
    <xf numFmtId="0" fontId="0" fillId="0" borderId="1" xfId="0" applyBorder="1" applyAlignment="1">
      <alignment wrapText="1"/>
    </xf>
    <xf numFmtId="0" fontId="20" fillId="0" borderId="1" xfId="2" applyFont="1" applyBorder="1" applyAlignment="1">
      <alignment horizontal="center"/>
    </xf>
    <xf numFmtId="0" fontId="22" fillId="0" borderId="1" xfId="0" applyFont="1" applyBorder="1" applyAlignment="1">
      <alignment horizontal="center" vertical="center"/>
    </xf>
    <xf numFmtId="0" fontId="14" fillId="0" borderId="1" xfId="0" applyFont="1" applyBorder="1" applyAlignment="1">
      <alignment vertical="center"/>
    </xf>
    <xf numFmtId="0" fontId="2" fillId="0" borderId="1" xfId="0" applyFont="1" applyBorder="1" applyAlignment="1">
      <alignment horizontal="left" vertical="center"/>
    </xf>
    <xf numFmtId="22" fontId="18" fillId="0" borderId="1" xfId="0" applyNumberFormat="1" applyFont="1" applyBorder="1" applyAlignment="1">
      <alignment horizontal="center" vertical="center"/>
    </xf>
    <xf numFmtId="14" fontId="18" fillId="0" borderId="1" xfId="0" applyNumberFormat="1" applyFont="1" applyBorder="1" applyAlignment="1">
      <alignment horizontal="center" vertical="center"/>
    </xf>
    <xf numFmtId="14" fontId="0" fillId="0" borderId="1" xfId="0" applyNumberFormat="1" applyBorder="1" applyAlignment="1"/>
    <xf numFmtId="0" fontId="2" fillId="0" borderId="1" xfId="0" applyFont="1" applyFill="1" applyBorder="1" applyAlignment="1">
      <alignment horizontal="center"/>
    </xf>
    <xf numFmtId="0" fontId="30" fillId="0" borderId="1" xfId="2" applyFont="1" applyFill="1" applyBorder="1" applyAlignment="1">
      <alignment horizontal="center"/>
    </xf>
    <xf numFmtId="0" fontId="25" fillId="0" borderId="1" xfId="1" applyFont="1" applyFill="1" applyBorder="1" applyAlignment="1">
      <alignment horizontal="center" vertical="center"/>
    </xf>
    <xf numFmtId="2" fontId="25" fillId="0" borderId="1" xfId="1" applyNumberFormat="1" applyFont="1" applyFill="1" applyBorder="1" applyAlignment="1">
      <alignment horizontal="center" vertical="center"/>
    </xf>
    <xf numFmtId="1" fontId="25" fillId="0" borderId="1" xfId="0" applyNumberFormat="1" applyFont="1" applyFill="1" applyBorder="1" applyAlignment="1">
      <alignment horizontal="center"/>
    </xf>
    <xf numFmtId="2" fontId="25" fillId="0" borderId="1" xfId="0" applyNumberFormat="1" applyFont="1" applyFill="1" applyBorder="1" applyAlignment="1">
      <alignment horizontal="center"/>
    </xf>
    <xf numFmtId="10" fontId="25" fillId="0" borderId="1" xfId="0" applyNumberFormat="1" applyFont="1" applyFill="1" applyBorder="1" applyAlignment="1">
      <alignment horizontal="center"/>
    </xf>
    <xf numFmtId="0" fontId="2" fillId="0" borderId="0" xfId="0" applyFont="1" applyFill="1"/>
    <xf numFmtId="0" fontId="14" fillId="0" borderId="1" xfId="0" applyFont="1" applyFill="1" applyBorder="1" applyAlignment="1">
      <alignment horizontal="center"/>
    </xf>
    <xf numFmtId="0" fontId="2" fillId="0" borderId="2" xfId="0" applyFont="1" applyBorder="1" applyAlignment="1">
      <alignment horizontal="center"/>
    </xf>
    <xf numFmtId="164" fontId="14" fillId="0" borderId="56" xfId="0" applyNumberFormat="1" applyFont="1" applyFill="1" applyBorder="1" applyAlignment="1">
      <alignment horizontal="center" vertical="center" wrapText="1"/>
    </xf>
    <xf numFmtId="0" fontId="14" fillId="4" borderId="2" xfId="1" applyFont="1" applyFill="1" applyBorder="1" applyAlignment="1">
      <alignment horizontal="center" vertical="center"/>
    </xf>
    <xf numFmtId="164" fontId="19" fillId="0" borderId="1" xfId="2" applyNumberFormat="1" applyFill="1" applyBorder="1" applyAlignment="1">
      <alignment horizontal="center" vertical="center" wrapText="1"/>
    </xf>
    <xf numFmtId="0" fontId="16" fillId="8" borderId="1" xfId="0" applyFont="1" applyFill="1" applyBorder="1" applyAlignment="1">
      <alignment horizontal="center" vertical="center"/>
    </xf>
    <xf numFmtId="0" fontId="16" fillId="0" borderId="1" xfId="0" applyFont="1" applyBorder="1" applyAlignment="1">
      <alignment horizontal="center" vertical="center"/>
    </xf>
    <xf numFmtId="0" fontId="2" fillId="6" borderId="1" xfId="0" applyFont="1" applyFill="1" applyBorder="1" applyAlignment="1">
      <alignment horizontal="center"/>
    </xf>
    <xf numFmtId="0" fontId="0" fillId="0" borderId="1" xfId="0" applyBorder="1" applyAlignment="1">
      <alignment horizontal="center" wrapText="1"/>
    </xf>
    <xf numFmtId="2" fontId="3" fillId="5" borderId="42" xfId="0" applyNumberFormat="1" applyFont="1" applyFill="1" applyBorder="1" applyAlignment="1">
      <alignment horizontal="left" vertical="center"/>
    </xf>
    <xf numFmtId="2" fontId="3" fillId="5" borderId="50" xfId="0" applyNumberFormat="1" applyFont="1" applyFill="1" applyBorder="1" applyAlignment="1">
      <alignment horizontal="left" vertical="center"/>
    </xf>
    <xf numFmtId="0" fontId="3" fillId="5" borderId="42" xfId="0" applyFont="1" applyFill="1" applyBorder="1" applyAlignment="1">
      <alignment horizontal="center" vertical="center"/>
    </xf>
    <xf numFmtId="0" fontId="3" fillId="5" borderId="50" xfId="0" applyFont="1" applyFill="1" applyBorder="1" applyAlignment="1">
      <alignment horizontal="center" vertical="center"/>
    </xf>
    <xf numFmtId="2" fontId="3" fillId="5" borderId="42" xfId="0" applyNumberFormat="1" applyFont="1" applyFill="1" applyBorder="1" applyAlignment="1">
      <alignment horizontal="center" vertical="center"/>
    </xf>
    <xf numFmtId="2" fontId="3" fillId="5" borderId="50" xfId="0" applyNumberFormat="1" applyFont="1" applyFill="1" applyBorder="1" applyAlignment="1">
      <alignment horizontal="center" vertical="center"/>
    </xf>
    <xf numFmtId="0" fontId="16" fillId="0" borderId="1" xfId="0" applyFont="1" applyBorder="1" applyAlignment="1">
      <alignment horizontal="center" vertical="center"/>
    </xf>
    <xf numFmtId="0" fontId="16" fillId="8" borderId="1" xfId="0" applyFont="1" applyFill="1" applyBorder="1" applyAlignment="1">
      <alignment horizontal="center" vertical="center"/>
    </xf>
    <xf numFmtId="0" fontId="23" fillId="0" borderId="1" xfId="0" applyFont="1" applyBorder="1" applyAlignment="1">
      <alignment horizontal="center" vertical="center"/>
    </xf>
    <xf numFmtId="0" fontId="16" fillId="0" borderId="1" xfId="0" applyFont="1" applyBorder="1" applyAlignment="1">
      <alignment horizontal="left" vertical="center"/>
    </xf>
    <xf numFmtId="0" fontId="6" fillId="2" borderId="15" xfId="0" applyFont="1" applyFill="1" applyBorder="1" applyAlignment="1">
      <alignment horizontal="center" vertical="center"/>
    </xf>
    <xf numFmtId="0" fontId="6" fillId="2" borderId="16"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20" xfId="0" applyFont="1" applyFill="1" applyBorder="1" applyAlignment="1">
      <alignment horizontal="center" vertical="center"/>
    </xf>
    <xf numFmtId="0" fontId="6" fillId="2" borderId="21" xfId="0" applyFont="1" applyFill="1" applyBorder="1" applyAlignment="1">
      <alignment horizontal="center" vertical="center"/>
    </xf>
    <xf numFmtId="0" fontId="4" fillId="2" borderId="22"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0" xfId="0" applyFont="1" applyFill="1" applyAlignment="1">
      <alignment horizontal="center" vertical="center"/>
    </xf>
    <xf numFmtId="0" fontId="1" fillId="0" borderId="1" xfId="0" applyFont="1" applyBorder="1" applyAlignment="1">
      <alignment horizontal="center" vertical="center" textRotation="180" wrapText="1"/>
    </xf>
    <xf numFmtId="0" fontId="3" fillId="2" borderId="0" xfId="0" applyFont="1" applyFill="1" applyAlignment="1">
      <alignment horizontal="center" vertical="center"/>
    </xf>
    <xf numFmtId="0" fontId="3" fillId="2" borderId="2"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41" xfId="0" applyFont="1" applyFill="1" applyBorder="1" applyAlignment="1">
      <alignment horizontal="center" vertical="center"/>
    </xf>
    <xf numFmtId="0" fontId="3" fillId="2" borderId="43" xfId="0" applyFont="1" applyFill="1" applyBorder="1" applyAlignment="1">
      <alignment horizontal="center" vertical="center"/>
    </xf>
    <xf numFmtId="0" fontId="3" fillId="2" borderId="47" xfId="0" applyFont="1" applyFill="1" applyBorder="1" applyAlignment="1">
      <alignment horizontal="center" vertical="center"/>
    </xf>
    <xf numFmtId="0" fontId="3" fillId="2" borderId="48" xfId="0" applyFont="1" applyFill="1" applyBorder="1" applyAlignment="1">
      <alignment horizontal="center" vertical="center"/>
    </xf>
    <xf numFmtId="0" fontId="3" fillId="2" borderId="41" xfId="0" applyFont="1" applyFill="1" applyBorder="1" applyAlignment="1">
      <alignment horizontal="center" vertical="center" wrapText="1"/>
    </xf>
    <xf numFmtId="0" fontId="3" fillId="2" borderId="43" xfId="0" applyFont="1" applyFill="1" applyBorder="1" applyAlignment="1">
      <alignment horizontal="center" vertical="center" wrapText="1"/>
    </xf>
    <xf numFmtId="0" fontId="3" fillId="2" borderId="47" xfId="0" applyFont="1" applyFill="1" applyBorder="1" applyAlignment="1">
      <alignment horizontal="center" vertical="center" wrapText="1"/>
    </xf>
    <xf numFmtId="0" fontId="3" fillId="2" borderId="48" xfId="0" applyFont="1" applyFill="1" applyBorder="1" applyAlignment="1">
      <alignment horizontal="center" vertical="center" wrapText="1"/>
    </xf>
    <xf numFmtId="0" fontId="11" fillId="0" borderId="0" xfId="0" applyFont="1" applyAlignment="1">
      <alignment horizontal="left" vertical="center" wrapText="1"/>
    </xf>
    <xf numFmtId="0" fontId="16" fillId="0" borderId="1" xfId="0" applyFont="1" applyBorder="1" applyAlignment="1">
      <alignment horizontal="center" vertical="center" wrapText="1" readingOrder="1"/>
    </xf>
    <xf numFmtId="0" fontId="15" fillId="7" borderId="40" xfId="0" applyFont="1" applyFill="1" applyBorder="1" applyAlignment="1">
      <alignment horizontal="center"/>
    </xf>
    <xf numFmtId="0" fontId="15" fillId="7" borderId="0" xfId="0" applyFont="1" applyFill="1" applyBorder="1" applyAlignment="1">
      <alignment horizontal="center"/>
    </xf>
    <xf numFmtId="0" fontId="1" fillId="3" borderId="12" xfId="0" applyFont="1" applyFill="1" applyBorder="1" applyAlignment="1">
      <alignment horizontal="center" vertical="center"/>
    </xf>
    <xf numFmtId="0" fontId="1" fillId="3" borderId="13" xfId="0" applyFont="1" applyFill="1" applyBorder="1" applyAlignment="1">
      <alignment horizontal="center" vertical="center"/>
    </xf>
    <xf numFmtId="0" fontId="23" fillId="3" borderId="49" xfId="0" applyFont="1" applyFill="1" applyBorder="1" applyAlignment="1">
      <alignment horizontal="center" vertical="center"/>
    </xf>
    <xf numFmtId="0" fontId="3" fillId="2" borderId="23" xfId="0" applyFont="1" applyFill="1" applyBorder="1" applyAlignment="1">
      <alignment horizontal="center" vertical="center"/>
    </xf>
    <xf numFmtId="0" fontId="3" fillId="2" borderId="24" xfId="0" applyFont="1" applyFill="1" applyBorder="1" applyAlignment="1">
      <alignment horizontal="center" vertical="center"/>
    </xf>
    <xf numFmtId="0" fontId="23" fillId="2" borderId="24" xfId="0" applyFont="1" applyFill="1" applyBorder="1" applyAlignment="1">
      <alignment horizontal="center" vertical="center"/>
    </xf>
    <xf numFmtId="0" fontId="23" fillId="2" borderId="46" xfId="0" applyFont="1" applyFill="1" applyBorder="1" applyAlignment="1">
      <alignment horizontal="center" vertical="center"/>
    </xf>
    <xf numFmtId="0" fontId="23" fillId="0" borderId="39" xfId="0" applyFont="1" applyBorder="1" applyAlignment="1">
      <alignment horizontal="center" vertical="center" wrapText="1" readingOrder="1"/>
    </xf>
    <xf numFmtId="0" fontId="23" fillId="0" borderId="28" xfId="0" applyFont="1" applyBorder="1" applyAlignment="1">
      <alignment horizontal="center" vertical="center" wrapText="1" readingOrder="1"/>
    </xf>
    <xf numFmtId="0" fontId="16" fillId="0" borderId="30" xfId="0" applyFont="1" applyBorder="1" applyAlignment="1">
      <alignment horizontal="left" vertical="center" wrapText="1" readingOrder="1"/>
    </xf>
    <xf numFmtId="0" fontId="16" fillId="0" borderId="29" xfId="0" applyFont="1" applyBorder="1" applyAlignment="1">
      <alignment horizontal="left" vertical="center" wrapText="1" readingOrder="1"/>
    </xf>
    <xf numFmtId="0" fontId="16" fillId="12" borderId="55" xfId="0" applyFont="1" applyFill="1" applyBorder="1" applyAlignment="1">
      <alignment horizontal="center" vertical="center" wrapText="1" readingOrder="1"/>
    </xf>
    <xf numFmtId="0" fontId="16" fillId="12" borderId="51" xfId="0" applyFont="1" applyFill="1" applyBorder="1" applyAlignment="1">
      <alignment horizontal="center" vertical="center" wrapText="1" readingOrder="1"/>
    </xf>
    <xf numFmtId="0" fontId="9" fillId="2" borderId="18"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16" fillId="0" borderId="28" xfId="0" applyFont="1" applyBorder="1" applyAlignment="1">
      <alignment horizontal="left" vertical="center" wrapText="1" readingOrder="1"/>
    </xf>
    <xf numFmtId="0" fontId="38" fillId="0" borderId="1" xfId="0" applyFont="1" applyBorder="1" applyAlignment="1">
      <alignment vertical="center"/>
    </xf>
    <xf numFmtId="0" fontId="39" fillId="0" borderId="1" xfId="0" applyFont="1" applyBorder="1" applyAlignment="1">
      <alignment horizontal="center" vertical="center"/>
    </xf>
    <xf numFmtId="0" fontId="40" fillId="0" borderId="1" xfId="0" applyFont="1" applyBorder="1" applyAlignment="1">
      <alignment horizontal="center" vertical="center"/>
    </xf>
    <xf numFmtId="0" fontId="18" fillId="0" borderId="1" xfId="0" applyFont="1" applyBorder="1" applyAlignment="1">
      <alignment vertical="center"/>
    </xf>
  </cellXfs>
  <cellStyles count="5">
    <cellStyle name="Hyperlink" xfId="2" builtinId="8"/>
    <cellStyle name="Normal" xfId="0" builtinId="0"/>
    <cellStyle name="Normal 2" xfId="3"/>
    <cellStyle name="Normal 4 2" xfId="1"/>
    <cellStyle name="Percent" xfId="4" builtinId="5"/>
  </cellStyles>
  <dxfs count="46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ill>
        <patternFill>
          <bgColor theme="7" tint="0.7999816888943144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alignment horizontal="center" readingOrder="0"/>
    </dxf>
    <dxf>
      <numFmt numFmtId="165" formatCode="0.0%"/>
    </dxf>
    <dxf>
      <numFmt numFmtId="165" formatCode="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9.emf"/><Relationship Id="rId11" Type="http://schemas.openxmlformats.org/officeDocument/2006/relationships/image" Target="../media/image2.emf"/><Relationship Id="rId5" Type="http://schemas.openxmlformats.org/officeDocument/2006/relationships/image" Target="../media/image8.emf"/><Relationship Id="rId10" Type="http://schemas.openxmlformats.org/officeDocument/2006/relationships/image" Target="../media/image3.emf"/><Relationship Id="rId4" Type="http://schemas.openxmlformats.org/officeDocument/2006/relationships/image" Target="../media/image4.emf"/><Relationship Id="rId9" Type="http://schemas.openxmlformats.org/officeDocument/2006/relationships/image" Target="../media/image1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6.emf"/><Relationship Id="rId1" Type="http://schemas.openxmlformats.org/officeDocument/2006/relationships/image" Target="../media/image17.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4</xdr:col>
      <xdr:colOff>220980</xdr:colOff>
      <xdr:row>1</xdr:row>
      <xdr:rowOff>15240</xdr:rowOff>
    </xdr:from>
    <xdr:to>
      <xdr:col>5</xdr:col>
      <xdr:colOff>548640</xdr:colOff>
      <xdr:row>2</xdr:row>
      <xdr:rowOff>91440</xdr:rowOff>
    </xdr:to>
    <xdr:sp macro="[0]!Rectangle3_Click" textlink="">
      <xdr:nvSpPr>
        <xdr:cNvPr id="4" name="Rectangle 3"/>
        <xdr:cNvSpPr/>
      </xdr:nvSpPr>
      <xdr:spPr>
        <a:xfrm>
          <a:off x="3116580" y="198120"/>
          <a:ext cx="937260" cy="2590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Chia nhỏ</a:t>
          </a:r>
          <a:r>
            <a:rPr lang="en-US" sz="1100" baseline="0"/>
            <a:t> file</a:t>
          </a:r>
          <a:endParaRPr lang="en-US" sz="1100"/>
        </a:p>
      </xdr:txBody>
    </xdr:sp>
    <xdr:clientData/>
  </xdr:twoCellAnchor>
  <xdr:twoCellAnchor>
    <xdr:from>
      <xdr:col>4</xdr:col>
      <xdr:colOff>213360</xdr:colOff>
      <xdr:row>4</xdr:row>
      <xdr:rowOff>38100</xdr:rowOff>
    </xdr:from>
    <xdr:to>
      <xdr:col>7</xdr:col>
      <xdr:colOff>0</xdr:colOff>
      <xdr:row>7</xdr:row>
      <xdr:rowOff>30480</xdr:rowOff>
    </xdr:to>
    <xdr:sp macro="" textlink="">
      <xdr:nvSpPr>
        <xdr:cNvPr id="5" name="Oval 4"/>
        <xdr:cNvSpPr/>
      </xdr:nvSpPr>
      <xdr:spPr>
        <a:xfrm>
          <a:off x="3108960" y="769620"/>
          <a:ext cx="1615440" cy="5410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Tu dong gui mail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198120</xdr:colOff>
          <xdr:row>88</xdr:row>
          <xdr:rowOff>152400</xdr:rowOff>
        </xdr:from>
        <xdr:to>
          <xdr:col>9</xdr:col>
          <xdr:colOff>792480</xdr:colOff>
          <xdr:row>91</xdr:row>
          <xdr:rowOff>38100</xdr:rowOff>
        </xdr:to>
        <xdr:sp macro="" textlink="">
          <xdr:nvSpPr>
            <xdr:cNvPr id="28687" name="CommandButton1" hidden="1">
              <a:extLst>
                <a:ext uri="{63B3BB69-23CF-44E3-9099-C40C66FF867C}">
                  <a14:compatExt spid="_x0000_s28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152400</xdr:rowOff>
        </xdr:from>
        <xdr:to>
          <xdr:col>8</xdr:col>
          <xdr:colOff>91440</xdr:colOff>
          <xdr:row>91</xdr:row>
          <xdr:rowOff>38100</xdr:rowOff>
        </xdr:to>
        <xdr:sp macro="" textlink="">
          <xdr:nvSpPr>
            <xdr:cNvPr id="28688" name="Member_CBL_folder" hidden="1">
              <a:extLst>
                <a:ext uri="{63B3BB69-23CF-44E3-9099-C40C66FF867C}">
                  <a14:compatExt spid="_x0000_s28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563880</xdr:colOff>
          <xdr:row>91</xdr:row>
          <xdr:rowOff>137160</xdr:rowOff>
        </xdr:from>
        <xdr:to>
          <xdr:col>5</xdr:col>
          <xdr:colOff>1135380</xdr:colOff>
          <xdr:row>94</xdr:row>
          <xdr:rowOff>7620</xdr:rowOff>
        </xdr:to>
        <xdr:sp macro="" textlink="">
          <xdr:nvSpPr>
            <xdr:cNvPr id="28689" name="CommandButton2" hidden="1">
              <a:extLst>
                <a:ext uri="{63B3BB69-23CF-44E3-9099-C40C66FF867C}">
                  <a14:compatExt spid="_x0000_s28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121920</xdr:colOff>
          <xdr:row>91</xdr:row>
          <xdr:rowOff>99060</xdr:rowOff>
        </xdr:from>
        <xdr:to>
          <xdr:col>7</xdr:col>
          <xdr:colOff>1203960</xdr:colOff>
          <xdr:row>93</xdr:row>
          <xdr:rowOff>144780</xdr:rowOff>
        </xdr:to>
        <xdr:sp macro="" textlink="">
          <xdr:nvSpPr>
            <xdr:cNvPr id="28690" name="CommandButton3" hidden="1">
              <a:extLst>
                <a:ext uri="{63B3BB69-23CF-44E3-9099-C40C66FF867C}">
                  <a14:compatExt spid="_x0000_s28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152400</xdr:rowOff>
        </xdr:from>
        <xdr:to>
          <xdr:col>8</xdr:col>
          <xdr:colOff>99060</xdr:colOff>
          <xdr:row>88</xdr:row>
          <xdr:rowOff>38100</xdr:rowOff>
        </xdr:to>
        <xdr:sp macro="" textlink="">
          <xdr:nvSpPr>
            <xdr:cNvPr id="28691" name="Mail_List_n_Attachments" hidden="1">
              <a:extLst>
                <a:ext uri="{63B3BB69-23CF-44E3-9099-C40C66FF867C}">
                  <a14:compatExt spid="_x0000_s28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85</xdr:row>
          <xdr:rowOff>144780</xdr:rowOff>
        </xdr:from>
        <xdr:to>
          <xdr:col>9</xdr:col>
          <xdr:colOff>800100</xdr:colOff>
          <xdr:row>88</xdr:row>
          <xdr:rowOff>15240</xdr:rowOff>
        </xdr:to>
        <xdr:sp macro="" textlink="">
          <xdr:nvSpPr>
            <xdr:cNvPr id="28692" name="CommandButton4" hidden="1">
              <a:extLst>
                <a:ext uri="{63B3BB69-23CF-44E3-9099-C40C66FF867C}">
                  <a14:compatExt spid="_x0000_s28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95</xdr:row>
          <xdr:rowOff>99060</xdr:rowOff>
        </xdr:from>
        <xdr:to>
          <xdr:col>11</xdr:col>
          <xdr:colOff>182880</xdr:colOff>
          <xdr:row>97</xdr:row>
          <xdr:rowOff>144780</xdr:rowOff>
        </xdr:to>
        <xdr:sp macro="" textlink="">
          <xdr:nvSpPr>
            <xdr:cNvPr id="28693" name="CommandButton5" hidden="1">
              <a:extLst>
                <a:ext uri="{63B3BB69-23CF-44E3-9099-C40C66FF867C}">
                  <a14:compatExt spid="_x0000_s28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182880</xdr:colOff>
          <xdr:row>95</xdr:row>
          <xdr:rowOff>106680</xdr:rowOff>
        </xdr:from>
        <xdr:to>
          <xdr:col>9</xdr:col>
          <xdr:colOff>731520</xdr:colOff>
          <xdr:row>97</xdr:row>
          <xdr:rowOff>152400</xdr:rowOff>
        </xdr:to>
        <xdr:sp macro="" textlink="">
          <xdr:nvSpPr>
            <xdr:cNvPr id="28694" name="CommandButton6" hidden="1">
              <a:extLst>
                <a:ext uri="{63B3BB69-23CF-44E3-9099-C40C66FF867C}">
                  <a14:compatExt spid="_x0000_s28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830580</xdr:colOff>
          <xdr:row>95</xdr:row>
          <xdr:rowOff>106680</xdr:rowOff>
        </xdr:from>
        <xdr:to>
          <xdr:col>8</xdr:col>
          <xdr:colOff>83820</xdr:colOff>
          <xdr:row>98</xdr:row>
          <xdr:rowOff>0</xdr:rowOff>
        </xdr:to>
        <xdr:sp macro="" textlink="">
          <xdr:nvSpPr>
            <xdr:cNvPr id="28695" name="Result_Folder" hidden="1">
              <a:extLst>
                <a:ext uri="{63B3BB69-23CF-44E3-9099-C40C66FF867C}">
                  <a14:compatExt spid="_x0000_s28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274320</xdr:colOff>
          <xdr:row>86</xdr:row>
          <xdr:rowOff>22860</xdr:rowOff>
        </xdr:from>
        <xdr:to>
          <xdr:col>4</xdr:col>
          <xdr:colOff>7620</xdr:colOff>
          <xdr:row>88</xdr:row>
          <xdr:rowOff>30480</xdr:rowOff>
        </xdr:to>
        <xdr:sp macro="" textlink="">
          <xdr:nvSpPr>
            <xdr:cNvPr id="28704" name="Label 32" hidden="1">
              <a:extLst>
                <a:ext uri="{63B3BB69-23CF-44E3-9099-C40C66FF867C}">
                  <a14:compatExt spid="_x0000_s287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File path of Member email, attachment, CBL score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83820</xdr:colOff>
          <xdr:row>88</xdr:row>
          <xdr:rowOff>175260</xdr:rowOff>
        </xdr:from>
        <xdr:to>
          <xdr:col>3</xdr:col>
          <xdr:colOff>807720</xdr:colOff>
          <xdr:row>91</xdr:row>
          <xdr:rowOff>22860</xdr:rowOff>
        </xdr:to>
        <xdr:sp macro="" textlink="">
          <xdr:nvSpPr>
            <xdr:cNvPr id="28705" name="Label 33" hidden="1">
              <a:extLst>
                <a:ext uri="{63B3BB69-23CF-44E3-9099-C40C66FF867C}">
                  <a14:compatExt spid="_x0000_s28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CBL file of member. Send email to member from files in this folder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95</xdr:row>
          <xdr:rowOff>45720</xdr:rowOff>
        </xdr:from>
        <xdr:to>
          <xdr:col>3</xdr:col>
          <xdr:colOff>822960</xdr:colOff>
          <xdr:row>98</xdr:row>
          <xdr:rowOff>68580</xdr:rowOff>
        </xdr:to>
        <xdr:sp macro="" textlink="">
          <xdr:nvSpPr>
            <xdr:cNvPr id="28707" name="Label 35" hidden="1">
              <a:extLst>
                <a:ext uri="{63B3BB69-23CF-44E3-9099-C40C66FF867C}">
                  <a14:compatExt spid="_x0000_s28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800" b="0" i="0" u="none" strike="noStrike" baseline="0">
                  <a:solidFill>
                    <a:srgbClr val="000000"/>
                  </a:solidFill>
                  <a:latin typeface="Segoe UI"/>
                  <a:cs typeface="Segoe UI"/>
                </a:rPr>
                <a:t>Folder contains test result of course, need to follow standard format exported from Online Exam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822960</xdr:colOff>
          <xdr:row>99</xdr:row>
          <xdr:rowOff>144780</xdr:rowOff>
        </xdr:from>
        <xdr:to>
          <xdr:col>8</xdr:col>
          <xdr:colOff>76200</xdr:colOff>
          <xdr:row>102</xdr:row>
          <xdr:rowOff>38100</xdr:rowOff>
        </xdr:to>
        <xdr:sp macro="" textlink="">
          <xdr:nvSpPr>
            <xdr:cNvPr id="28708" name="CBL_member_folder"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190500</xdr:colOff>
          <xdr:row>100</xdr:row>
          <xdr:rowOff>0</xdr:rowOff>
        </xdr:from>
        <xdr:to>
          <xdr:col>9</xdr:col>
          <xdr:colOff>739140</xdr:colOff>
          <xdr:row>102</xdr:row>
          <xdr:rowOff>38100</xdr:rowOff>
        </xdr:to>
        <xdr:sp macro="" textlink="">
          <xdr:nvSpPr>
            <xdr:cNvPr id="28709" name="CommandButton7" hidden="1">
              <a:extLst>
                <a:ext uri="{63B3BB69-23CF-44E3-9099-C40C66FF867C}">
                  <a14:compatExt spid="_x0000_s28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883920</xdr:colOff>
          <xdr:row>99</xdr:row>
          <xdr:rowOff>175260</xdr:rowOff>
        </xdr:from>
        <xdr:to>
          <xdr:col>11</xdr:col>
          <xdr:colOff>297180</xdr:colOff>
          <xdr:row>102</xdr:row>
          <xdr:rowOff>38100</xdr:rowOff>
        </xdr:to>
        <xdr:sp macro="" textlink="">
          <xdr:nvSpPr>
            <xdr:cNvPr id="28710" name="CommandButton8" hidden="1">
              <a:extLst>
                <a:ext uri="{63B3BB69-23CF-44E3-9099-C40C66FF867C}">
                  <a14:compatExt spid="_x0000_s28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16</xdr:col>
      <xdr:colOff>342900</xdr:colOff>
      <xdr:row>0</xdr:row>
      <xdr:rowOff>228600</xdr:rowOff>
    </xdr:from>
    <xdr:to>
      <xdr:col>17</xdr:col>
      <xdr:colOff>220382</xdr:colOff>
      <xdr:row>2</xdr:row>
      <xdr:rowOff>163904</xdr:rowOff>
    </xdr:to>
    <xdr:sp macro="" textlink="">
      <xdr:nvSpPr>
        <xdr:cNvPr id="82945"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317500</xdr:colOff>
      <xdr:row>3</xdr:row>
      <xdr:rowOff>76200</xdr:rowOff>
    </xdr:from>
    <xdr:to>
      <xdr:col>17</xdr:col>
      <xdr:colOff>233082</xdr:colOff>
      <xdr:row>3</xdr:row>
      <xdr:rowOff>683124</xdr:rowOff>
    </xdr:to>
    <xdr:sp macro="" textlink="">
      <xdr:nvSpPr>
        <xdr:cNvPr id="82946"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444500</xdr:colOff>
      <xdr:row>2</xdr:row>
      <xdr:rowOff>12700</xdr:rowOff>
    </xdr:from>
    <xdr:to>
      <xdr:col>22</xdr:col>
      <xdr:colOff>342900</xdr:colOff>
      <xdr:row>3</xdr:row>
      <xdr:rowOff>450041</xdr:rowOff>
    </xdr:to>
    <xdr:sp macro="" textlink="">
      <xdr:nvSpPr>
        <xdr:cNvPr id="82955" name="CommandButton3" hidden="1">
          <a:extLst>
            <a:ext uri="{63B3BB69-23CF-44E3-9099-C40C66FF867C}">
              <a14:compatExt xmlns:a14="http://schemas.microsoft.com/office/drawing/2010/main" spid="_x0000_s82955"/>
            </a:ext>
            <a:ext uri="{FF2B5EF4-FFF2-40B4-BE49-F238E27FC236}">
              <a16:creationId xmlns:a16="http://schemas.microsoft.com/office/drawing/2014/main" xmlns="" id="{00000000-0008-0000-0100-00000B44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17</xdr:col>
          <xdr:colOff>259080</xdr:colOff>
          <xdr:row>0</xdr:row>
          <xdr:rowOff>99060</xdr:rowOff>
        </xdr:from>
        <xdr:to>
          <xdr:col>19</xdr:col>
          <xdr:colOff>266700</xdr:colOff>
          <xdr:row>2</xdr:row>
          <xdr:rowOff>38100</xdr:rowOff>
        </xdr:to>
        <xdr:sp macro="" textlink="">
          <xdr:nvSpPr>
            <xdr:cNvPr id="2" name="CommandButton1" hidden="1">
              <a:extLst>
                <a:ext uri="{63B3BB69-23CF-44E3-9099-C40C66FF867C}">
                  <a14:compatExt spid="_x0000_s829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312420</xdr:colOff>
          <xdr:row>3</xdr:row>
          <xdr:rowOff>419100</xdr:rowOff>
        </xdr:from>
        <xdr:to>
          <xdr:col>19</xdr:col>
          <xdr:colOff>335280</xdr:colOff>
          <xdr:row>3</xdr:row>
          <xdr:rowOff>960120</xdr:rowOff>
        </xdr:to>
        <xdr:sp macro="" textlink="">
          <xdr:nvSpPr>
            <xdr:cNvPr id="82956" name="CommandButton2" hidden="1">
              <a:extLst>
                <a:ext uri="{63B3BB69-23CF-44E3-9099-C40C66FF867C}">
                  <a14:compatExt spid="_x0000_s829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274320</xdr:colOff>
          <xdr:row>11</xdr:row>
          <xdr:rowOff>68580</xdr:rowOff>
        </xdr:from>
        <xdr:to>
          <xdr:col>20</xdr:col>
          <xdr:colOff>152400</xdr:colOff>
          <xdr:row>12</xdr:row>
          <xdr:rowOff>327660</xdr:rowOff>
        </xdr:to>
        <xdr:sp macro="" textlink="">
          <xdr:nvSpPr>
            <xdr:cNvPr id="82959" name="CommandButton5" hidden="1">
              <a:extLst>
                <a:ext uri="{63B3BB69-23CF-44E3-9099-C40C66FF867C}">
                  <a14:compatExt spid="_x0000_s829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16</xdr:col>
      <xdr:colOff>317500</xdr:colOff>
      <xdr:row>5</xdr:row>
      <xdr:rowOff>76200</xdr:rowOff>
    </xdr:from>
    <xdr:ext cx="1051655" cy="601382"/>
    <xdr:sp macro="" textlink="">
      <xdr:nvSpPr>
        <xdr:cNvPr id="10"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7</xdr:row>
      <xdr:rowOff>76200</xdr:rowOff>
    </xdr:from>
    <xdr:ext cx="1051655" cy="601382"/>
    <xdr:sp macro="" textlink="">
      <xdr:nvSpPr>
        <xdr:cNvPr id="11"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9</xdr:row>
      <xdr:rowOff>76200</xdr:rowOff>
    </xdr:from>
    <xdr:ext cx="1051655" cy="601382"/>
    <xdr:sp macro="" textlink="">
      <xdr:nvSpPr>
        <xdr:cNvPr id="12"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11</xdr:row>
      <xdr:rowOff>76200</xdr:rowOff>
    </xdr:from>
    <xdr:ext cx="1051655" cy="601382"/>
    <xdr:sp macro="" textlink="">
      <xdr:nvSpPr>
        <xdr:cNvPr id="13"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13</xdr:row>
      <xdr:rowOff>76200</xdr:rowOff>
    </xdr:from>
    <xdr:ext cx="1051655" cy="601382"/>
    <xdr:sp macro="" textlink="">
      <xdr:nvSpPr>
        <xdr:cNvPr id="14"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16</xdr:col>
      <xdr:colOff>317500</xdr:colOff>
      <xdr:row>15</xdr:row>
      <xdr:rowOff>76200</xdr:rowOff>
    </xdr:from>
    <xdr:ext cx="1051655" cy="601382"/>
    <xdr:sp macro="" textlink="">
      <xdr:nvSpPr>
        <xdr:cNvPr id="15"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17483282" y="727364"/>
          <a:ext cx="1051655" cy="6013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8</xdr:col>
      <xdr:colOff>25400</xdr:colOff>
      <xdr:row>69</xdr:row>
      <xdr:rowOff>152400</xdr:rowOff>
    </xdr:from>
    <xdr:to>
      <xdr:col>9</xdr:col>
      <xdr:colOff>444500</xdr:colOff>
      <xdr:row>70</xdr:row>
      <xdr:rowOff>239060</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526000"/>
          <a:ext cx="1043940" cy="2543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31825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44220"/>
          <a:ext cx="1303020" cy="42164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497" name="CommandButton1" hidden="1">
              <a:extLst>
                <a:ext uri="{63B3BB69-23CF-44E3-9099-C40C66FF867C}">
                  <a14:compatExt spid="_x0000_s490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498" name="CommandButton2" hidden="1">
              <a:extLst>
                <a:ext uri="{63B3BB69-23CF-44E3-9099-C40C66FF867C}">
                  <a14:compatExt spid="_x0000_s490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25400</xdr:colOff>
      <xdr:row>69</xdr:row>
      <xdr:rowOff>152400</xdr:rowOff>
    </xdr:from>
    <xdr:to>
      <xdr:col>9</xdr:col>
      <xdr:colOff>444500</xdr:colOff>
      <xdr:row>70</xdr:row>
      <xdr:rowOff>250714</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595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35411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2657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6</xdr:row>
          <xdr:rowOff>106680</xdr:rowOff>
        </xdr:from>
        <xdr:to>
          <xdr:col>9</xdr:col>
          <xdr:colOff>403860</xdr:colOff>
          <xdr:row>7</xdr:row>
          <xdr:rowOff>99060</xdr:rowOff>
        </xdr:to>
        <xdr:sp macro="" textlink="">
          <xdr:nvSpPr>
            <xdr:cNvPr id="490515" name="CommandButton3" hidden="1">
              <a:extLst>
                <a:ext uri="{63B3BB69-23CF-44E3-9099-C40C66FF867C}">
                  <a14:compatExt spid="_x0000_s4905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121920</xdr:colOff>
          <xdr:row>9</xdr:row>
          <xdr:rowOff>68580</xdr:rowOff>
        </xdr:from>
        <xdr:to>
          <xdr:col>9</xdr:col>
          <xdr:colOff>441960</xdr:colOff>
          <xdr:row>11</xdr:row>
          <xdr:rowOff>152400</xdr:rowOff>
        </xdr:to>
        <xdr:sp macro="" textlink="">
          <xdr:nvSpPr>
            <xdr:cNvPr id="490516" name="CommandButton4" hidden="1">
              <a:extLst>
                <a:ext uri="{63B3BB69-23CF-44E3-9099-C40C66FF867C}">
                  <a14:compatExt spid="_x0000_s4905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101600</xdr:colOff>
      <xdr:row>66</xdr:row>
      <xdr:rowOff>152400</xdr:rowOff>
    </xdr:from>
    <xdr:to>
      <xdr:col>9</xdr:col>
      <xdr:colOff>520700</xdr:colOff>
      <xdr:row>68</xdr:row>
      <xdr:rowOff>22860</xdr:rowOff>
    </xdr:to>
    <xdr:sp macro="" textlink="">
      <xdr:nvSpPr>
        <xdr:cNvPr id="20481" name="CommandButton1" hidden="1">
          <a:extLst>
            <a:ext uri="{63B3BB69-23CF-44E3-9099-C40C66FF867C}">
              <a14:compatExt xmlns:a14="http://schemas.microsoft.com/office/drawing/2010/main" spid="_x0000_s20481"/>
            </a:ext>
            <a:ext uri="{FF2B5EF4-FFF2-40B4-BE49-F238E27FC236}">
              <a16:creationId xmlns:a16="http://schemas.microsoft.com/office/drawing/2014/main" xmlns="" id="{00000000-0008-0000-2000-000001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20320</xdr:rowOff>
    </xdr:to>
    <xdr:sp macro="" textlink="">
      <xdr:nvSpPr>
        <xdr:cNvPr id="20493" name="CommandButton2" hidden="1">
          <a:extLst>
            <a:ext uri="{63B3BB69-23CF-44E3-9099-C40C66FF867C}">
              <a14:compatExt xmlns:a14="http://schemas.microsoft.com/office/drawing/2010/main" spid="_x0000_s20493"/>
            </a:ext>
            <a:ext uri="{FF2B5EF4-FFF2-40B4-BE49-F238E27FC236}">
              <a16:creationId xmlns:a16="http://schemas.microsoft.com/office/drawing/2014/main" xmlns="" id="{00000000-0008-0000-2000-00000D5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114300</xdr:colOff>
          <xdr:row>23</xdr:row>
          <xdr:rowOff>0</xdr:rowOff>
        </xdr:from>
        <xdr:to>
          <xdr:col>9</xdr:col>
          <xdr:colOff>403860</xdr:colOff>
          <xdr:row>25</xdr:row>
          <xdr:rowOff>7620</xdr:rowOff>
        </xdr:to>
        <xdr:sp macro="" textlink="">
          <xdr:nvSpPr>
            <xdr:cNvPr id="20494" name="CommandButton1" hidden="1">
              <a:extLst>
                <a:ext uri="{63B3BB69-23CF-44E3-9099-C40C66FF867C}">
                  <a14:compatExt spid="_x0000_s204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99060</xdr:colOff>
          <xdr:row>31</xdr:row>
          <xdr:rowOff>38100</xdr:rowOff>
        </xdr:from>
        <xdr:to>
          <xdr:col>9</xdr:col>
          <xdr:colOff>419100</xdr:colOff>
          <xdr:row>33</xdr:row>
          <xdr:rowOff>129540</xdr:rowOff>
        </xdr:to>
        <xdr:sp macro="" textlink="">
          <xdr:nvSpPr>
            <xdr:cNvPr id="20495" name="CommandButton2" hidden="1">
              <a:extLst>
                <a:ext uri="{63B3BB69-23CF-44E3-9099-C40C66FF867C}">
                  <a14:compatExt spid="_x0000_s20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xml><?xml version="1.0" encoding="utf-8"?>
<xdr:wsDr xmlns:xdr="http://schemas.openxmlformats.org/drawingml/2006/spreadsheetDrawing" xmlns:a="http://schemas.openxmlformats.org/drawingml/2006/main">
  <xdr:oneCellAnchor>
    <xdr:from>
      <xdr:col>8</xdr:col>
      <xdr:colOff>76200</xdr:colOff>
      <xdr:row>67</xdr:row>
      <xdr:rowOff>101600</xdr:rowOff>
    </xdr:from>
    <xdr:ext cx="1039586" cy="262751"/>
    <xdr:sp macro="" textlink="">
      <xdr:nvSpPr>
        <xdr:cNvPr id="2" name="CommandButton1" hidden="1">
          <a:extLst>
            <a:ext uri="{63B3BB69-23CF-44E3-9099-C40C66FF867C}">
              <a14:compatExt xmlns:a14="http://schemas.microsoft.com/office/drawing/2010/main" spid="_x0000_s9217"/>
            </a:ext>
            <a:ext uri="{FF2B5EF4-FFF2-40B4-BE49-F238E27FC236}">
              <a16:creationId xmlns="" xmlns:a16="http://schemas.microsoft.com/office/drawing/2014/main" id="{00000000-0008-0000-1500-000001240000}"/>
            </a:ext>
          </a:extLst>
        </xdr:cNvPr>
        <xdr:cNvSpPr/>
      </xdr:nvSpPr>
      <xdr:spPr bwMode="auto">
        <a:xfrm>
          <a:off x="5074920" y="12354560"/>
          <a:ext cx="1039586" cy="26275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64557" cy="435855"/>
    <xdr:sp macro="" textlink="">
      <xdr:nvSpPr>
        <xdr:cNvPr id="3" name="CommandButton2" hidden="1">
          <a:extLst>
            <a:ext uri="{63B3BB69-23CF-44E3-9099-C40C66FF867C}">
              <a14:compatExt xmlns:a14="http://schemas.microsoft.com/office/drawing/2010/main" spid="_x0000_s9224"/>
            </a:ext>
            <a:ext uri="{FF2B5EF4-FFF2-40B4-BE49-F238E27FC236}">
              <a16:creationId xmlns="" xmlns:a16="http://schemas.microsoft.com/office/drawing/2014/main" id="{00000000-0008-0000-1500-000008240000}"/>
            </a:ext>
          </a:extLst>
        </xdr:cNvPr>
        <xdr:cNvSpPr/>
      </xdr:nvSpPr>
      <xdr:spPr bwMode="auto">
        <a:xfrm>
          <a:off x="4970780" y="650240"/>
          <a:ext cx="1264557" cy="4358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8.xml><?xml version="1.0" encoding="utf-8"?>
<xdr:wsDr xmlns:xdr="http://schemas.openxmlformats.org/drawingml/2006/spreadsheetDrawing" xmlns:a="http://schemas.openxmlformats.org/drawingml/2006/main">
  <xdr:oneCellAnchor>
    <xdr:from>
      <xdr:col>8</xdr:col>
      <xdr:colOff>63500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94561"/>
            </a:ext>
            <a:ext uri="{FF2B5EF4-FFF2-40B4-BE49-F238E27FC236}">
              <a16:creationId xmlns="" xmlns:a16="http://schemas.microsoft.com/office/drawing/2014/main" id="{00000000-0008-0000-4700-000001F80200}"/>
            </a:ext>
          </a:extLst>
        </xdr:cNvPr>
        <xdr:cNvSpPr/>
      </xdr:nvSpPr>
      <xdr:spPr bwMode="auto">
        <a:xfrm>
          <a:off x="50622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29"/>
    <xdr:sp macro="" textlink="">
      <xdr:nvSpPr>
        <xdr:cNvPr id="3" name="CommandButton2" hidden="1">
          <a:extLst>
            <a:ext uri="{63B3BB69-23CF-44E3-9099-C40C66FF867C}">
              <a14:compatExt xmlns:a14="http://schemas.microsoft.com/office/drawing/2010/main" spid="_x0000_s194568"/>
            </a:ext>
            <a:ext uri="{FF2B5EF4-FFF2-40B4-BE49-F238E27FC236}">
              <a16:creationId xmlns="" xmlns:a16="http://schemas.microsoft.com/office/drawing/2014/main" id="{00000000-0008-0000-4700-000008F80200}"/>
            </a:ext>
          </a:extLst>
        </xdr:cNvPr>
        <xdr:cNvSpPr/>
      </xdr:nvSpPr>
      <xdr:spPr bwMode="auto">
        <a:xfrm>
          <a:off x="4970780" y="650240"/>
          <a:ext cx="1285689" cy="4243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9.xml><?xml version="1.0" encoding="utf-8"?>
<xdr:wsDr xmlns:xdr="http://schemas.openxmlformats.org/drawingml/2006/spreadsheetDrawing" xmlns:a="http://schemas.openxmlformats.org/drawingml/2006/main">
  <xdr:oneCellAnchor>
    <xdr:from>
      <xdr:col>8</xdr:col>
      <xdr:colOff>88900</xdr:colOff>
      <xdr:row>67</xdr:row>
      <xdr:rowOff>88900</xdr:rowOff>
    </xdr:from>
    <xdr:ext cx="1046629" cy="282388"/>
    <xdr:sp macro="" textlink="">
      <xdr:nvSpPr>
        <xdr:cNvPr id="2" name="CommandButton1" hidden="1">
          <a:extLst>
            <a:ext uri="{63B3BB69-23CF-44E3-9099-C40C66FF867C}">
              <a14:compatExt xmlns:a14="http://schemas.microsoft.com/office/drawing/2010/main" spid="_x0000_s134145"/>
            </a:ext>
            <a:ext uri="{FF2B5EF4-FFF2-40B4-BE49-F238E27FC236}">
              <a16:creationId xmlns="" xmlns:a16="http://schemas.microsoft.com/office/drawing/2014/main" id="{00000000-0008-0000-1000-0000010C0200}"/>
            </a:ext>
          </a:extLst>
        </xdr:cNvPr>
        <xdr:cNvSpPr/>
      </xdr:nvSpPr>
      <xdr:spPr bwMode="auto">
        <a:xfrm>
          <a:off x="5087620" y="12341860"/>
          <a:ext cx="1046629" cy="28238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24330"/>
    <xdr:sp macro="" textlink="">
      <xdr:nvSpPr>
        <xdr:cNvPr id="3" name="CommandButton2" hidden="1">
          <a:extLst>
            <a:ext uri="{63B3BB69-23CF-44E3-9099-C40C66FF867C}">
              <a14:compatExt xmlns:a14="http://schemas.microsoft.com/office/drawing/2010/main" spid="_x0000_s134152"/>
            </a:ext>
            <a:ext uri="{FF2B5EF4-FFF2-40B4-BE49-F238E27FC236}">
              <a16:creationId xmlns="" xmlns:a16="http://schemas.microsoft.com/office/drawing/2014/main" id="{00000000-0008-0000-1000-0000080C0200}"/>
            </a:ext>
          </a:extLst>
        </xdr:cNvPr>
        <xdr:cNvSpPr/>
      </xdr:nvSpPr>
      <xdr:spPr bwMode="auto">
        <a:xfrm>
          <a:off x="4970780" y="650240"/>
          <a:ext cx="12856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121920</xdr:colOff>
          <xdr:row>30</xdr:row>
          <xdr:rowOff>0</xdr:rowOff>
        </xdr:from>
        <xdr:to>
          <xdr:col>9</xdr:col>
          <xdr:colOff>441960</xdr:colOff>
          <xdr:row>31</xdr:row>
          <xdr:rowOff>281940</xdr:rowOff>
        </xdr:to>
        <xdr:sp macro="" textlink="">
          <xdr:nvSpPr>
            <xdr:cNvPr id="837641" name="CommandButton2" hidden="1">
              <a:extLst>
                <a:ext uri="{63B3BB69-23CF-44E3-9099-C40C66FF867C}">
                  <a14:compatExt spid="_x0000_s837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39586" cy="259806"/>
    <xdr:sp macro="" textlink="">
      <xdr:nvSpPr>
        <xdr:cNvPr id="2" name="CommandButton1" hidden="1">
          <a:extLst>
            <a:ext uri="{63B3BB69-23CF-44E3-9099-C40C66FF867C}">
              <a14:compatExt xmlns:a14="http://schemas.microsoft.com/office/drawing/2010/main" spid="_x0000_s122881"/>
            </a:ext>
            <a:ext uri="{FF2B5EF4-FFF2-40B4-BE49-F238E27FC236}">
              <a16:creationId xmlns="" xmlns:a16="http://schemas.microsoft.com/office/drawing/2014/main" id="{00000000-0008-0000-0500-000001E00100}"/>
            </a:ext>
          </a:extLst>
        </xdr:cNvPr>
        <xdr:cNvSpPr/>
      </xdr:nvSpPr>
      <xdr:spPr bwMode="auto">
        <a:xfrm>
          <a:off x="5024120" y="12405360"/>
          <a:ext cx="1039586" cy="25980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89957" cy="428172"/>
    <xdr:sp macro="" textlink="">
      <xdr:nvSpPr>
        <xdr:cNvPr id="3" name="CommandButton2" hidden="1">
          <a:extLst>
            <a:ext uri="{63B3BB69-23CF-44E3-9099-C40C66FF867C}">
              <a14:compatExt xmlns:a14="http://schemas.microsoft.com/office/drawing/2010/main" spid="_x0000_s122896"/>
            </a:ext>
            <a:ext uri="{FF2B5EF4-FFF2-40B4-BE49-F238E27FC236}">
              <a16:creationId xmlns="" xmlns:a16="http://schemas.microsoft.com/office/drawing/2014/main" id="{00000000-0008-0000-0500-000010E00100}"/>
            </a:ext>
          </a:extLst>
        </xdr:cNvPr>
        <xdr:cNvSpPr/>
      </xdr:nvSpPr>
      <xdr:spPr bwMode="auto">
        <a:xfrm>
          <a:off x="4970780" y="675640"/>
          <a:ext cx="1289957" cy="4281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1.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8</xdr:col>
      <xdr:colOff>88900</xdr:colOff>
      <xdr:row>69</xdr:row>
      <xdr:rowOff>38100</xdr:rowOff>
    </xdr:from>
    <xdr:to>
      <xdr:col>9</xdr:col>
      <xdr:colOff>508000</xdr:colOff>
      <xdr:row>69</xdr:row>
      <xdr:rowOff>292100</xdr:rowOff>
    </xdr:to>
    <xdr:sp macro="" textlink="">
      <xdr:nvSpPr>
        <xdr:cNvPr id="178177" name="CommandButton1" hidden="1">
          <a:extLst>
            <a:ext uri="{63B3BB69-23CF-44E3-9099-C40C66FF867C}">
              <a14:compatExt xmlns:a14="http://schemas.microsoft.com/office/drawing/2010/main" spid="_x0000_s178177"/>
            </a:ext>
            <a:ext uri="{FF2B5EF4-FFF2-40B4-BE49-F238E27FC236}">
              <a16:creationId xmlns:a16="http://schemas.microsoft.com/office/drawing/2014/main" xmlns="" id="{00000000-0008-0000-3800-000001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139700</xdr:rowOff>
    </xdr:from>
    <xdr:to>
      <xdr:col>10</xdr:col>
      <xdr:colOff>0</xdr:colOff>
      <xdr:row>6</xdr:row>
      <xdr:rowOff>41987</xdr:rowOff>
    </xdr:to>
    <xdr:sp macro="" textlink="">
      <xdr:nvSpPr>
        <xdr:cNvPr id="178184" name="CommandButton2" hidden="1">
          <a:extLst>
            <a:ext uri="{63B3BB69-23CF-44E3-9099-C40C66FF867C}">
              <a14:compatExt xmlns:a14="http://schemas.microsoft.com/office/drawing/2010/main" spid="_x0000_s178184"/>
            </a:ext>
            <a:ext uri="{FF2B5EF4-FFF2-40B4-BE49-F238E27FC236}">
              <a16:creationId xmlns:a16="http://schemas.microsoft.com/office/drawing/2014/main" xmlns="" id="{00000000-0008-0000-3800-000008B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10</xdr:col>
      <xdr:colOff>0</xdr:colOff>
      <xdr:row>1</xdr:row>
      <xdr:rowOff>228600</xdr:rowOff>
    </xdr:from>
    <xdr:ext cx="1840488" cy="590935"/>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78588" cy="567875"/>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8</xdr:col>
      <xdr:colOff>76200</xdr:colOff>
      <xdr:row>67</xdr:row>
      <xdr:rowOff>38100</xdr:rowOff>
    </xdr:from>
    <xdr:to>
      <xdr:col>9</xdr:col>
      <xdr:colOff>495300</xdr:colOff>
      <xdr:row>68</xdr:row>
      <xdr:rowOff>90608</xdr:rowOff>
    </xdr:to>
    <xdr:sp macro="" textlink="">
      <xdr:nvSpPr>
        <xdr:cNvPr id="4097" name="CommandButton1" hidden="1">
          <a:extLst>
            <a:ext uri="{63B3BB69-23CF-44E3-9099-C40C66FF867C}">
              <a14:compatExt xmlns:a14="http://schemas.microsoft.com/office/drawing/2010/main" spid="_x0000_s4097"/>
            </a:ext>
            <a:ext uri="{FF2B5EF4-FFF2-40B4-BE49-F238E27FC236}">
              <a16:creationId xmlns:a16="http://schemas.microsoft.com/office/drawing/2014/main" xmlns="" id="{00000000-0008-0000-1300-000001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18142</xdr:rowOff>
    </xdr:to>
    <xdr:sp macro="" textlink="">
      <xdr:nvSpPr>
        <xdr:cNvPr id="4104" name="CommandButton2" hidden="1">
          <a:extLst>
            <a:ext uri="{63B3BB69-23CF-44E3-9099-C40C66FF867C}">
              <a14:compatExt xmlns:a14="http://schemas.microsoft.com/office/drawing/2010/main" spid="_x0000_s4104"/>
            </a:ext>
            <a:ext uri="{FF2B5EF4-FFF2-40B4-BE49-F238E27FC236}">
              <a16:creationId xmlns:a16="http://schemas.microsoft.com/office/drawing/2014/main" xmlns="" id="{00000000-0008-0000-1300-000008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8</xdr:col>
          <xdr:colOff>251460</xdr:colOff>
          <xdr:row>49</xdr:row>
          <xdr:rowOff>68580</xdr:rowOff>
        </xdr:from>
        <xdr:to>
          <xdr:col>9</xdr:col>
          <xdr:colOff>541020</xdr:colOff>
          <xdr:row>51</xdr:row>
          <xdr:rowOff>68580</xdr:rowOff>
        </xdr:to>
        <xdr:sp macro="" textlink="">
          <xdr:nvSpPr>
            <xdr:cNvPr id="4105" name="CommandButton1"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59</xdr:row>
          <xdr:rowOff>0</xdr:rowOff>
        </xdr:from>
        <xdr:to>
          <xdr:col>9</xdr:col>
          <xdr:colOff>464820</xdr:colOff>
          <xdr:row>61</xdr:row>
          <xdr:rowOff>91440</xdr:rowOff>
        </xdr:to>
        <xdr:sp macro="" textlink="">
          <xdr:nvSpPr>
            <xdr:cNvPr id="4106" name="CommandButton2" hidden="1">
              <a:extLst>
                <a:ext uri="{63B3BB69-23CF-44E3-9099-C40C66FF867C}">
                  <a14:compatExt spid="_x0000_s4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37674</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79804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49328</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79804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39595</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51249</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16.xml><?xml version="1.0" encoding="utf-8"?>
<xdr:wsDr xmlns:xdr="http://schemas.openxmlformats.org/drawingml/2006/spreadsheetDrawing" xmlns:a="http://schemas.openxmlformats.org/drawingml/2006/main">
  <xdr:oneCellAnchor>
    <xdr:from>
      <xdr:col>8</xdr:col>
      <xdr:colOff>38100</xdr:colOff>
      <xdr:row>70</xdr:row>
      <xdr:rowOff>0</xdr:rowOff>
    </xdr:from>
    <xdr:ext cx="1039586" cy="280436"/>
    <xdr:sp macro="" textlink="">
      <xdr:nvSpPr>
        <xdr:cNvPr id="2" name="CommandButton1" hidden="1">
          <a:extLst>
            <a:ext uri="{63B3BB69-23CF-44E3-9099-C40C66FF867C}">
              <a14:compatExt xmlns:a14="http://schemas.microsoft.com/office/drawing/2010/main" spid="_x0000_s172033"/>
            </a:ext>
            <a:ext uri="{FF2B5EF4-FFF2-40B4-BE49-F238E27FC236}">
              <a16:creationId xmlns="" xmlns:a16="http://schemas.microsoft.com/office/drawing/2014/main" id="{00000000-0008-0000-3200-000001A00200}"/>
            </a:ext>
          </a:extLst>
        </xdr:cNvPr>
        <xdr:cNvSpPr/>
      </xdr:nvSpPr>
      <xdr:spPr bwMode="auto">
        <a:xfrm>
          <a:off x="5036820" y="12801600"/>
          <a:ext cx="1039586" cy="28043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7027"/>
    <xdr:sp macro="" textlink="">
      <xdr:nvSpPr>
        <xdr:cNvPr id="3" name="CommandButton2" hidden="1">
          <a:extLst>
            <a:ext uri="{63B3BB69-23CF-44E3-9099-C40C66FF867C}">
              <a14:compatExt xmlns:a14="http://schemas.microsoft.com/office/drawing/2010/main" spid="_x0000_s172040"/>
            </a:ext>
            <a:ext uri="{FF2B5EF4-FFF2-40B4-BE49-F238E27FC236}">
              <a16:creationId xmlns="" xmlns:a16="http://schemas.microsoft.com/office/drawing/2014/main" id="{00000000-0008-0000-3200-000008A00200}"/>
            </a:ext>
          </a:extLst>
        </xdr:cNvPr>
        <xdr:cNvSpPr/>
      </xdr:nvSpPr>
      <xdr:spPr bwMode="auto">
        <a:xfrm>
          <a:off x="4970780" y="688340"/>
          <a:ext cx="1264557" cy="4170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7.xml><?xml version="1.0" encoding="utf-8"?>
<xdr:wsDr xmlns:xdr="http://schemas.openxmlformats.org/drawingml/2006/spreadsheetDrawing" xmlns:a="http://schemas.openxmlformats.org/drawingml/2006/main">
  <xdr:oneCellAnchor>
    <xdr:from>
      <xdr:col>8</xdr:col>
      <xdr:colOff>25400</xdr:colOff>
      <xdr:row>67</xdr:row>
      <xdr:rowOff>152400</xdr:rowOff>
    </xdr:from>
    <xdr:ext cx="1046629" cy="256989"/>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8455640"/>
          <a:ext cx="1046629" cy="2569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311089" cy="424330"/>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11089" cy="42433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8.xml><?xml version="1.0" encoding="utf-8"?>
<xdr:wsDr xmlns:xdr="http://schemas.openxmlformats.org/drawingml/2006/spreadsheetDrawing" xmlns:a="http://schemas.openxmlformats.org/drawingml/2006/main">
  <xdr:oneCellAnchor>
    <xdr:from>
      <xdr:col>8</xdr:col>
      <xdr:colOff>88900</xdr:colOff>
      <xdr:row>69</xdr:row>
      <xdr:rowOff>63500</xdr:rowOff>
    </xdr:from>
    <xdr:ext cx="1039586" cy="251581"/>
    <xdr:sp macro="" textlink="">
      <xdr:nvSpPr>
        <xdr:cNvPr id="2" name="CommandButton1" hidden="1">
          <a:extLst>
            <a:ext uri="{63B3BB69-23CF-44E3-9099-C40C66FF867C}">
              <a14:compatExt xmlns:a14="http://schemas.microsoft.com/office/drawing/2010/main" spid="_x0000_s160769"/>
            </a:ext>
            <a:ext uri="{FF2B5EF4-FFF2-40B4-BE49-F238E27FC236}">
              <a16:creationId xmlns:a16="http://schemas.microsoft.com/office/drawing/2014/main" xmlns="" id="{00000000-0008-0000-2700-000001740200}"/>
            </a:ext>
          </a:extLst>
        </xdr:cNvPr>
        <xdr:cNvSpPr/>
      </xdr:nvSpPr>
      <xdr:spPr bwMode="auto">
        <a:xfrm>
          <a:off x="5087620" y="12682220"/>
          <a:ext cx="1039586" cy="2515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64557" cy="416682"/>
    <xdr:sp macro="" textlink="">
      <xdr:nvSpPr>
        <xdr:cNvPr id="3" name="CommandButton2" hidden="1">
          <a:extLst>
            <a:ext uri="{63B3BB69-23CF-44E3-9099-C40C66FF867C}">
              <a14:compatExt xmlns:a14="http://schemas.microsoft.com/office/drawing/2010/main" spid="_x0000_s160776"/>
            </a:ext>
            <a:ext uri="{FF2B5EF4-FFF2-40B4-BE49-F238E27FC236}">
              <a16:creationId xmlns:a16="http://schemas.microsoft.com/office/drawing/2014/main" xmlns="" id="{00000000-0008-0000-2700-000008740200}"/>
            </a:ext>
          </a:extLst>
        </xdr:cNvPr>
        <xdr:cNvSpPr/>
      </xdr:nvSpPr>
      <xdr:spPr bwMode="auto">
        <a:xfrm>
          <a:off x="4970780" y="688340"/>
          <a:ext cx="1264557" cy="41668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8</xdr:col>
      <xdr:colOff>123825</xdr:colOff>
      <xdr:row>9</xdr:row>
      <xdr:rowOff>104775</xdr:rowOff>
    </xdr:from>
    <xdr:ext cx="953861" cy="475797"/>
    <xdr:sp macro="" textlink="">
      <xdr:nvSpPr>
        <xdr:cNvPr id="5" name="CommandButton2" hidden="1">
          <a:extLst>
            <a:ext uri="{63B3BB69-23CF-44E3-9099-C40C66FF867C}">
              <a14:compatExt xmlns:a14="http://schemas.microsoft.com/office/drawing/2010/main" spid="_x0000_s160781"/>
            </a:ext>
            <a:ext uri="{FF2B5EF4-FFF2-40B4-BE49-F238E27FC236}">
              <a16:creationId xmlns:a16="http://schemas.microsoft.com/office/drawing/2014/main" xmlns="" xmlns:a14="http://schemas.microsoft.com/office/drawing/2010/main" xmlns:mc="http://schemas.openxmlformats.org/markup-compatibility/2006" id="{00000000-0008-0000-2700-00000D740200}"/>
            </a:ext>
          </a:extLst>
        </xdr:cNvPr>
        <xdr:cNvSpPr/>
      </xdr:nvSpPr>
      <xdr:spPr bwMode="auto">
        <a:xfrm>
          <a:off x="5122545" y="1750695"/>
          <a:ext cx="953861" cy="47579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xdr:row>
      <xdr:rowOff>228600</xdr:rowOff>
    </xdr:from>
    <xdr:ext cx="815468" cy="597155"/>
    <xdr:sp macro="" textlink="">
      <xdr:nvSpPr>
        <xdr:cNvPr id="7"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15621000" y="365760"/>
          <a:ext cx="815468" cy="59715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853568" cy="567011"/>
    <xdr:sp macro="" textlink="">
      <xdr:nvSpPr>
        <xdr:cNvPr id="8"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5621000" y="807720"/>
          <a:ext cx="853568" cy="5670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19.xml><?xml version="1.0" encoding="utf-8"?>
<xdr:wsDr xmlns:xdr="http://schemas.openxmlformats.org/drawingml/2006/spreadsheetDrawing" xmlns:a="http://schemas.openxmlformats.org/drawingml/2006/main">
  <xdr:oneCellAnchor>
    <xdr:from>
      <xdr:col>8</xdr:col>
      <xdr:colOff>88900</xdr:colOff>
      <xdr:row>69</xdr:row>
      <xdr:rowOff>63500</xdr:rowOff>
    </xdr:from>
    <xdr:ext cx="1046629" cy="254001"/>
    <xdr:sp macro="" textlink="">
      <xdr:nvSpPr>
        <xdr:cNvPr id="2" name="CommandButton1" hidden="1">
          <a:extLst>
            <a:ext uri="{63B3BB69-23CF-44E3-9099-C40C66FF867C}">
              <a14:compatExt xmlns:a14="http://schemas.microsoft.com/office/drawing/2010/main" spid="_x0000_s160769"/>
            </a:ext>
            <a:ext uri="{FF2B5EF4-FFF2-40B4-BE49-F238E27FC236}">
              <a16:creationId xmlns="" xmlns:a16="http://schemas.microsoft.com/office/drawing/2014/main" id="{00000000-0008-0000-2700-000001740200}"/>
            </a:ext>
          </a:extLst>
        </xdr:cNvPr>
        <xdr:cNvSpPr/>
      </xdr:nvSpPr>
      <xdr:spPr bwMode="auto">
        <a:xfrm>
          <a:off x="5087620" y="12682220"/>
          <a:ext cx="1046629" cy="25400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139700</xdr:rowOff>
    </xdr:from>
    <xdr:ext cx="1285689" cy="411629"/>
    <xdr:sp macro="" textlink="">
      <xdr:nvSpPr>
        <xdr:cNvPr id="3" name="CommandButton2" hidden="1">
          <a:extLst>
            <a:ext uri="{63B3BB69-23CF-44E3-9099-C40C66FF867C}">
              <a14:compatExt xmlns:a14="http://schemas.microsoft.com/office/drawing/2010/main" spid="_x0000_s160776"/>
            </a:ext>
            <a:ext uri="{FF2B5EF4-FFF2-40B4-BE49-F238E27FC236}">
              <a16:creationId xmlns="" xmlns:a16="http://schemas.microsoft.com/office/drawing/2014/main" id="{00000000-0008-0000-2700-000008740200}"/>
            </a:ext>
          </a:extLst>
        </xdr:cNvPr>
        <xdr:cNvSpPr/>
      </xdr:nvSpPr>
      <xdr:spPr bwMode="auto">
        <a:xfrm>
          <a:off x="4970780" y="688340"/>
          <a:ext cx="1285689" cy="41162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121920</xdr:colOff>
          <xdr:row>35</xdr:row>
          <xdr:rowOff>0</xdr:rowOff>
        </xdr:from>
        <xdr:to>
          <xdr:col>9</xdr:col>
          <xdr:colOff>441960</xdr:colOff>
          <xdr:row>37</xdr:row>
          <xdr:rowOff>99060</xdr:rowOff>
        </xdr:to>
        <xdr:sp macro="" textlink="">
          <xdr:nvSpPr>
            <xdr:cNvPr id="846857" name="CommandButton2" hidden="1">
              <a:extLst>
                <a:ext uri="{63B3BB69-23CF-44E3-9099-C40C66FF867C}">
                  <a14:compatExt spid="_x0000_s846857"/>
                </a:ext>
                <a:ext uri="{FF2B5EF4-FFF2-40B4-BE49-F238E27FC236}">
                  <a16:creationId xmlns="" xmlns:a16="http://schemas.microsoft.com/office/drawing/2014/main" id="{00000000-0008-0000-2700-00000D7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37674</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79804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49328</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479804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1.xml><?xml version="1.0" encoding="utf-8"?>
<xdr:wsDr xmlns:xdr="http://schemas.openxmlformats.org/drawingml/2006/spreadsheetDrawing" xmlns:a="http://schemas.openxmlformats.org/drawingml/2006/main">
  <xdr:oneCellAnchor>
    <xdr:from>
      <xdr:col>8</xdr:col>
      <xdr:colOff>88900</xdr:colOff>
      <xdr:row>69</xdr:row>
      <xdr:rowOff>38100</xdr:rowOff>
    </xdr:from>
    <xdr:ext cx="1039586" cy="254000"/>
    <xdr:sp macro="" textlink="">
      <xdr:nvSpPr>
        <xdr:cNvPr id="2" name="CommandButton1" hidden="1">
          <a:extLst>
            <a:ext uri="{63B3BB69-23CF-44E3-9099-C40C66FF867C}">
              <a14:compatExt xmlns:a14="http://schemas.microsoft.com/office/drawing/2010/main" spid="_x0000_s183297"/>
            </a:ext>
            <a:ext uri="{FF2B5EF4-FFF2-40B4-BE49-F238E27FC236}">
              <a16:creationId xmlns="" xmlns:a16="http://schemas.microsoft.com/office/drawing/2014/main" id="{00000000-0008-0000-3D00-000001CC0200}"/>
            </a:ext>
          </a:extLst>
        </xdr:cNvPr>
        <xdr:cNvSpPr/>
      </xdr:nvSpPr>
      <xdr:spPr bwMode="auto">
        <a:xfrm>
          <a:off x="5087620" y="12656820"/>
          <a:ext cx="1039586"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127000</xdr:rowOff>
    </xdr:from>
    <xdr:ext cx="1264557" cy="415472"/>
    <xdr:sp macro="" textlink="">
      <xdr:nvSpPr>
        <xdr:cNvPr id="3" name="CommandButton2" hidden="1">
          <a:extLst>
            <a:ext uri="{63B3BB69-23CF-44E3-9099-C40C66FF867C}">
              <a14:compatExt xmlns:a14="http://schemas.microsoft.com/office/drawing/2010/main" spid="_x0000_s183304"/>
            </a:ext>
            <a:ext uri="{FF2B5EF4-FFF2-40B4-BE49-F238E27FC236}">
              <a16:creationId xmlns="" xmlns:a16="http://schemas.microsoft.com/office/drawing/2014/main" id="{00000000-0008-0000-3D00-000008CC0200}"/>
            </a:ext>
          </a:extLst>
        </xdr:cNvPr>
        <xdr:cNvSpPr/>
      </xdr:nvSpPr>
      <xdr:spPr bwMode="auto">
        <a:xfrm>
          <a:off x="4970780" y="675640"/>
          <a:ext cx="1264557" cy="415472"/>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59</xdr:row>
          <xdr:rowOff>0</xdr:rowOff>
        </xdr:from>
        <xdr:to>
          <xdr:col>9</xdr:col>
          <xdr:colOff>396240</xdr:colOff>
          <xdr:row>60</xdr:row>
          <xdr:rowOff>167640</xdr:rowOff>
        </xdr:to>
        <xdr:sp macro="" textlink="">
          <xdr:nvSpPr>
            <xdr:cNvPr id="841737" name="CommandButton1" hidden="1">
              <a:extLst>
                <a:ext uri="{63B3BB69-23CF-44E3-9099-C40C66FF867C}">
                  <a14:compatExt spid="_x0000_s841737"/>
                </a:ext>
                <a:ext uri="{FF2B5EF4-FFF2-40B4-BE49-F238E27FC236}">
                  <a16:creationId xmlns="" xmlns:a16="http://schemas.microsoft.com/office/drawing/2014/main" id="{00000000-0008-0000-3D00-00000A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64</xdr:row>
          <xdr:rowOff>106680</xdr:rowOff>
        </xdr:from>
        <xdr:to>
          <xdr:col>9</xdr:col>
          <xdr:colOff>426720</xdr:colOff>
          <xdr:row>67</xdr:row>
          <xdr:rowOff>0</xdr:rowOff>
        </xdr:to>
        <xdr:sp macro="" textlink="">
          <xdr:nvSpPr>
            <xdr:cNvPr id="841738" name="CommandButton2" hidden="1">
              <a:extLst>
                <a:ext uri="{63B3BB69-23CF-44E3-9099-C40C66FF867C}">
                  <a14:compatExt spid="_x0000_s841738"/>
                </a:ext>
                <a:ext uri="{FF2B5EF4-FFF2-40B4-BE49-F238E27FC236}">
                  <a16:creationId xmlns="" xmlns:a16="http://schemas.microsoft.com/office/drawing/2014/main" id="{00000000-0008-0000-3D00-00000BC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8</xdr:col>
      <xdr:colOff>76200</xdr:colOff>
      <xdr:row>69</xdr:row>
      <xdr:rowOff>38100</xdr:rowOff>
    </xdr:from>
    <xdr:ext cx="1046629" cy="254000"/>
    <xdr:sp macro="" textlink="">
      <xdr:nvSpPr>
        <xdr:cNvPr id="2" name="CommandButton1" hidden="1">
          <a:extLst>
            <a:ext uri="{63B3BB69-23CF-44E3-9099-C40C66FF867C}">
              <a14:compatExt xmlns:a14="http://schemas.microsoft.com/office/drawing/2010/main" spid="_x0000_s163841"/>
            </a:ext>
            <a:ext uri="{FF2B5EF4-FFF2-40B4-BE49-F238E27FC236}">
              <a16:creationId xmlns="" xmlns:a16="http://schemas.microsoft.com/office/drawing/2014/main" id="{00000000-0008-0000-2A00-000001800200}"/>
            </a:ext>
          </a:extLst>
        </xdr:cNvPr>
        <xdr:cNvSpPr/>
      </xdr:nvSpPr>
      <xdr:spPr bwMode="auto">
        <a:xfrm>
          <a:off x="5074920" y="12656820"/>
          <a:ext cx="1046629"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7</xdr:col>
      <xdr:colOff>596900</xdr:colOff>
      <xdr:row>3</xdr:row>
      <xdr:rowOff>101600</xdr:rowOff>
    </xdr:from>
    <xdr:ext cx="1285689" cy="418200"/>
    <xdr:sp macro="" textlink="">
      <xdr:nvSpPr>
        <xdr:cNvPr id="3" name="CommandButton2" hidden="1">
          <a:extLst>
            <a:ext uri="{63B3BB69-23CF-44E3-9099-C40C66FF867C}">
              <a14:compatExt xmlns:a14="http://schemas.microsoft.com/office/drawing/2010/main" spid="_x0000_s163848"/>
            </a:ext>
            <a:ext uri="{FF2B5EF4-FFF2-40B4-BE49-F238E27FC236}">
              <a16:creationId xmlns="" xmlns:a16="http://schemas.microsoft.com/office/drawing/2014/main" id="{00000000-0008-0000-2A00-000008800200}"/>
            </a:ext>
          </a:extLst>
        </xdr:cNvPr>
        <xdr:cNvSpPr/>
      </xdr:nvSpPr>
      <xdr:spPr bwMode="auto">
        <a:xfrm>
          <a:off x="4970780" y="650240"/>
          <a:ext cx="1285689" cy="418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8</xdr:col>
          <xdr:colOff>114300</xdr:colOff>
          <xdr:row>44</xdr:row>
          <xdr:rowOff>0</xdr:rowOff>
        </xdr:from>
        <xdr:to>
          <xdr:col>9</xdr:col>
          <xdr:colOff>403860</xdr:colOff>
          <xdr:row>45</xdr:row>
          <xdr:rowOff>15240</xdr:rowOff>
        </xdr:to>
        <xdr:sp macro="" textlink="">
          <xdr:nvSpPr>
            <xdr:cNvPr id="842760" name="CommandButton1" hidden="1">
              <a:extLst>
                <a:ext uri="{63B3BB69-23CF-44E3-9099-C40C66FF867C}">
                  <a14:compatExt spid="_x0000_s842760"/>
                </a:ext>
                <a:ext uri="{FF2B5EF4-FFF2-40B4-BE49-F238E27FC236}">
                  <a16:creationId xmlns="" xmlns:a16="http://schemas.microsoft.com/office/drawing/2014/main" id="{00000000-0008-0000-2A00-00000A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48</xdr:row>
          <xdr:rowOff>152400</xdr:rowOff>
        </xdr:from>
        <xdr:to>
          <xdr:col>9</xdr:col>
          <xdr:colOff>396240</xdr:colOff>
          <xdr:row>49</xdr:row>
          <xdr:rowOff>99060</xdr:rowOff>
        </xdr:to>
        <xdr:sp macro="" textlink="">
          <xdr:nvSpPr>
            <xdr:cNvPr id="842761" name="CommandButton2" hidden="1">
              <a:extLst>
                <a:ext uri="{63B3BB69-23CF-44E3-9099-C40C66FF867C}">
                  <a14:compatExt spid="_x0000_s842761"/>
                </a:ext>
                <a:ext uri="{FF2B5EF4-FFF2-40B4-BE49-F238E27FC236}">
                  <a16:creationId xmlns="" xmlns:a16="http://schemas.microsoft.com/office/drawing/2014/main" id="{00000000-0008-0000-2A00-00000B8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10</xdr:col>
      <xdr:colOff>0</xdr:colOff>
      <xdr:row>1</xdr:row>
      <xdr:rowOff>228600</xdr:rowOff>
    </xdr:from>
    <xdr:ext cx="1849087" cy="588383"/>
    <xdr:sp macro="" textlink="">
      <xdr:nvSpPr>
        <xdr:cNvPr id="6" name="CommandButton1" hidden="1">
          <a:extLst>
            <a:ext uri="{63B3BB69-23CF-44E3-9099-C40C66FF867C}">
              <a14:compatExt xmlns:a14="http://schemas.microsoft.com/office/drawing/2010/main" spid="_x0000_s82945"/>
            </a:ext>
            <a:ext uri="{FF2B5EF4-FFF2-40B4-BE49-F238E27FC236}">
              <a16:creationId xmlns="" xmlns:a16="http://schemas.microsoft.com/office/drawing/2014/main" id="{00000000-0008-0000-0100-000001440100}"/>
            </a:ext>
          </a:extLst>
        </xdr:cNvPr>
        <xdr:cNvSpPr/>
      </xdr:nvSpPr>
      <xdr:spPr bwMode="auto">
        <a:xfrm>
          <a:off x="15621000" y="365760"/>
          <a:ext cx="1849087" cy="58838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xdr:row>
      <xdr:rowOff>76200</xdr:rowOff>
    </xdr:from>
    <xdr:ext cx="1892675" cy="559827"/>
    <xdr:sp macro="" textlink="">
      <xdr:nvSpPr>
        <xdr:cNvPr id="7" name="CommandButton2" hidden="1">
          <a:extLst>
            <a:ext uri="{63B3BB69-23CF-44E3-9099-C40C66FF867C}">
              <a14:compatExt xmlns:a14="http://schemas.microsoft.com/office/drawing/2010/main" spid="_x0000_s82946"/>
            </a:ext>
            <a:ext uri="{FF2B5EF4-FFF2-40B4-BE49-F238E27FC236}">
              <a16:creationId xmlns="" xmlns:a16="http://schemas.microsoft.com/office/drawing/2014/main" id="{00000000-0008-0000-0100-000002440100}"/>
            </a:ext>
          </a:extLst>
        </xdr:cNvPr>
        <xdr:cNvSpPr/>
      </xdr:nvSpPr>
      <xdr:spPr bwMode="auto">
        <a:xfrm>
          <a:off x="15621000" y="807720"/>
          <a:ext cx="1892675" cy="559827"/>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23.xml><?xml version="1.0" encoding="utf-8"?>
<xdr:wsDr xmlns:xdr="http://schemas.openxmlformats.org/drawingml/2006/spreadsheetDrawing" xmlns:a="http://schemas.openxmlformats.org/drawingml/2006/main">
  <xdr:twoCellAnchor editAs="oneCell">
    <xdr:from>
      <xdr:col>8</xdr:col>
      <xdr:colOff>114300</xdr:colOff>
      <xdr:row>69</xdr:row>
      <xdr:rowOff>25400</xdr:rowOff>
    </xdr:from>
    <xdr:to>
      <xdr:col>9</xdr:col>
      <xdr:colOff>533400</xdr:colOff>
      <xdr:row>70</xdr:row>
      <xdr:rowOff>1154</xdr:rowOff>
    </xdr:to>
    <xdr:sp macro="" textlink="">
      <xdr:nvSpPr>
        <xdr:cNvPr id="164865" name="CommandButton1" hidden="1">
          <a:extLst>
            <a:ext uri="{63B3BB69-23CF-44E3-9099-C40C66FF867C}">
              <a14:compatExt xmlns:a14="http://schemas.microsoft.com/office/drawing/2010/main" spid="_x0000_s164865"/>
            </a:ext>
            <a:ext uri="{FF2B5EF4-FFF2-40B4-BE49-F238E27FC236}">
              <a16:creationId xmlns:a16="http://schemas.microsoft.com/office/drawing/2014/main" xmlns="" id="{00000000-0008-0000-2B00-000001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101600</xdr:rowOff>
    </xdr:from>
    <xdr:to>
      <xdr:col>10</xdr:col>
      <xdr:colOff>0</xdr:colOff>
      <xdr:row>6</xdr:row>
      <xdr:rowOff>22942</xdr:rowOff>
    </xdr:to>
    <xdr:sp macro="" textlink="">
      <xdr:nvSpPr>
        <xdr:cNvPr id="164872" name="CommandButton2" hidden="1">
          <a:extLst>
            <a:ext uri="{63B3BB69-23CF-44E3-9099-C40C66FF867C}">
              <a14:compatExt xmlns:a14="http://schemas.microsoft.com/office/drawing/2010/main" spid="_x0000_s164872"/>
            </a:ext>
            <a:ext uri="{FF2B5EF4-FFF2-40B4-BE49-F238E27FC236}">
              <a16:creationId xmlns:a16="http://schemas.microsoft.com/office/drawing/2014/main" xmlns="" id="{00000000-0008-0000-2B00-00000884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1</xdr:row>
      <xdr:rowOff>228600</xdr:rowOff>
    </xdr:from>
    <xdr:to>
      <xdr:col>13</xdr:col>
      <xdr:colOff>271674</xdr:colOff>
      <xdr:row>5</xdr:row>
      <xdr:rowOff>102944</xdr:rowOff>
    </xdr:to>
    <xdr:sp macro="" textlink="">
      <xdr:nvSpPr>
        <xdr:cNvPr id="6" name="CommandButton1" hidden="1">
          <a:extLst>
            <a:ext uri="{63B3BB69-23CF-44E3-9099-C40C66FF867C}">
              <a14:compatExt xmlns:a14="http://schemas.microsoft.com/office/drawing/2010/main" spid="_x0000_s82945"/>
            </a:ext>
            <a:ext uri="{FF2B5EF4-FFF2-40B4-BE49-F238E27FC236}">
              <a16:creationId xmlns:a16="http://schemas.microsoft.com/office/drawing/2014/main" xmlns="" id="{00000000-0008-0000-0100-000001440100}"/>
            </a:ext>
          </a:extLst>
        </xdr:cNvPr>
        <xdr:cNvSpPr/>
      </xdr:nvSpPr>
      <xdr:spPr bwMode="auto">
        <a:xfrm>
          <a:off x="28011120" y="411480"/>
          <a:ext cx="1332902" cy="58300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0</xdr:colOff>
      <xdr:row>4</xdr:row>
      <xdr:rowOff>76200</xdr:rowOff>
    </xdr:from>
    <xdr:to>
      <xdr:col>13</xdr:col>
      <xdr:colOff>309774</xdr:colOff>
      <xdr:row>7</xdr:row>
      <xdr:rowOff>123116</xdr:rowOff>
    </xdr:to>
    <xdr:sp macro="" textlink="">
      <xdr:nvSpPr>
        <xdr:cNvPr id="7" name="CommandButton2" hidden="1">
          <a:extLst>
            <a:ext uri="{63B3BB69-23CF-44E3-9099-C40C66FF867C}">
              <a14:compatExt xmlns:a14="http://schemas.microsoft.com/office/drawing/2010/main" spid="_x0000_s82946"/>
            </a:ext>
            <a:ext uri="{FF2B5EF4-FFF2-40B4-BE49-F238E27FC236}">
              <a16:creationId xmlns:a16="http://schemas.microsoft.com/office/drawing/2014/main" xmlns="" id="{00000000-0008-0000-0100-000002440100}"/>
            </a:ext>
          </a:extLst>
        </xdr:cNvPr>
        <xdr:cNvSpPr/>
      </xdr:nvSpPr>
      <xdr:spPr bwMode="auto">
        <a:xfrm>
          <a:off x="27985720" y="868680"/>
          <a:ext cx="1371002" cy="5650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8</xdr:col>
      <xdr:colOff>25400</xdr:colOff>
      <xdr:row>67</xdr:row>
      <xdr:rowOff>152400</xdr:rowOff>
    </xdr:from>
    <xdr:to>
      <xdr:col>9</xdr:col>
      <xdr:colOff>444500</xdr:colOff>
      <xdr:row>69</xdr:row>
      <xdr:rowOff>34706</xdr:rowOff>
    </xdr:to>
    <xdr:sp macro="" textlink="">
      <xdr:nvSpPr>
        <xdr:cNvPr id="2"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695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5</xdr:row>
      <xdr:rowOff>39445</xdr:rowOff>
    </xdr:to>
    <xdr:sp macro="" textlink="">
      <xdr:nvSpPr>
        <xdr:cNvPr id="3"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2477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25400</xdr:colOff>
      <xdr:row>67</xdr:row>
      <xdr:rowOff>152400</xdr:rowOff>
    </xdr:from>
    <xdr:to>
      <xdr:col>9</xdr:col>
      <xdr:colOff>444500</xdr:colOff>
      <xdr:row>69</xdr:row>
      <xdr:rowOff>46360</xdr:rowOff>
    </xdr:to>
    <xdr:sp macro="" textlink="">
      <xdr:nvSpPr>
        <xdr:cNvPr id="6" name="CommandButton1" hidden="1">
          <a:extLst>
            <a:ext uri="{63B3BB69-23CF-44E3-9099-C40C66FF867C}">
              <a14:compatExt xmlns:a14="http://schemas.microsoft.com/office/drawing/2010/main" spid="_x0000_s122881"/>
            </a:ext>
            <a:ext uri="{FF2B5EF4-FFF2-40B4-BE49-F238E27FC236}">
              <a16:creationId xmlns:a16="http://schemas.microsoft.com/office/drawing/2014/main" xmlns="" id="{00000000-0008-0000-0500-000001E00100}"/>
            </a:ext>
          </a:extLst>
        </xdr:cNvPr>
        <xdr:cNvSpPr/>
      </xdr:nvSpPr>
      <xdr:spPr bwMode="auto">
        <a:xfrm>
          <a:off x="8719820" y="17632680"/>
          <a:ext cx="1043940" cy="2811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596900</xdr:colOff>
      <xdr:row>3</xdr:row>
      <xdr:rowOff>127000</xdr:rowOff>
    </xdr:from>
    <xdr:to>
      <xdr:col>10</xdr:col>
      <xdr:colOff>25400</xdr:colOff>
      <xdr:row>6</xdr:row>
      <xdr:rowOff>50651</xdr:rowOff>
    </xdr:to>
    <xdr:sp macro="" textlink="">
      <xdr:nvSpPr>
        <xdr:cNvPr id="7" name="CommandButton2" hidden="1">
          <a:extLst>
            <a:ext uri="{63B3BB69-23CF-44E3-9099-C40C66FF867C}">
              <a14:compatExt xmlns:a14="http://schemas.microsoft.com/office/drawing/2010/main" spid="_x0000_s122896"/>
            </a:ext>
            <a:ext uri="{FF2B5EF4-FFF2-40B4-BE49-F238E27FC236}">
              <a16:creationId xmlns:a16="http://schemas.microsoft.com/office/drawing/2014/main" xmlns="" id="{00000000-0008-0000-0500-000010E00100}"/>
            </a:ext>
          </a:extLst>
        </xdr:cNvPr>
        <xdr:cNvSpPr/>
      </xdr:nvSpPr>
      <xdr:spPr bwMode="auto">
        <a:xfrm>
          <a:off x="8666480" y="797560"/>
          <a:ext cx="1303020" cy="44181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X:\01.Training%20Material\CBL%202020\CBL%20Progress_hanh.duong.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onglien.nguyen" refreshedDate="43819.383328356482" createdVersion="5" refreshedVersion="5" minRefreshableVersion="3" recordCount="72">
  <cacheSource type="worksheet">
    <worksheetSource ref="F1:N1048576" sheet="Summary" r:id="rId2"/>
  </cacheSource>
  <cacheFields count="9">
    <cacheField name="Name" numFmtId="0">
      <sharedItems containsBlank="1"/>
    </cacheField>
    <cacheField name="2018 Level" numFmtId="0">
      <sharedItems containsString="0" containsBlank="1" containsNumber="1" containsInteger="1" minValue="0" maxValue="3"/>
    </cacheField>
    <cacheField name="2018 Score" numFmtId="0">
      <sharedItems containsString="0" containsBlank="1" containsNumber="1" minValue="0" maxValue="3.1184012066365012"/>
    </cacheField>
    <cacheField name="2019 CBL Level Target" numFmtId="0">
      <sharedItems containsString="0" containsBlank="1" containsNumber="1" containsInteger="1" minValue="1" maxValue="3"/>
    </cacheField>
    <cacheField name="2019 CBL Score Target" numFmtId="0">
      <sharedItems containsString="0" containsBlank="1" containsNumber="1" minValue="1.5048355899419728" maxValue="3.38"/>
    </cacheField>
    <cacheField name="Q3 2019 CBL Level" numFmtId="0">
      <sharedItems containsString="0" containsBlank="1" containsNumber="1" containsInteger="1" minValue="1" maxValue="3"/>
    </cacheField>
    <cacheField name="Q3 2019 CBL Score" numFmtId="2">
      <sharedItems containsString="0" containsBlank="1" containsNumber="1" minValue="0.75241779497098638" maxValue="3.4909502262443439"/>
    </cacheField>
    <cacheField name="2nd Half 2019 CBL Level" numFmtId="0">
      <sharedItems containsString="0" containsBlank="1" containsNumber="1" containsInteger="1" minValue="0" maxValue="3" count="5">
        <m/>
        <n v="3"/>
        <n v="2"/>
        <n v="1"/>
        <n v="0"/>
      </sharedItems>
    </cacheField>
    <cacheField name="2nd Half 2019 CBL score" numFmtId="0">
      <sharedItems containsString="0" containsBlank="1" containsNumber="1" minValue="1.1044487427466152" maxValue="3.4909502262443439" count="63">
        <m/>
        <n v="3.1568627450980395"/>
        <n v="3.0527903469079947"/>
        <n v="2.9530823786142943"/>
        <n v="2.9871794871794881"/>
        <n v="2.8376977632296789"/>
        <n v="2.9555052790346918"/>
        <n v="2.7820512820512828"/>
        <n v="3.4200603318250375"/>
        <n v="2.8120567375886538"/>
        <n v="2.8633387888707045"/>
        <n v="2.6453900709219869"/>
        <n v="2.8461538461538471"/>
        <n v="2.8974358974358982"/>
        <n v="2.7564102564102573"/>
        <n v="2.7992362247681406"/>
        <n v="2.7864157119476278"/>
        <n v="2.6838516093835252"/>
        <n v="2.6710310965630129"/>
        <n v="2.7607746863066023"/>
        <n v="2.7948717948717956"/>
        <n v="2.5247483013440468"/>
        <n v="2.5428259683578833"/>
        <n v="2.7307692307692317"/>
        <n v="2.5043644298963459"/>
        <n v="2.337697763229678"/>
        <n v="2.7051282051282053"/>
        <n v="2.6710310965630115"/>
        <n v="2.576923076923078"/>
        <n v="2.4146208401527565"/>
        <n v="2.5812875068194221"/>
        <n v="2.3761593016912164"/>
        <n v="2.2683380449337895"/>
        <n v="3.4909502262443439"/>
        <n v="2.9487179487179498"/>
        <n v="2.9274413529732688"/>
        <n v="2.9487179487179493"/>
        <n v="2.8761593016912177"/>
        <n v="3.2315233785822022"/>
        <n v="2.7383325893964199"/>
        <n v="2.9018003273322432"/>
        <n v="2.8505182760501917"/>
        <n v="2.7298765064722521"/>
        <n v="2.5591181867777615"/>
        <n v="2.631676833804494"/>
        <n v="2.6882160392798693"/>
        <n v="2.5474631751227506"/>
        <n v="2.8717948717948727"/>
        <n v="2.8076923076923079"/>
        <n v="2.7479541734860891"/>
        <n v="2.6197490452809613"/>
        <n v="2.5291127312403909"/>
        <n v="2.5812875068194225"/>
        <n v="2.23949809056192"/>
        <n v="2.5684669939989093"/>
        <n v="2.0445618211575662"/>
        <n v="2.4238952536824883"/>
        <n v="2.5477359519912715"/>
        <n v="2.3469721767594112"/>
        <n v="1.520309477756286"/>
        <n v="1.462282398452611"/>
        <n v="1.1044487427466152"/>
        <n v="2.7109312777335304"/>
      </sharedItems>
      <fieldGroup base="8">
        <rangePr autoStart="0" autoEnd="0" startNum="1" endNum="3.5" groupInterval="0.5"/>
        <groupItems count="7">
          <s v="&lt;1 or (blank)"/>
          <s v="1-1.5"/>
          <s v="1.5-2"/>
          <s v="2-2.5"/>
          <s v="2.5-3"/>
          <s v="3-3.5"/>
          <s v="&gt;3.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Cache/pivotCacheRecords2.xml><?xml version="1.0" encoding="utf-8"?>
<pivotCacheRecords xmlns="http://schemas.openxmlformats.org/spreadsheetml/2006/main" xmlns:r="http://schemas.openxmlformats.org/officeDocument/2006/relationships" count="72">
  <r>
    <m/>
    <m/>
    <m/>
    <m/>
    <m/>
    <m/>
    <m/>
    <x v="0"/>
    <x v="0"/>
  </r>
  <r>
    <s v="DIU LE"/>
    <n v="3"/>
    <n v="3.1184012066365012"/>
    <n v="3"/>
    <n v="3.1568627450980395"/>
    <n v="3"/>
    <n v="3.1568627450980395"/>
    <x v="1"/>
    <x v="1"/>
  </r>
  <r>
    <s v="NGAN DO"/>
    <n v="3"/>
    <n v="3.0399698340874819"/>
    <n v="3"/>
    <n v="3.0527903469079947"/>
    <n v="3"/>
    <n v="3.0527903469079947"/>
    <x v="1"/>
    <x v="2"/>
  </r>
  <r>
    <s v="HANH TRINH"/>
    <n v="3"/>
    <n v="2.9018003273322432"/>
    <n v="3"/>
    <n v="2.9659028914348071"/>
    <n v="3"/>
    <n v="2.914620840152756"/>
    <x v="1"/>
    <x v="3"/>
  </r>
  <r>
    <s v="TRUONG DAO"/>
    <n v="3"/>
    <n v="2.9743589743589753"/>
    <n v="3"/>
    <n v="2.9743589743589753"/>
    <n v="3"/>
    <n v="2.9871794871794881"/>
    <x v="1"/>
    <x v="4"/>
  </r>
  <r>
    <s v="HUYEN GIAP"/>
    <n v="2"/>
    <n v="2.6966721222040384"/>
    <n v="3"/>
    <n v="2.9871794871794881"/>
    <n v="2"/>
    <n v="2.9871794871794881"/>
    <x v="1"/>
    <x v="4"/>
  </r>
  <r>
    <s v="ANH PHAN"/>
    <n v="2"/>
    <n v="2.7992362247681406"/>
    <n v="3"/>
    <n v="2.8633387888707049"/>
    <n v="3"/>
    <n v="2.8376977632296789"/>
    <x v="2"/>
    <x v="5"/>
  </r>
  <r>
    <s v="TRANG TRAN"/>
    <n v="3"/>
    <n v="2.9018003273322432"/>
    <n v="3"/>
    <n v="3.0000000000000009"/>
    <n v="3"/>
    <n v="2.9487179487179498"/>
    <x v="1"/>
    <x v="4"/>
  </r>
  <r>
    <s v="HANH DUONG"/>
    <n v="2"/>
    <n v="2.8444850935464214"/>
    <n v="3"/>
    <n v="2.9811463046757174"/>
    <n v="3"/>
    <n v="2.9042232277526407"/>
    <x v="2"/>
    <x v="6"/>
  </r>
  <r>
    <s v="LOC LE"/>
    <n v="2"/>
    <n v="2.6794871794871802"/>
    <n v="2"/>
    <n v="2.8333333333333344"/>
    <n v="2"/>
    <n v="2.717948717948719"/>
    <x v="2"/>
    <x v="7"/>
  </r>
  <r>
    <s v="CUONG TRUONG"/>
    <n v="2"/>
    <n v="2.8076923076923088"/>
    <n v="3"/>
    <n v="3.2888386123680244"/>
    <n v="3"/>
    <n v="3.1342383107088994"/>
    <x v="2"/>
    <x v="8"/>
  </r>
  <r>
    <s v="HUONG NGUYEN"/>
    <n v="2"/>
    <n v="2.722313147845064"/>
    <n v="3"/>
    <n v="2.8633387888707049"/>
    <n v="3"/>
    <n v="2.722313147845064"/>
    <x v="2"/>
    <x v="9"/>
  </r>
  <r>
    <s v="NA NGUYEN"/>
    <n v="2"/>
    <n v="2.7479541734860895"/>
    <n v="3"/>
    <n v="2.8889798145117305"/>
    <n v="3"/>
    <n v="2.8505182760501917"/>
    <x v="2"/>
    <x v="10"/>
  </r>
  <r>
    <s v="ANH DUONG"/>
    <n v="2"/>
    <n v="2.5684669939989098"/>
    <n v="2"/>
    <n v="2.6838516093835252"/>
    <n v="2"/>
    <n v="2.6453900709219869"/>
    <x v="2"/>
    <x v="11"/>
  </r>
  <r>
    <s v="TAM HOANG"/>
    <n v="2"/>
    <n v="2.7479541734860895"/>
    <n v="2"/>
    <n v="2.8717948717948727"/>
    <n v="2"/>
    <n v="2.7992362247681406"/>
    <x v="2"/>
    <x v="10"/>
  </r>
  <r>
    <s v="PHUONG PHAN"/>
    <n v="2"/>
    <n v="2.5941080196399358"/>
    <n v="2"/>
    <n v="2.8461538461538471"/>
    <n v="2"/>
    <n v="2.7692307692307705"/>
    <x v="2"/>
    <x v="12"/>
  </r>
  <r>
    <s v="THU NGUYEN"/>
    <n v="2"/>
    <n v="2.6538461538461546"/>
    <n v="2"/>
    <n v="2.8717948717948727"/>
    <n v="2"/>
    <n v="2.8589743589743599"/>
    <x v="2"/>
    <x v="13"/>
  </r>
  <r>
    <s v="PHUONG PHAM"/>
    <n v="2"/>
    <n v="2.5941080196399358"/>
    <n v="2"/>
    <n v="2.7564102564102573"/>
    <n v="2"/>
    <n v="2.7564102564102573"/>
    <x v="2"/>
    <x v="14"/>
  </r>
  <r>
    <s v="VI NGUYEN"/>
    <n v="2"/>
    <n v="2.5941080196399358"/>
    <n v="3"/>
    <n v="2.9871794871794881"/>
    <n v="3"/>
    <n v="2.7223131478450635"/>
    <x v="2"/>
    <x v="15"/>
  </r>
  <r>
    <s v="NGOC DANG"/>
    <n v="2"/>
    <n v="2.5941080196399358"/>
    <n v="2"/>
    <n v="2.7820512820512828"/>
    <n v="2"/>
    <n v="2.7094926350245507"/>
    <x v="2"/>
    <x v="16"/>
  </r>
  <r>
    <s v="HIEN QUACH"/>
    <n v="2"/>
    <n v="2.5684669939989102"/>
    <n v="2"/>
    <n v="2.7435897435897445"/>
    <n v="2"/>
    <n v="2.6838516093835252"/>
    <x v="2"/>
    <x v="17"/>
  </r>
  <r>
    <s v="HIEN BUI"/>
    <n v="2"/>
    <n v="2.5941080196399358"/>
    <n v="2"/>
    <n v="2.722313147845064"/>
    <n v="2"/>
    <n v="2.6197490452809613"/>
    <x v="2"/>
    <x v="18"/>
  </r>
  <r>
    <s v="DUNG PHAM"/>
    <n v="2"/>
    <n v="2.6966721222040384"/>
    <n v="2"/>
    <n v="2.7607746863066023"/>
    <n v="2"/>
    <n v="2.7607746863066023"/>
    <x v="2"/>
    <x v="19"/>
  </r>
  <r>
    <s v="DAN NGUYEN"/>
    <n v="2"/>
    <n v="2.576923076923078"/>
    <n v="2"/>
    <n v="2.7307692307692317"/>
    <n v="2"/>
    <n v="2.7435897435897445"/>
    <x v="2"/>
    <x v="20"/>
  </r>
  <r>
    <s v="DUYEN PHAM"/>
    <n v="2"/>
    <n v="2.4606457372414829"/>
    <n v="2"/>
    <n v="2.5503893269850724"/>
    <n v="2"/>
    <n v="2.4606457372414829"/>
    <x v="2"/>
    <x v="21"/>
  </r>
  <r>
    <s v="LAN NGUYEN"/>
    <n v="2"/>
    <n v="2.4146208401527551"/>
    <n v="2"/>
    <n v="2.5556464811783961"/>
    <n v="2"/>
    <n v="2.4915439170758322"/>
    <x v="2"/>
    <x v="22"/>
  </r>
  <r>
    <s v="HA NGUYEN"/>
    <n v="2"/>
    <n v="2.4146208401527565"/>
    <n v="2"/>
    <n v="2.6666666666666679"/>
    <n v="2"/>
    <n v="2.435897435897437"/>
    <x v="2"/>
    <x v="23"/>
  </r>
  <r>
    <s v="LY NGUYEN"/>
    <n v="2"/>
    <n v="2.5043644298963459"/>
    <n v="2"/>
    <n v="2.5256410256410269"/>
    <n v="2"/>
    <n v="2.5043644298963459"/>
    <x v="2"/>
    <x v="24"/>
  </r>
  <r>
    <s v="GIANG NGUYEN"/>
    <n v="2"/>
    <n v="2.337697763229678"/>
    <n v="2"/>
    <n v="2.358974358974359"/>
    <n v="2"/>
    <n v="2.337697763229678"/>
    <x v="2"/>
    <x v="25"/>
  </r>
  <r>
    <s v="LAM BUI"/>
    <n v="2"/>
    <n v="2.3717948717948718"/>
    <n v="2"/>
    <n v="2.9102564102564115"/>
    <n v="2"/>
    <n v="2.6025641025641026"/>
    <x v="2"/>
    <x v="26"/>
  </r>
  <r>
    <s v="THUY LANG"/>
    <n v="2"/>
    <n v="2.2351336606655758"/>
    <n v="2"/>
    <n v="2.6966721222040371"/>
    <n v="2"/>
    <n v="2.5941080196399349"/>
    <x v="2"/>
    <x v="27"/>
  </r>
  <r>
    <s v="DUY NGO"/>
    <n v="2"/>
    <n v="2.0384615384615383"/>
    <n v="2"/>
    <n v="2.5512820512820524"/>
    <n v="2"/>
    <n v="2.576923076923078"/>
    <x v="2"/>
    <x v="28"/>
  </r>
  <r>
    <s v="NGOC DAO"/>
    <n v="2"/>
    <n v="2.2094926350245512"/>
    <n v="2"/>
    <n v="2.2094926350245512"/>
    <n v="2"/>
    <n v="2.2094926350245512"/>
    <x v="2"/>
    <x v="29"/>
  </r>
  <r>
    <s v="NGAN BUI"/>
    <n v="2"/>
    <n v="1.9874522640480086"/>
    <n v="2"/>
    <n v="2.7479541734860895"/>
    <n v="2"/>
    <n v="2.4530823786142939"/>
    <x v="2"/>
    <x v="30"/>
  </r>
  <r>
    <s v="LINH NGUYEN"/>
    <n v="2"/>
    <n v="1.9787234042553192"/>
    <n v="2"/>
    <n v="2.358974358974359"/>
    <n v="2"/>
    <n v="2.2094926350245498"/>
    <x v="2"/>
    <x v="31"/>
  </r>
  <r>
    <s v="HUONG LUONG"/>
    <n v="2"/>
    <n v="1.8452611218568664"/>
    <n v="2"/>
    <n v="2.26833804493379"/>
    <n v="2"/>
    <n v="2.0760303526260975"/>
    <x v="2"/>
    <x v="32"/>
  </r>
  <r>
    <s v="QUYEN NGUYEN"/>
    <n v="2"/>
    <n v="2.9426847662141791"/>
    <n v="3"/>
    <n v="3.38"/>
    <n v="3"/>
    <n v="3.4909502262443439"/>
    <x v="1"/>
    <x v="33"/>
  </r>
  <r>
    <s v="OANH NGUYEN"/>
    <n v="3"/>
    <n v="2.935897435897437"/>
    <n v="3"/>
    <n v="2.9487179487179498"/>
    <n v="3"/>
    <n v="2.935897435897437"/>
    <x v="1"/>
    <x v="34"/>
  </r>
  <r>
    <s v="THUY LE"/>
    <n v="3"/>
    <n v="2.914620840152756"/>
    <n v="3"/>
    <n v="2.9402618657937816"/>
    <n v="3"/>
    <n v="2.9274413529732688"/>
    <x v="1"/>
    <x v="35"/>
  </r>
  <r>
    <s v="PHUC TRUONG"/>
    <n v="2"/>
    <n v="2.9358974358974366"/>
    <n v="3"/>
    <n v="2.9615384615384621"/>
    <n v="3"/>
    <n v="2.9487179487179493"/>
    <x v="2"/>
    <x v="36"/>
  </r>
  <r>
    <s v="TRANG LE"/>
    <n v="3"/>
    <n v="2.8761593016912177"/>
    <n v="3"/>
    <n v="2.8761593016912177"/>
    <n v="3"/>
    <n v="2.8761593016912177"/>
    <x v="1"/>
    <x v="37"/>
  </r>
  <r>
    <s v="THUY PHAM"/>
    <n v="3"/>
    <n v="2.9402618657937816"/>
    <n v="3"/>
    <n v="3.325631398222137"/>
    <n v="3"/>
    <n v="2.9530823786142943"/>
    <x v="1"/>
    <x v="3"/>
  </r>
  <r>
    <s v="PHONG NGUYEN"/>
    <n v="2"/>
    <n v="2.8076923076923084"/>
    <n v="3"/>
    <n v="3.2556561085972855"/>
    <n v="3"/>
    <n v="2.9841628959276019"/>
    <x v="2"/>
    <x v="38"/>
  </r>
  <r>
    <s v="ANH TO"/>
    <n v="2"/>
    <n v="2.5716659227297534"/>
    <n v="3"/>
    <n v="2.7767941278579586"/>
    <n v="3"/>
    <n v="2.7126915637553943"/>
    <x v="2"/>
    <x v="39"/>
  </r>
  <r>
    <s v="NHUNG HOANG"/>
    <n v="3"/>
    <n v="2.9018003273322432"/>
    <n v="3"/>
    <n v="2.9018003273322432"/>
    <n v="3"/>
    <n v="2.9018003273322432"/>
    <x v="1"/>
    <x v="40"/>
  </r>
  <r>
    <s v="CHINH TRAN"/>
    <n v="2"/>
    <n v="2.7307692307692317"/>
    <n v="3"/>
    <n v="2.9487179487179493"/>
    <n v="3"/>
    <n v="2.8333333333333344"/>
    <x v="2"/>
    <x v="13"/>
  </r>
  <r>
    <s v="TRANG1 TRAN"/>
    <n v="2"/>
    <n v="2.6838516093835252"/>
    <n v="3"/>
    <n v="2.9274413529732688"/>
    <n v="3"/>
    <n v="2.7351336606655767"/>
    <x v="2"/>
    <x v="41"/>
  </r>
  <r>
    <s v="HUE DO"/>
    <n v="2"/>
    <n v="2.5888508654466111"/>
    <n v="3"/>
    <n v="2.7555175321132777"/>
    <n v="3"/>
    <n v="2.652953429549175"/>
    <x v="2"/>
    <x v="42"/>
  </r>
  <r>
    <s v="HA TO"/>
    <n v="2"/>
    <n v="2.7223131478450635"/>
    <n v="2"/>
    <n v="2.8248772504091662"/>
    <n v="2"/>
    <n v="2.8120567375886529"/>
    <x v="2"/>
    <x v="10"/>
  </r>
  <r>
    <s v="LAN NGUYEN"/>
    <n v="2"/>
    <n v="2.7735951991271151"/>
    <n v="3"/>
    <n v="2.9615384615384626"/>
    <n v="2"/>
    <n v="2.4915439170758322"/>
    <x v="1"/>
    <x v="35"/>
  </r>
  <r>
    <s v="PHUONG NGUYEN"/>
    <n v="2"/>
    <n v="2.4693745970341721"/>
    <n v="2"/>
    <n v="2.4950156226751976"/>
    <n v="2"/>
    <n v="2.5078361354957104"/>
    <x v="2"/>
    <x v="43"/>
  </r>
  <r>
    <s v="BICH DO"/>
    <n v="2"/>
    <n v="2.4309130585726337"/>
    <n v="2"/>
    <n v="2.6060358081634685"/>
    <n v="2"/>
    <n v="2.5932152953429557"/>
    <x v="2"/>
    <x v="44"/>
  </r>
  <r>
    <s v="LAN HOANG"/>
    <n v="2"/>
    <n v="2.3933442444080746"/>
    <n v="2"/>
    <n v="2.5984724495362799"/>
    <n v="2"/>
    <n v="2.6112929623567926"/>
    <x v="2"/>
    <x v="45"/>
  </r>
  <r>
    <s v="NHUNG NGUYEN"/>
    <n v="1"/>
    <n v="2.521822149481725"/>
    <n v="2"/>
    <n v="2.8205128205128216"/>
    <n v="2"/>
    <n v="2.5474631751227506"/>
    <x v="3"/>
    <x v="46"/>
  </r>
  <r>
    <s v="NGUYET NGUYEN"/>
    <n v="2"/>
    <n v="2.5641025641025652"/>
    <n v="3"/>
    <n v="2.9487179487179498"/>
    <n v="3"/>
    <n v="2.6794871794871802"/>
    <x v="2"/>
    <x v="47"/>
  </r>
  <r>
    <s v="HIEN DINH"/>
    <n v="2"/>
    <n v="2.2351336606655754"/>
    <n v="2"/>
    <n v="2.8589743589743604"/>
    <n v="2"/>
    <n v="2.5769230769230775"/>
    <x v="2"/>
    <x v="48"/>
  </r>
  <r>
    <s v="TRANG NGUYEN"/>
    <n v="1"/>
    <n v="1.1000000000000001"/>
    <n v="2"/>
    <n v="2.910256410256411"/>
    <n v="2"/>
    <n v="2.6710310965630124"/>
    <x v="2"/>
    <x v="49"/>
  </r>
  <r>
    <s v="HANG VU"/>
    <n v="2"/>
    <n v="2.4530823786142948"/>
    <n v="2"/>
    <n v="2.7820512820512828"/>
    <n v="2"/>
    <n v="2.4915439170758331"/>
    <x v="2"/>
    <x v="50"/>
  </r>
  <r>
    <s v="THUY DANG"/>
    <n v="1"/>
    <n v="2.4448990725586484"/>
    <n v="2"/>
    <n v="2.8333333333333344"/>
    <n v="2"/>
    <n v="2.6453900709219869"/>
    <x v="2"/>
    <x v="16"/>
  </r>
  <r>
    <s v="TUNG TRAN"/>
    <n v="2"/>
    <n v="2.2727024748301341"/>
    <n v="2"/>
    <n v="2.5803947825224425"/>
    <n v="2"/>
    <n v="2.2727024748301341"/>
    <x v="2"/>
    <x v="51"/>
  </r>
  <r>
    <s v="CUONG TRAN"/>
    <n v="2"/>
    <n v="2.3889798145117305"/>
    <n v="2"/>
    <n v="2.7564102564102568"/>
    <n v="2"/>
    <n v="2.3889798145117305"/>
    <x v="2"/>
    <x v="52"/>
  </r>
  <r>
    <s v="THUY LE MIB"/>
    <n v="2"/>
    <n v="2.23949809056192"/>
    <n v="2"/>
    <n v="2.23949809056192"/>
    <n v="2"/>
    <n v="2.23949809056192"/>
    <x v="2"/>
    <x v="53"/>
  </r>
  <r>
    <s v="VINH NGUYEN"/>
    <n v="2"/>
    <n v="2.2992362247681402"/>
    <n v="2"/>
    <n v="2.2992362247681402"/>
    <n v="2"/>
    <n v="2.29"/>
    <x v="2"/>
    <x v="54"/>
  </r>
  <r>
    <s v="MEN THAN"/>
    <n v="2"/>
    <n v="1.9778306799583398"/>
    <n v="2"/>
    <n v="1.9991072757030206"/>
    <n v="2"/>
    <n v="1.9778306799583398"/>
    <x v="2"/>
    <x v="55"/>
  </r>
  <r>
    <s v="Y VU"/>
    <n v="1"/>
    <n v="1.7659574468085106"/>
    <n v="2"/>
    <n v="2.6625750136388442"/>
    <n v="2"/>
    <n v="2.0905619203491548"/>
    <x v="3"/>
    <x v="56"/>
  </r>
  <r>
    <s v="HUYEN NGUYEN"/>
    <n v="1"/>
    <n v="1.504835589941973"/>
    <n v="2"/>
    <n v="2.7607746863066023"/>
    <n v="2"/>
    <n v="2.132495164410058"/>
    <x v="3"/>
    <x v="57"/>
  </r>
  <r>
    <s v="PHUONG LE"/>
    <n v="1"/>
    <n v="1.6382978723404258"/>
    <n v="2"/>
    <n v="2.5471903982542292"/>
    <n v="2"/>
    <n v="1.6382978723404258"/>
    <x v="3"/>
    <x v="58"/>
  </r>
  <r>
    <s v="THANG VU"/>
    <n v="0"/>
    <n v="0.36363636363636365"/>
    <n v="1"/>
    <n v="1.7388781431334621"/>
    <n v="1"/>
    <n v="0.75241779497098638"/>
    <x v="4"/>
    <x v="59"/>
  </r>
  <r>
    <s v="ANH TRAN"/>
    <n v="0"/>
    <n v="0"/>
    <n v="1"/>
    <n v="1.5048355899419728"/>
    <n v="1"/>
    <n v="0.94003868471953589"/>
    <x v="3"/>
    <x v="60"/>
  </r>
  <r>
    <s v="HUYEN NGUYEN"/>
    <n v="0"/>
    <n v="0"/>
    <m/>
    <m/>
    <m/>
    <m/>
    <x v="4"/>
    <x v="61"/>
  </r>
  <r>
    <m/>
    <m/>
    <n v="2.4441914143673698"/>
    <m/>
    <m/>
    <m/>
    <n v="2.5961481653760607"/>
    <x v="0"/>
    <x v="62"/>
  </r>
  <r>
    <m/>
    <m/>
    <m/>
    <m/>
    <m/>
    <m/>
    <m/>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436">
      <pivotArea type="all" dataOnly="0" outline="0" fieldPosition="0"/>
    </format>
    <format dxfId="435">
      <pivotArea outline="0" collapsedLevelsAreSubtotals="1" fieldPosition="0"/>
    </format>
    <format dxfId="434">
      <pivotArea field="8" type="button" dataOnly="0" labelOnly="1" outline="0" axis="axisRow" fieldPosition="0"/>
    </format>
    <format dxfId="433">
      <pivotArea dataOnly="0" labelOnly="1" outline="0" axis="axisValues" fieldPosition="0"/>
    </format>
    <format dxfId="432">
      <pivotArea dataOnly="0" labelOnly="1" grandRow="1" outline="0" fieldPosition="0"/>
    </format>
    <format dxfId="431">
      <pivotArea outline="0" fieldPosition="0">
        <references count="1">
          <reference field="4294967294" count="1">
            <x v="1"/>
          </reference>
        </references>
      </pivotArea>
    </format>
    <format dxfId="430">
      <pivotArea outline="0" collapsedLevelsAreSubtotals="1" fieldPosition="0">
        <references count="1">
          <reference field="4294967294" count="1" selected="0">
            <x v="1"/>
          </reference>
        </references>
      </pivotArea>
    </format>
    <format dxfId="429">
      <pivotArea dataOnly="0" labelOnly="1" outline="0" fieldPosition="0">
        <references count="1">
          <reference field="4294967294" count="1">
            <x v="1"/>
          </reference>
        </references>
      </pivotArea>
    </format>
    <format dxfId="428">
      <pivotArea field="8" type="button" dataOnly="0" labelOnly="1" outline="0" axis="axisRow" fieldPosition="0"/>
    </format>
    <format dxfId="42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25:C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446">
      <pivotArea type="all" dataOnly="0" outline="0" fieldPosition="0"/>
    </format>
    <format dxfId="445">
      <pivotArea outline="0" collapsedLevelsAreSubtotals="1" fieldPosition="0"/>
    </format>
    <format dxfId="444">
      <pivotArea field="8" type="button" dataOnly="0" labelOnly="1" outline="0"/>
    </format>
    <format dxfId="443">
      <pivotArea dataOnly="0" labelOnly="1" outline="0" axis="axisValues" fieldPosition="0"/>
    </format>
    <format dxfId="442">
      <pivotArea dataOnly="0" labelOnly="1" grandRow="1" outline="0" fieldPosition="0"/>
    </format>
    <format dxfId="441">
      <pivotArea outline="0" fieldPosition="0">
        <references count="1">
          <reference field="4294967294" count="1">
            <x v="1"/>
          </reference>
        </references>
      </pivotArea>
    </format>
    <format dxfId="440">
      <pivotArea outline="0" collapsedLevelsAreSubtotals="1" fieldPosition="0">
        <references count="1">
          <reference field="4294967294" count="1" selected="0">
            <x v="1"/>
          </reference>
        </references>
      </pivotArea>
    </format>
    <format dxfId="439">
      <pivotArea dataOnly="0" labelOnly="1" outline="0" fieldPosition="0">
        <references count="1">
          <reference field="4294967294" count="1">
            <x v="1"/>
          </reference>
        </references>
      </pivotArea>
    </format>
    <format dxfId="438">
      <pivotArea field="8" type="button" dataOnly="0" labelOnly="1" outline="0"/>
    </format>
    <format dxfId="43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25:M30" firstHeaderRow="0" firstDataRow="1" firstDataCol="1"/>
  <pivotFields count="9">
    <pivotField dataField="1" showAll="0"/>
    <pivotField showAll="0"/>
    <pivotField showAll="0"/>
    <pivotField showAll="0"/>
    <pivotField showAll="0"/>
    <pivotField showAll="0"/>
    <pivotField showAll="0"/>
    <pivotField axis="axisRow" showAll="0">
      <items count="6">
        <item x="4"/>
        <item x="3"/>
        <item x="2"/>
        <item x="1"/>
        <item h="1" x="0"/>
        <item t="default"/>
      </items>
    </pivotField>
    <pivotField showAll="0">
      <items count="8">
        <item x="0"/>
        <item x="1"/>
        <item x="2"/>
        <item x="3"/>
        <item x="4"/>
        <item x="5"/>
        <item x="6"/>
        <item t="default"/>
      </items>
    </pivotField>
  </pivotFields>
  <rowFields count="1">
    <field x="7"/>
  </rowFields>
  <rowItems count="5">
    <i>
      <x/>
    </i>
    <i>
      <x v="1"/>
    </i>
    <i>
      <x v="2"/>
    </i>
    <i>
      <x v="3"/>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456">
      <pivotArea type="all" dataOnly="0" outline="0" fieldPosition="0"/>
    </format>
    <format dxfId="455">
      <pivotArea outline="0" collapsedLevelsAreSubtotals="1" fieldPosition="0"/>
    </format>
    <format dxfId="454">
      <pivotArea field="8" type="button" dataOnly="0" labelOnly="1" outline="0"/>
    </format>
    <format dxfId="453">
      <pivotArea dataOnly="0" labelOnly="1" outline="0" axis="axisValues" fieldPosition="0"/>
    </format>
    <format dxfId="452">
      <pivotArea dataOnly="0" labelOnly="1" grandRow="1" outline="0" fieldPosition="0"/>
    </format>
    <format dxfId="451">
      <pivotArea outline="0" fieldPosition="0">
        <references count="1">
          <reference field="4294967294" count="1">
            <x v="1"/>
          </reference>
        </references>
      </pivotArea>
    </format>
    <format dxfId="450">
      <pivotArea outline="0" collapsedLevelsAreSubtotals="1" fieldPosition="0">
        <references count="1">
          <reference field="4294967294" count="1" selected="0">
            <x v="1"/>
          </reference>
        </references>
      </pivotArea>
    </format>
    <format dxfId="449">
      <pivotArea dataOnly="0" labelOnly="1" outline="0" fieldPosition="0">
        <references count="1">
          <reference field="4294967294" count="1">
            <x v="1"/>
          </reference>
        </references>
      </pivotArea>
    </format>
    <format dxfId="448">
      <pivotArea field="8" type="button" dataOnly="0" labelOnly="1" outline="0"/>
    </format>
    <format dxfId="44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3:M10" firstHeaderRow="0" firstDataRow="1" firstDataCol="1"/>
  <pivotFields count="9">
    <pivotField dataField="1" showAll="0"/>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s>
  <rowFields count="1">
    <field x="8"/>
  </rowFields>
  <rowItems count="7">
    <i>
      <x/>
    </i>
    <i>
      <x v="1"/>
    </i>
    <i>
      <x v="2"/>
    </i>
    <i>
      <x v="3"/>
    </i>
    <i>
      <x v="4"/>
    </i>
    <i>
      <x v="5"/>
    </i>
    <i t="grand">
      <x/>
    </i>
  </rowItems>
  <colFields count="1">
    <field x="-2"/>
  </colFields>
  <colItems count="2">
    <i>
      <x/>
    </i>
    <i i="1">
      <x v="1"/>
    </i>
  </colItems>
  <dataFields count="2">
    <dataField name="No. Member" fld="0" subtotal="count" baseField="8" baseItem="0"/>
    <dataField name="%" fld="0" subtotal="count" showDataAs="percentOfTotal" baseField="8" baseItem="0" numFmtId="165"/>
  </dataFields>
  <formats count="10">
    <format dxfId="466">
      <pivotArea type="all" dataOnly="0" outline="0" fieldPosition="0"/>
    </format>
    <format dxfId="465">
      <pivotArea outline="0" collapsedLevelsAreSubtotals="1" fieldPosition="0"/>
    </format>
    <format dxfId="464">
      <pivotArea field="8" type="button" dataOnly="0" labelOnly="1" outline="0" axis="axisRow" fieldPosition="0"/>
    </format>
    <format dxfId="463">
      <pivotArea dataOnly="0" labelOnly="1" outline="0" axis="axisValues" fieldPosition="0"/>
    </format>
    <format dxfId="462">
      <pivotArea dataOnly="0" labelOnly="1" grandRow="1" outline="0" fieldPosition="0"/>
    </format>
    <format dxfId="461">
      <pivotArea outline="0" fieldPosition="0">
        <references count="1">
          <reference field="4294967294" count="1">
            <x v="1"/>
          </reference>
        </references>
      </pivotArea>
    </format>
    <format dxfId="460">
      <pivotArea outline="0" collapsedLevelsAreSubtotals="1" fieldPosition="0">
        <references count="1">
          <reference field="4294967294" count="1" selected="0">
            <x v="1"/>
          </reference>
        </references>
      </pivotArea>
    </format>
    <format dxfId="459">
      <pivotArea dataOnly="0" labelOnly="1" outline="0" fieldPosition="0">
        <references count="1">
          <reference field="4294967294" count="1">
            <x v="1"/>
          </reference>
        </references>
      </pivotArea>
    </format>
    <format dxfId="458">
      <pivotArea field="8" type="button" dataOnly="0" labelOnly="1" outline="0" axis="axisRow" fieldPosition="0"/>
    </format>
    <format dxfId="45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4.bin"/><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rinterSettings" Target="../printerSettings/printerSettings1.bin"/><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5.bin"/></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2.xml"/><Relationship Id="rId18" Type="http://schemas.openxmlformats.org/officeDocument/2006/relationships/image" Target="../media/image4.emf"/><Relationship Id="rId26" Type="http://schemas.openxmlformats.org/officeDocument/2006/relationships/image" Target="../media/image8.emf"/><Relationship Id="rId21" Type="http://schemas.openxmlformats.org/officeDocument/2006/relationships/control" Target="../activeX/activeX6.xml"/><Relationship Id="rId34" Type="http://schemas.openxmlformats.org/officeDocument/2006/relationships/image" Target="../media/image12.emf"/><Relationship Id="rId7" Type="http://schemas.openxmlformats.org/officeDocument/2006/relationships/printerSettings" Target="../printerSettings/printerSettings12.bin"/><Relationship Id="rId12" Type="http://schemas.openxmlformats.org/officeDocument/2006/relationships/image" Target="../media/image1.emf"/><Relationship Id="rId17" Type="http://schemas.openxmlformats.org/officeDocument/2006/relationships/control" Target="../activeX/activeX4.xml"/><Relationship Id="rId25" Type="http://schemas.openxmlformats.org/officeDocument/2006/relationships/control" Target="../activeX/activeX8.xml"/><Relationship Id="rId33" Type="http://schemas.openxmlformats.org/officeDocument/2006/relationships/control" Target="../activeX/activeX12.xml"/><Relationship Id="rId38" Type="http://schemas.openxmlformats.org/officeDocument/2006/relationships/comments" Target="../comments1.xml"/><Relationship Id="rId2" Type="http://schemas.openxmlformats.org/officeDocument/2006/relationships/printerSettings" Target="../printerSettings/printerSettings7.bin"/><Relationship Id="rId16" Type="http://schemas.openxmlformats.org/officeDocument/2006/relationships/image" Target="../media/image3.emf"/><Relationship Id="rId20" Type="http://schemas.openxmlformats.org/officeDocument/2006/relationships/image" Target="../media/image5.emf"/><Relationship Id="rId29" Type="http://schemas.openxmlformats.org/officeDocument/2006/relationships/control" Target="../activeX/activeX10.xml"/><Relationship Id="rId1" Type="http://schemas.openxmlformats.org/officeDocument/2006/relationships/printerSettings" Target="../printerSettings/printerSettings6.bin"/><Relationship Id="rId6" Type="http://schemas.openxmlformats.org/officeDocument/2006/relationships/printerSettings" Target="../printerSettings/printerSettings11.bin"/><Relationship Id="rId11" Type="http://schemas.openxmlformats.org/officeDocument/2006/relationships/control" Target="../activeX/activeX1.xml"/><Relationship Id="rId24" Type="http://schemas.openxmlformats.org/officeDocument/2006/relationships/image" Target="../media/image7.emf"/><Relationship Id="rId32" Type="http://schemas.openxmlformats.org/officeDocument/2006/relationships/image" Target="../media/image11.emf"/><Relationship Id="rId37" Type="http://schemas.openxmlformats.org/officeDocument/2006/relationships/ctrlProp" Target="../ctrlProps/ctrlProp3.xml"/><Relationship Id="rId5" Type="http://schemas.openxmlformats.org/officeDocument/2006/relationships/printerSettings" Target="../printerSettings/printerSettings10.bin"/><Relationship Id="rId15" Type="http://schemas.openxmlformats.org/officeDocument/2006/relationships/control" Target="../activeX/activeX3.xml"/><Relationship Id="rId23" Type="http://schemas.openxmlformats.org/officeDocument/2006/relationships/control" Target="../activeX/activeX7.xml"/><Relationship Id="rId28" Type="http://schemas.openxmlformats.org/officeDocument/2006/relationships/image" Target="../media/image9.emf"/><Relationship Id="rId36" Type="http://schemas.openxmlformats.org/officeDocument/2006/relationships/ctrlProp" Target="../ctrlProps/ctrlProp2.xml"/><Relationship Id="rId10" Type="http://schemas.openxmlformats.org/officeDocument/2006/relationships/vmlDrawing" Target="../drawings/vmlDrawing1.vml"/><Relationship Id="rId19" Type="http://schemas.openxmlformats.org/officeDocument/2006/relationships/control" Target="../activeX/activeX5.xml"/><Relationship Id="rId31" Type="http://schemas.openxmlformats.org/officeDocument/2006/relationships/control" Target="../activeX/activeX11.xml"/><Relationship Id="rId4" Type="http://schemas.openxmlformats.org/officeDocument/2006/relationships/printerSettings" Target="../printerSettings/printerSettings9.bin"/><Relationship Id="rId9" Type="http://schemas.openxmlformats.org/officeDocument/2006/relationships/drawing" Target="../drawings/drawing2.xml"/><Relationship Id="rId14" Type="http://schemas.openxmlformats.org/officeDocument/2006/relationships/image" Target="../media/image2.emf"/><Relationship Id="rId22" Type="http://schemas.openxmlformats.org/officeDocument/2006/relationships/image" Target="../media/image6.emf"/><Relationship Id="rId27" Type="http://schemas.openxmlformats.org/officeDocument/2006/relationships/control" Target="../activeX/activeX9.xml"/><Relationship Id="rId30" Type="http://schemas.openxmlformats.org/officeDocument/2006/relationships/image" Target="../media/image10.emf"/><Relationship Id="rId35" Type="http://schemas.openxmlformats.org/officeDocument/2006/relationships/ctrlProp" Target="../ctrlProps/ctrlProp1.xml"/><Relationship Id="rId8" Type="http://schemas.openxmlformats.org/officeDocument/2006/relationships/printerSettings" Target="../printerSettings/printerSettings13.bin"/><Relationship Id="rId3"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printerSettings" Target="../printerSettings/printerSettings16.bin"/><Relationship Id="rId7" Type="http://schemas.openxmlformats.org/officeDocument/2006/relationships/vmlDrawing" Target="../drawings/vmlDrawing2.vml"/><Relationship Id="rId12" Type="http://schemas.openxmlformats.org/officeDocument/2006/relationships/control" Target="../activeX/activeX15.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drawing" Target="../drawings/drawing3.xml"/><Relationship Id="rId11" Type="http://schemas.openxmlformats.org/officeDocument/2006/relationships/image" Target="../media/image14.emf"/><Relationship Id="rId5" Type="http://schemas.openxmlformats.org/officeDocument/2006/relationships/printerSettings" Target="../printerSettings/printerSettings18.bin"/><Relationship Id="rId10" Type="http://schemas.openxmlformats.org/officeDocument/2006/relationships/control" Target="../activeX/activeX14.xml"/><Relationship Id="rId4" Type="http://schemas.openxmlformats.org/officeDocument/2006/relationships/printerSettings" Target="../printerSettings/printerSettings17.bin"/><Relationship Id="rId9" Type="http://schemas.openxmlformats.org/officeDocument/2006/relationships/image" Target="../media/image13.emf"/><Relationship Id="rId1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6.bin"/><Relationship Id="rId3" Type="http://schemas.openxmlformats.org/officeDocument/2006/relationships/printerSettings" Target="../printerSettings/printerSettings21.bin"/><Relationship Id="rId7" Type="http://schemas.openxmlformats.org/officeDocument/2006/relationships/printerSettings" Target="../printerSettings/printerSettings25.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34.bin"/><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10" Type="http://schemas.openxmlformats.org/officeDocument/2006/relationships/comments" Target="../comments3.xml"/><Relationship Id="rId4" Type="http://schemas.openxmlformats.org/officeDocument/2006/relationships/printerSettings" Target="../printerSettings/printerSettings30.bin"/><Relationship Id="rId9"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3" Type="http://schemas.openxmlformats.org/officeDocument/2006/relationships/hyperlink" Target="http://collab.lge.com/main/x/laxqLg" TargetMode="External"/><Relationship Id="rId18" Type="http://schemas.openxmlformats.org/officeDocument/2006/relationships/hyperlink" Target="http://collab.lge.com/main/x/JIVXLQ" TargetMode="External"/><Relationship Id="rId26" Type="http://schemas.openxmlformats.org/officeDocument/2006/relationships/control" Target="../activeX/activeX16.xml"/><Relationship Id="rId3" Type="http://schemas.openxmlformats.org/officeDocument/2006/relationships/printerSettings" Target="../printerSettings/printerSettings37.bin"/><Relationship Id="rId21" Type="http://schemas.openxmlformats.org/officeDocument/2006/relationships/hyperlink" Target="http://collab.lge.com/main/x/rtuHLw" TargetMode="External"/><Relationship Id="rId34" Type="http://schemas.openxmlformats.org/officeDocument/2006/relationships/comments" Target="../comments4.xml"/><Relationship Id="rId7" Type="http://schemas.openxmlformats.org/officeDocument/2006/relationships/hyperlink" Target="http://collab.lge.com/main/x/_dSyMw" TargetMode="External"/><Relationship Id="rId12" Type="http://schemas.openxmlformats.org/officeDocument/2006/relationships/hyperlink" Target="http://collab.lge.com/main/x/-3wrLQ" TargetMode="External"/><Relationship Id="rId17" Type="http://schemas.openxmlformats.org/officeDocument/2006/relationships/hyperlink" Target="http://collab.lge.com/main/x/1NuHLw" TargetMode="External"/><Relationship Id="rId25" Type="http://schemas.openxmlformats.org/officeDocument/2006/relationships/vmlDrawing" Target="../drawings/vmlDrawing4.vml"/><Relationship Id="rId33" Type="http://schemas.openxmlformats.org/officeDocument/2006/relationships/image" Target="../media/image19.emf"/><Relationship Id="rId2" Type="http://schemas.openxmlformats.org/officeDocument/2006/relationships/printerSettings" Target="../printerSettings/printerSettings36.bin"/><Relationship Id="rId16" Type="http://schemas.openxmlformats.org/officeDocument/2006/relationships/hyperlink" Target="http://collab.lge.com/main/x/ztuHLw" TargetMode="External"/><Relationship Id="rId20" Type="http://schemas.openxmlformats.org/officeDocument/2006/relationships/hyperlink" Target="http://collab.lge.com/main/display/IVIDCV/How+to+write+TCs+effectively" TargetMode="External"/><Relationship Id="rId29" Type="http://schemas.openxmlformats.org/officeDocument/2006/relationships/image" Target="../media/image17.emf"/><Relationship Id="rId1" Type="http://schemas.openxmlformats.org/officeDocument/2006/relationships/printerSettings" Target="../printerSettings/printerSettings35.bin"/><Relationship Id="rId6" Type="http://schemas.openxmlformats.org/officeDocument/2006/relationships/hyperlink" Target="http://collab.lge.com/main/x/AocBNg" TargetMode="External"/><Relationship Id="rId11" Type="http://schemas.openxmlformats.org/officeDocument/2006/relationships/hyperlink" Target="http://collab.lge.com/main/x/5d1qLg" TargetMode="External"/><Relationship Id="rId24" Type="http://schemas.openxmlformats.org/officeDocument/2006/relationships/drawing" Target="../drawings/drawing4.xml"/><Relationship Id="rId32" Type="http://schemas.openxmlformats.org/officeDocument/2006/relationships/control" Target="../activeX/activeX19.xml"/><Relationship Id="rId5" Type="http://schemas.openxmlformats.org/officeDocument/2006/relationships/hyperlink" Target="http://collab.lge.com/main/x/gOGHLw" TargetMode="External"/><Relationship Id="rId15" Type="http://schemas.openxmlformats.org/officeDocument/2006/relationships/hyperlink" Target="http://collab.lge.com/main/x/j9smN" TargetMode="External"/><Relationship Id="rId23" Type="http://schemas.openxmlformats.org/officeDocument/2006/relationships/printerSettings" Target="../printerSettings/printerSettings39.bin"/><Relationship Id="rId28" Type="http://schemas.openxmlformats.org/officeDocument/2006/relationships/control" Target="../activeX/activeX17.xml"/><Relationship Id="rId10" Type="http://schemas.openxmlformats.org/officeDocument/2006/relationships/hyperlink" Target="http://collab.lge.com/main/x/_dSyMw" TargetMode="External"/><Relationship Id="rId19" Type="http://schemas.openxmlformats.org/officeDocument/2006/relationships/hyperlink" Target="http://collab.lge.com/main/display/IVIDCV/Personal+report+skill" TargetMode="External"/><Relationship Id="rId31" Type="http://schemas.openxmlformats.org/officeDocument/2006/relationships/image" Target="../media/image18.emf"/><Relationship Id="rId4" Type="http://schemas.openxmlformats.org/officeDocument/2006/relationships/printerSettings" Target="../printerSettings/printerSettings38.bin"/><Relationship Id="rId9" Type="http://schemas.openxmlformats.org/officeDocument/2006/relationships/hyperlink" Target="http://collab.lge.com/main/x/P1LdJw" TargetMode="External"/><Relationship Id="rId14" Type="http://schemas.openxmlformats.org/officeDocument/2006/relationships/hyperlink" Target="http://collab.lge.com/main/x/1bmXLw" TargetMode="External"/><Relationship Id="rId22" Type="http://schemas.openxmlformats.org/officeDocument/2006/relationships/hyperlink" Target="http://collab.lge.com/main/x/1NuHLw" TargetMode="External"/><Relationship Id="rId27" Type="http://schemas.openxmlformats.org/officeDocument/2006/relationships/image" Target="../media/image16.emf"/><Relationship Id="rId30" Type="http://schemas.openxmlformats.org/officeDocument/2006/relationships/control" Target="../activeX/activeX18.xml"/><Relationship Id="rId8" Type="http://schemas.openxmlformats.org/officeDocument/2006/relationships/hyperlink" Target="http://collab.lge.com/main/x/_96HLw" TargetMode="Externa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47.bin"/><Relationship Id="rId13" Type="http://schemas.openxmlformats.org/officeDocument/2006/relationships/control" Target="../activeX/activeX21.xml"/><Relationship Id="rId3" Type="http://schemas.openxmlformats.org/officeDocument/2006/relationships/printerSettings" Target="../printerSettings/printerSettings42.bin"/><Relationship Id="rId7" Type="http://schemas.openxmlformats.org/officeDocument/2006/relationships/printerSettings" Target="../printerSettings/printerSettings46.bin"/><Relationship Id="rId12" Type="http://schemas.openxmlformats.org/officeDocument/2006/relationships/image" Target="../media/image20.emf"/><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 Id="rId6" Type="http://schemas.openxmlformats.org/officeDocument/2006/relationships/printerSettings" Target="../printerSettings/printerSettings45.bin"/><Relationship Id="rId11" Type="http://schemas.openxmlformats.org/officeDocument/2006/relationships/control" Target="../activeX/activeX20.xml"/><Relationship Id="rId5" Type="http://schemas.openxmlformats.org/officeDocument/2006/relationships/printerSettings" Target="../printerSettings/printerSettings44.bin"/><Relationship Id="rId15" Type="http://schemas.openxmlformats.org/officeDocument/2006/relationships/comments" Target="../comments5.xml"/><Relationship Id="rId10" Type="http://schemas.openxmlformats.org/officeDocument/2006/relationships/vmlDrawing" Target="../drawings/vmlDrawing5.vml"/><Relationship Id="rId4" Type="http://schemas.openxmlformats.org/officeDocument/2006/relationships/printerSettings" Target="../printerSettings/printerSettings43.bin"/><Relationship Id="rId9" Type="http://schemas.openxmlformats.org/officeDocument/2006/relationships/drawing" Target="../drawings/drawing5.xml"/><Relationship Id="rId14" Type="http://schemas.openxmlformats.org/officeDocument/2006/relationships/image" Target="../media/image21.emf"/></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50.bin"/><Relationship Id="rId7" Type="http://schemas.openxmlformats.org/officeDocument/2006/relationships/comments" Target="../comments6.xml"/><Relationship Id="rId2" Type="http://schemas.openxmlformats.org/officeDocument/2006/relationships/printerSettings" Target="../printerSettings/printerSettings49.bin"/><Relationship Id="rId1" Type="http://schemas.openxmlformats.org/officeDocument/2006/relationships/printerSettings" Target="../printerSettings/printerSettings48.bin"/><Relationship Id="rId6" Type="http://schemas.openxmlformats.org/officeDocument/2006/relationships/vmlDrawing" Target="../drawings/vmlDrawing6.vml"/><Relationship Id="rId5" Type="http://schemas.openxmlformats.org/officeDocument/2006/relationships/drawing" Target="../drawings/drawing6.xml"/><Relationship Id="rId4" Type="http://schemas.openxmlformats.org/officeDocument/2006/relationships/printerSettings" Target="../printerSettings/printerSettings5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4.bin"/><Relationship Id="rId7" Type="http://schemas.openxmlformats.org/officeDocument/2006/relationships/comments" Target="../comments7.xml"/><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55.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58.bin"/><Relationship Id="rId7" Type="http://schemas.openxmlformats.org/officeDocument/2006/relationships/comments" Target="../comments8.xml"/><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59.bin"/></Relationships>
</file>

<file path=xl/worksheets/_rels/sheet11.x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printerSettings" Target="../printerSettings/printerSettings62.bin"/><Relationship Id="rId7" Type="http://schemas.openxmlformats.org/officeDocument/2006/relationships/control" Target="../activeX/activeX22.xml"/><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printerSettings" Target="../printerSettings/printerSettings63.bin"/><Relationship Id="rId9"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66.bin"/><Relationship Id="rId7" Type="http://schemas.openxmlformats.org/officeDocument/2006/relationships/comments" Target="../comments10.xml"/><Relationship Id="rId2" Type="http://schemas.openxmlformats.org/officeDocument/2006/relationships/printerSettings" Target="../printerSettings/printerSettings65.bin"/><Relationship Id="rId1" Type="http://schemas.openxmlformats.org/officeDocument/2006/relationships/printerSettings" Target="../printerSettings/printerSettings64.bin"/><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67.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70.bin"/><Relationship Id="rId7" Type="http://schemas.openxmlformats.org/officeDocument/2006/relationships/comments" Target="../comments11.xml"/><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 Id="rId6" Type="http://schemas.openxmlformats.org/officeDocument/2006/relationships/vmlDrawing" Target="../drawings/vmlDrawing11.vml"/><Relationship Id="rId5" Type="http://schemas.openxmlformats.org/officeDocument/2006/relationships/drawing" Target="../drawings/drawing11.xml"/><Relationship Id="rId4" Type="http://schemas.openxmlformats.org/officeDocument/2006/relationships/printerSettings" Target="../printerSettings/printerSettings71.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79.bin"/><Relationship Id="rId3" Type="http://schemas.openxmlformats.org/officeDocument/2006/relationships/printerSettings" Target="../printerSettings/printerSettings74.bin"/><Relationship Id="rId7" Type="http://schemas.openxmlformats.org/officeDocument/2006/relationships/printerSettings" Target="../printerSettings/printerSettings78.bin"/><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 Id="rId6" Type="http://schemas.openxmlformats.org/officeDocument/2006/relationships/printerSettings" Target="../printerSettings/printerSettings77.bin"/><Relationship Id="rId11" Type="http://schemas.openxmlformats.org/officeDocument/2006/relationships/comments" Target="../comments12.xml"/><Relationship Id="rId5" Type="http://schemas.openxmlformats.org/officeDocument/2006/relationships/printerSettings" Target="../printerSettings/printerSettings76.bin"/><Relationship Id="rId10" Type="http://schemas.openxmlformats.org/officeDocument/2006/relationships/vmlDrawing" Target="../drawings/vmlDrawing12.vml"/><Relationship Id="rId4" Type="http://schemas.openxmlformats.org/officeDocument/2006/relationships/printerSettings" Target="../printerSettings/printerSettings75.bin"/><Relationship Id="rId9"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87.bin"/><Relationship Id="rId13" Type="http://schemas.openxmlformats.org/officeDocument/2006/relationships/control" Target="../activeX/activeX24.xml"/><Relationship Id="rId3" Type="http://schemas.openxmlformats.org/officeDocument/2006/relationships/printerSettings" Target="../printerSettings/printerSettings82.bin"/><Relationship Id="rId7" Type="http://schemas.openxmlformats.org/officeDocument/2006/relationships/printerSettings" Target="../printerSettings/printerSettings86.bin"/><Relationship Id="rId12" Type="http://schemas.openxmlformats.org/officeDocument/2006/relationships/image" Target="../media/image23.emf"/><Relationship Id="rId2" Type="http://schemas.openxmlformats.org/officeDocument/2006/relationships/printerSettings" Target="../printerSettings/printerSettings81.bin"/><Relationship Id="rId1" Type="http://schemas.openxmlformats.org/officeDocument/2006/relationships/printerSettings" Target="../printerSettings/printerSettings80.bin"/><Relationship Id="rId6" Type="http://schemas.openxmlformats.org/officeDocument/2006/relationships/printerSettings" Target="../printerSettings/printerSettings85.bin"/><Relationship Id="rId11" Type="http://schemas.openxmlformats.org/officeDocument/2006/relationships/control" Target="../activeX/activeX23.xml"/><Relationship Id="rId5" Type="http://schemas.openxmlformats.org/officeDocument/2006/relationships/printerSettings" Target="../printerSettings/printerSettings84.bin"/><Relationship Id="rId15" Type="http://schemas.openxmlformats.org/officeDocument/2006/relationships/comments" Target="../comments13.xml"/><Relationship Id="rId10" Type="http://schemas.openxmlformats.org/officeDocument/2006/relationships/vmlDrawing" Target="../drawings/vmlDrawing13.vml"/><Relationship Id="rId4" Type="http://schemas.openxmlformats.org/officeDocument/2006/relationships/printerSettings" Target="../printerSettings/printerSettings83.bin"/><Relationship Id="rId9" Type="http://schemas.openxmlformats.org/officeDocument/2006/relationships/drawing" Target="../drawings/drawing13.xml"/><Relationship Id="rId14" Type="http://schemas.openxmlformats.org/officeDocument/2006/relationships/image" Target="../media/image24.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88.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91.bin"/><Relationship Id="rId7" Type="http://schemas.openxmlformats.org/officeDocument/2006/relationships/comments" Target="../comments15.xml"/><Relationship Id="rId2" Type="http://schemas.openxmlformats.org/officeDocument/2006/relationships/printerSettings" Target="../printerSettings/printerSettings90.bin"/><Relationship Id="rId1" Type="http://schemas.openxmlformats.org/officeDocument/2006/relationships/printerSettings" Target="../printerSettings/printerSettings89.bin"/><Relationship Id="rId6" Type="http://schemas.openxmlformats.org/officeDocument/2006/relationships/vmlDrawing" Target="../drawings/vmlDrawing15.vml"/><Relationship Id="rId5" Type="http://schemas.openxmlformats.org/officeDocument/2006/relationships/drawing" Target="../drawings/drawing15.xml"/><Relationship Id="rId4" Type="http://schemas.openxmlformats.org/officeDocument/2006/relationships/printerSettings" Target="../printerSettings/printerSettings9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95.bin"/><Relationship Id="rId7" Type="http://schemas.openxmlformats.org/officeDocument/2006/relationships/comments" Target="../comments16.xml"/><Relationship Id="rId2" Type="http://schemas.openxmlformats.org/officeDocument/2006/relationships/printerSettings" Target="../printerSettings/printerSettings94.bin"/><Relationship Id="rId1" Type="http://schemas.openxmlformats.org/officeDocument/2006/relationships/printerSettings" Target="../printerSettings/printerSettings93.bin"/><Relationship Id="rId6" Type="http://schemas.openxmlformats.org/officeDocument/2006/relationships/vmlDrawing" Target="../drawings/vmlDrawing16.vml"/><Relationship Id="rId5" Type="http://schemas.openxmlformats.org/officeDocument/2006/relationships/drawing" Target="../drawings/drawing16.xml"/><Relationship Id="rId4" Type="http://schemas.openxmlformats.org/officeDocument/2006/relationships/printerSettings" Target="../printerSettings/printerSettings96.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99.bin"/><Relationship Id="rId7" Type="http://schemas.openxmlformats.org/officeDocument/2006/relationships/comments" Target="../comments17.xml"/><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vmlDrawing" Target="../drawings/vmlDrawing17.vml"/><Relationship Id="rId5" Type="http://schemas.openxmlformats.org/officeDocument/2006/relationships/drawing" Target="../drawings/drawing17.xml"/><Relationship Id="rId4" Type="http://schemas.openxmlformats.org/officeDocument/2006/relationships/printerSettings" Target="../printerSettings/printerSettings100.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03.bin"/><Relationship Id="rId7" Type="http://schemas.openxmlformats.org/officeDocument/2006/relationships/comments" Target="../comments18.xml"/><Relationship Id="rId2" Type="http://schemas.openxmlformats.org/officeDocument/2006/relationships/printerSettings" Target="../printerSettings/printerSettings102.bin"/><Relationship Id="rId1" Type="http://schemas.openxmlformats.org/officeDocument/2006/relationships/printerSettings" Target="../printerSettings/printerSettings101.bin"/><Relationship Id="rId6" Type="http://schemas.openxmlformats.org/officeDocument/2006/relationships/vmlDrawing" Target="../drawings/vmlDrawing18.vml"/><Relationship Id="rId5" Type="http://schemas.openxmlformats.org/officeDocument/2006/relationships/drawing" Target="../drawings/drawing18.xml"/><Relationship Id="rId4" Type="http://schemas.openxmlformats.org/officeDocument/2006/relationships/printerSettings" Target="../printerSettings/printerSettings104.bin"/></Relationships>
</file>

<file path=xl/worksheets/_rels/sheet21.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printerSettings" Target="../printerSettings/printerSettings107.bin"/><Relationship Id="rId7" Type="http://schemas.openxmlformats.org/officeDocument/2006/relationships/control" Target="../activeX/activeX25.xml"/><Relationship Id="rId2" Type="http://schemas.openxmlformats.org/officeDocument/2006/relationships/printerSettings" Target="../printerSettings/printerSettings106.bin"/><Relationship Id="rId1" Type="http://schemas.openxmlformats.org/officeDocument/2006/relationships/printerSettings" Target="../printerSettings/printerSettings105.bin"/><Relationship Id="rId6" Type="http://schemas.openxmlformats.org/officeDocument/2006/relationships/vmlDrawing" Target="../drawings/vmlDrawing19.vml"/><Relationship Id="rId5" Type="http://schemas.openxmlformats.org/officeDocument/2006/relationships/drawing" Target="../drawings/drawing19.xml"/><Relationship Id="rId4" Type="http://schemas.openxmlformats.org/officeDocument/2006/relationships/printerSettings" Target="../printerSettings/printerSettings108.bin"/><Relationship Id="rId9" Type="http://schemas.openxmlformats.org/officeDocument/2006/relationships/comments" Target="../comments1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09.bin"/><Relationship Id="rId4" Type="http://schemas.openxmlformats.org/officeDocument/2006/relationships/comments" Target="../comments20.xml"/></Relationships>
</file>

<file path=xl/worksheets/_rels/sheet23.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printerSettings" Target="../printerSettings/printerSettings112.bin"/><Relationship Id="rId7" Type="http://schemas.openxmlformats.org/officeDocument/2006/relationships/control" Target="../activeX/activeX26.xml"/><Relationship Id="rId2" Type="http://schemas.openxmlformats.org/officeDocument/2006/relationships/printerSettings" Target="../printerSettings/printerSettings111.bin"/><Relationship Id="rId1" Type="http://schemas.openxmlformats.org/officeDocument/2006/relationships/printerSettings" Target="../printerSettings/printerSettings110.bin"/><Relationship Id="rId6" Type="http://schemas.openxmlformats.org/officeDocument/2006/relationships/vmlDrawing" Target="../drawings/vmlDrawing21.vml"/><Relationship Id="rId11" Type="http://schemas.openxmlformats.org/officeDocument/2006/relationships/comments" Target="../comments21.xml"/><Relationship Id="rId5" Type="http://schemas.openxmlformats.org/officeDocument/2006/relationships/drawing" Target="../drawings/drawing21.xml"/><Relationship Id="rId10" Type="http://schemas.openxmlformats.org/officeDocument/2006/relationships/image" Target="../media/image27.emf"/><Relationship Id="rId4" Type="http://schemas.openxmlformats.org/officeDocument/2006/relationships/printerSettings" Target="../printerSettings/printerSettings113.bin"/><Relationship Id="rId9" Type="http://schemas.openxmlformats.org/officeDocument/2006/relationships/control" Target="../activeX/activeX27.xml"/></Relationships>
</file>

<file path=xl/worksheets/_rels/sheet24.x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printerSettings" Target="../printerSettings/printerSettings116.bin"/><Relationship Id="rId7" Type="http://schemas.openxmlformats.org/officeDocument/2006/relationships/control" Target="../activeX/activeX28.xml"/><Relationship Id="rId2" Type="http://schemas.openxmlformats.org/officeDocument/2006/relationships/printerSettings" Target="../printerSettings/printerSettings115.bin"/><Relationship Id="rId1" Type="http://schemas.openxmlformats.org/officeDocument/2006/relationships/printerSettings" Target="../printerSettings/printerSettings114.bin"/><Relationship Id="rId6" Type="http://schemas.openxmlformats.org/officeDocument/2006/relationships/vmlDrawing" Target="../drawings/vmlDrawing22.vml"/><Relationship Id="rId11" Type="http://schemas.openxmlformats.org/officeDocument/2006/relationships/comments" Target="../comments22.xml"/><Relationship Id="rId5" Type="http://schemas.openxmlformats.org/officeDocument/2006/relationships/drawing" Target="../drawings/drawing22.xml"/><Relationship Id="rId10" Type="http://schemas.openxmlformats.org/officeDocument/2006/relationships/image" Target="../media/image29.emf"/><Relationship Id="rId4" Type="http://schemas.openxmlformats.org/officeDocument/2006/relationships/printerSettings" Target="../printerSettings/printerSettings117.bin"/><Relationship Id="rId9"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125.bin"/><Relationship Id="rId3" Type="http://schemas.openxmlformats.org/officeDocument/2006/relationships/printerSettings" Target="../printerSettings/printerSettings120.bin"/><Relationship Id="rId7" Type="http://schemas.openxmlformats.org/officeDocument/2006/relationships/printerSettings" Target="../printerSettings/printerSettings124.bin"/><Relationship Id="rId2" Type="http://schemas.openxmlformats.org/officeDocument/2006/relationships/printerSettings" Target="../printerSettings/printerSettings119.bin"/><Relationship Id="rId1" Type="http://schemas.openxmlformats.org/officeDocument/2006/relationships/printerSettings" Target="../printerSettings/printerSettings118.bin"/><Relationship Id="rId6" Type="http://schemas.openxmlformats.org/officeDocument/2006/relationships/printerSettings" Target="../printerSettings/printerSettings123.bin"/><Relationship Id="rId11" Type="http://schemas.openxmlformats.org/officeDocument/2006/relationships/comments" Target="../comments23.xml"/><Relationship Id="rId5" Type="http://schemas.openxmlformats.org/officeDocument/2006/relationships/printerSettings" Target="../printerSettings/printerSettings122.bin"/><Relationship Id="rId10" Type="http://schemas.openxmlformats.org/officeDocument/2006/relationships/vmlDrawing" Target="../drawings/vmlDrawing23.vml"/><Relationship Id="rId4" Type="http://schemas.openxmlformats.org/officeDocument/2006/relationships/printerSettings" Target="../printerSettings/printerSettings121.bin"/><Relationship Id="rId9"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28.bin"/><Relationship Id="rId7" Type="http://schemas.openxmlformats.org/officeDocument/2006/relationships/comments" Target="../comments24.xml"/><Relationship Id="rId2" Type="http://schemas.openxmlformats.org/officeDocument/2006/relationships/printerSettings" Target="../printerSettings/printerSettings127.bin"/><Relationship Id="rId1" Type="http://schemas.openxmlformats.org/officeDocument/2006/relationships/printerSettings" Target="../printerSettings/printerSettings126.bin"/><Relationship Id="rId6" Type="http://schemas.openxmlformats.org/officeDocument/2006/relationships/vmlDrawing" Target="../drawings/vmlDrawing24.vml"/><Relationship Id="rId5" Type="http://schemas.openxmlformats.org/officeDocument/2006/relationships/drawing" Target="../drawings/drawing24.xml"/><Relationship Id="rId4" Type="http://schemas.openxmlformats.org/officeDocument/2006/relationships/printerSettings" Target="../printerSettings/printerSettings1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X66"/>
  <sheetViews>
    <sheetView workbookViewId="0">
      <selection activeCell="H9" sqref="H9"/>
    </sheetView>
  </sheetViews>
  <sheetFormatPr defaultRowHeight="14.4" x14ac:dyDescent="0.3"/>
  <cols>
    <col min="1" max="1" width="14.6640625" customWidth="1"/>
    <col min="2" max="2" width="11.6640625" customWidth="1"/>
    <col min="3" max="3" width="7" style="131" customWidth="1"/>
    <col min="11" max="11" width="14.6640625" customWidth="1"/>
    <col min="12" max="12" width="11.6640625" customWidth="1"/>
    <col min="13" max="13" width="7" style="131" customWidth="1"/>
    <col min="22" max="22" width="11.109375" bestFit="1" customWidth="1"/>
    <col min="23" max="23" width="7.33203125" customWidth="1"/>
    <col min="24" max="24" width="12" style="135" bestFit="1" customWidth="1"/>
  </cols>
  <sheetData>
    <row r="1" spans="1:24" x14ac:dyDescent="0.3">
      <c r="A1" s="137" t="s">
        <v>560</v>
      </c>
      <c r="K1" s="137" t="s">
        <v>560</v>
      </c>
    </row>
    <row r="2" spans="1:24" x14ac:dyDescent="0.3">
      <c r="V2" s="137" t="s">
        <v>559</v>
      </c>
    </row>
    <row r="3" spans="1:24" x14ac:dyDescent="0.3">
      <c r="A3" s="132" t="s">
        <v>542</v>
      </c>
      <c r="B3" s="133" t="s">
        <v>551</v>
      </c>
      <c r="C3" s="134" t="s">
        <v>550</v>
      </c>
      <c r="K3" s="132" t="s">
        <v>542</v>
      </c>
      <c r="L3" s="132" t="s">
        <v>551</v>
      </c>
      <c r="M3" s="134" t="s">
        <v>550</v>
      </c>
      <c r="V3" t="s">
        <v>542</v>
      </c>
      <c r="W3" t="s">
        <v>551</v>
      </c>
      <c r="X3" s="135" t="s">
        <v>550</v>
      </c>
    </row>
    <row r="4" spans="1:24" x14ac:dyDescent="0.3">
      <c r="A4" s="128" t="s">
        <v>544</v>
      </c>
      <c r="B4" s="129"/>
      <c r="C4" s="130">
        <v>0</v>
      </c>
      <c r="K4" s="128" t="s">
        <v>544</v>
      </c>
      <c r="L4" s="129"/>
      <c r="M4" s="130">
        <v>0</v>
      </c>
      <c r="U4" s="249">
        <v>44041.194444444445</v>
      </c>
      <c r="V4" t="s">
        <v>364</v>
      </c>
      <c r="X4" s="135">
        <v>0</v>
      </c>
    </row>
    <row r="5" spans="1:24" x14ac:dyDescent="0.3">
      <c r="A5" s="128" t="s">
        <v>545</v>
      </c>
      <c r="B5" s="129">
        <v>2</v>
      </c>
      <c r="C5" s="130">
        <v>2.8985507246376812E-2</v>
      </c>
      <c r="K5" s="128" t="s">
        <v>545</v>
      </c>
      <c r="L5" s="129">
        <v>2</v>
      </c>
      <c r="M5" s="130">
        <v>2.8985507246376812E-2</v>
      </c>
      <c r="V5" t="s">
        <v>552</v>
      </c>
      <c r="W5">
        <v>1</v>
      </c>
      <c r="X5" s="135" t="e">
        <f>W5/$M$16</f>
        <v>#DIV/0!</v>
      </c>
    </row>
    <row r="6" spans="1:24" x14ac:dyDescent="0.3">
      <c r="A6" s="128" t="s">
        <v>546</v>
      </c>
      <c r="B6" s="129">
        <v>1</v>
      </c>
      <c r="C6" s="130">
        <v>1.4492753623188406E-2</v>
      </c>
      <c r="K6" s="128" t="s">
        <v>546</v>
      </c>
      <c r="L6" s="129">
        <v>1</v>
      </c>
      <c r="M6" s="130">
        <v>1.4492753623188406E-2</v>
      </c>
      <c r="V6" t="s">
        <v>553</v>
      </c>
      <c r="W6">
        <v>2</v>
      </c>
      <c r="X6" s="135" t="e">
        <f t="shared" ref="X6:X14" si="0">W6/$M$16</f>
        <v>#DIV/0!</v>
      </c>
    </row>
    <row r="7" spans="1:24" x14ac:dyDescent="0.3">
      <c r="A7" s="128" t="s">
        <v>547</v>
      </c>
      <c r="B7" s="129">
        <v>8</v>
      </c>
      <c r="C7" s="130">
        <v>0.11594202898550725</v>
      </c>
      <c r="K7" s="128" t="s">
        <v>547</v>
      </c>
      <c r="L7" s="129">
        <v>8</v>
      </c>
      <c r="M7" s="130">
        <v>0.11594202898550725</v>
      </c>
      <c r="V7" t="s">
        <v>554</v>
      </c>
      <c r="W7">
        <v>1</v>
      </c>
      <c r="X7" s="135" t="e">
        <f t="shared" si="0"/>
        <v>#DIV/0!</v>
      </c>
    </row>
    <row r="8" spans="1:24" x14ac:dyDescent="0.3">
      <c r="A8" s="128" t="s">
        <v>548</v>
      </c>
      <c r="B8" s="129">
        <v>53</v>
      </c>
      <c r="C8" s="130">
        <v>0.76811594202898548</v>
      </c>
      <c r="K8" s="128" t="s">
        <v>548</v>
      </c>
      <c r="L8" s="129">
        <v>53</v>
      </c>
      <c r="M8" s="130">
        <v>0.76811594202898548</v>
      </c>
      <c r="V8" t="s">
        <v>555</v>
      </c>
      <c r="W8">
        <v>5</v>
      </c>
      <c r="X8" s="135" t="e">
        <f t="shared" si="0"/>
        <v>#DIV/0!</v>
      </c>
    </row>
    <row r="9" spans="1:24" x14ac:dyDescent="0.3">
      <c r="A9" s="128" t="s">
        <v>549</v>
      </c>
      <c r="B9" s="129">
        <v>5</v>
      </c>
      <c r="C9" s="130">
        <v>7.2463768115942032E-2</v>
      </c>
      <c r="K9" s="128" t="s">
        <v>549</v>
      </c>
      <c r="L9" s="129">
        <v>5</v>
      </c>
      <c r="M9" s="130">
        <v>7.2463768115942032E-2</v>
      </c>
      <c r="V9" t="s">
        <v>556</v>
      </c>
      <c r="W9">
        <v>13</v>
      </c>
      <c r="X9" s="135" t="e">
        <f t="shared" si="0"/>
        <v>#DIV/0!</v>
      </c>
    </row>
    <row r="10" spans="1:24" x14ac:dyDescent="0.3">
      <c r="A10" s="128" t="s">
        <v>543</v>
      </c>
      <c r="B10" s="129">
        <v>69</v>
      </c>
      <c r="C10" s="130">
        <v>1</v>
      </c>
      <c r="K10" s="128" t="s">
        <v>543</v>
      </c>
      <c r="L10" s="129">
        <v>69</v>
      </c>
      <c r="M10" s="130">
        <v>1</v>
      </c>
      <c r="V10" t="s">
        <v>557</v>
      </c>
      <c r="W10">
        <v>19</v>
      </c>
      <c r="X10" s="135" t="e">
        <f t="shared" si="0"/>
        <v>#DIV/0!</v>
      </c>
    </row>
    <row r="11" spans="1:24" x14ac:dyDescent="0.3">
      <c r="C11"/>
      <c r="M11"/>
      <c r="U11" s="247">
        <v>44029</v>
      </c>
      <c r="V11" s="138"/>
      <c r="W11" s="138">
        <v>23</v>
      </c>
      <c r="X11" s="135" t="e">
        <f t="shared" si="0"/>
        <v>#DIV/0!</v>
      </c>
    </row>
    <row r="12" spans="1:24" x14ac:dyDescent="0.3">
      <c r="C12"/>
      <c r="M12"/>
      <c r="V12" s="138" t="s">
        <v>558</v>
      </c>
      <c r="W12" s="138">
        <v>2</v>
      </c>
      <c r="X12" s="135" t="e">
        <f t="shared" si="0"/>
        <v>#DIV/0!</v>
      </c>
    </row>
    <row r="13" spans="1:24" x14ac:dyDescent="0.3">
      <c r="C13"/>
      <c r="M13"/>
      <c r="U13" s="247">
        <v>44063</v>
      </c>
      <c r="V13" s="138"/>
      <c r="W13" s="138">
        <v>1</v>
      </c>
      <c r="X13" s="135" t="e">
        <f t="shared" si="0"/>
        <v>#DIV/0!</v>
      </c>
    </row>
    <row r="14" spans="1:24" x14ac:dyDescent="0.3">
      <c r="C14"/>
      <c r="M14"/>
      <c r="U14" s="247">
        <v>44069</v>
      </c>
      <c r="V14" s="138"/>
      <c r="W14" s="138">
        <v>2</v>
      </c>
      <c r="X14" s="135" t="e">
        <f t="shared" si="0"/>
        <v>#DIV/0!</v>
      </c>
    </row>
    <row r="15" spans="1:24" x14ac:dyDescent="0.3">
      <c r="C15"/>
      <c r="H15" s="135"/>
      <c r="J15" s="136"/>
      <c r="M15"/>
      <c r="R15" s="135"/>
      <c r="T15" s="136"/>
      <c r="U15" s="135"/>
      <c r="V15" t="s">
        <v>543</v>
      </c>
      <c r="W15">
        <v>69</v>
      </c>
      <c r="X15" s="135">
        <v>1</v>
      </c>
    </row>
    <row r="16" spans="1:24" x14ac:dyDescent="0.3">
      <c r="H16" s="135"/>
      <c r="J16" s="136"/>
      <c r="R16" s="135"/>
      <c r="T16" s="136"/>
      <c r="U16" s="135"/>
      <c r="W16">
        <v>138</v>
      </c>
    </row>
    <row r="17" spans="1:21" x14ac:dyDescent="0.3">
      <c r="H17" s="135"/>
      <c r="J17" s="136"/>
      <c r="R17" s="135"/>
      <c r="T17" s="136"/>
      <c r="U17" s="135"/>
    </row>
    <row r="18" spans="1:21" x14ac:dyDescent="0.3">
      <c r="H18" s="135"/>
      <c r="J18" s="136"/>
      <c r="R18" s="135"/>
      <c r="T18" s="136"/>
      <c r="U18" s="135"/>
    </row>
    <row r="19" spans="1:21" x14ac:dyDescent="0.3">
      <c r="U19" s="247">
        <v>44075</v>
      </c>
    </row>
    <row r="22" spans="1:21" x14ac:dyDescent="0.3">
      <c r="U22" s="247">
        <v>44063</v>
      </c>
    </row>
    <row r="23" spans="1:21" x14ac:dyDescent="0.3">
      <c r="U23" s="247">
        <v>44097</v>
      </c>
    </row>
    <row r="24" spans="1:21" x14ac:dyDescent="0.3">
      <c r="U24" s="247">
        <v>44092</v>
      </c>
    </row>
    <row r="25" spans="1:21" x14ac:dyDescent="0.3">
      <c r="A25" s="127" t="s">
        <v>542</v>
      </c>
      <c r="B25" s="133" t="s">
        <v>551</v>
      </c>
      <c r="C25" s="134" t="s">
        <v>550</v>
      </c>
      <c r="K25" s="127" t="s">
        <v>542</v>
      </c>
      <c r="L25" s="132" t="s">
        <v>551</v>
      </c>
      <c r="M25" s="134" t="s">
        <v>550</v>
      </c>
      <c r="U25" s="247">
        <v>44085</v>
      </c>
    </row>
    <row r="26" spans="1:21" x14ac:dyDescent="0.3">
      <c r="A26" s="128">
        <v>0</v>
      </c>
      <c r="B26" s="129">
        <v>2</v>
      </c>
      <c r="C26" s="130">
        <v>2.8985507246376812E-2</v>
      </c>
      <c r="K26" s="128">
        <v>0</v>
      </c>
      <c r="L26" s="129">
        <v>2</v>
      </c>
      <c r="M26" s="130">
        <v>2.8985507246376812E-2</v>
      </c>
      <c r="U26" s="247">
        <v>44088</v>
      </c>
    </row>
    <row r="27" spans="1:21" x14ac:dyDescent="0.3">
      <c r="A27" s="128">
        <v>1</v>
      </c>
      <c r="B27" s="129">
        <v>5</v>
      </c>
      <c r="C27" s="130">
        <v>7.2463768115942032E-2</v>
      </c>
      <c r="K27" s="128">
        <v>1</v>
      </c>
      <c r="L27" s="129">
        <v>5</v>
      </c>
      <c r="M27" s="130">
        <v>7.2463768115942032E-2</v>
      </c>
      <c r="U27" s="247">
        <v>44064</v>
      </c>
    </row>
    <row r="28" spans="1:21" x14ac:dyDescent="0.3">
      <c r="A28" s="128">
        <v>2</v>
      </c>
      <c r="B28" s="129">
        <v>49</v>
      </c>
      <c r="C28" s="130">
        <v>0.71014492753623193</v>
      </c>
      <c r="K28" s="128">
        <v>2</v>
      </c>
      <c r="L28" s="129">
        <v>49</v>
      </c>
      <c r="M28" s="130">
        <v>0.71014492753623193</v>
      </c>
      <c r="U28" s="247">
        <v>44070</v>
      </c>
    </row>
    <row r="29" spans="1:21" x14ac:dyDescent="0.3">
      <c r="A29" s="128">
        <v>3</v>
      </c>
      <c r="B29" s="129">
        <v>13</v>
      </c>
      <c r="C29" s="130">
        <v>0.18840579710144928</v>
      </c>
      <c r="K29" s="128">
        <v>3</v>
      </c>
      <c r="L29" s="129">
        <v>13</v>
      </c>
      <c r="M29" s="130">
        <v>0.18840579710144928</v>
      </c>
      <c r="U29" s="247">
        <v>44078</v>
      </c>
    </row>
    <row r="30" spans="1:21" x14ac:dyDescent="0.3">
      <c r="A30" s="128" t="s">
        <v>543</v>
      </c>
      <c r="B30" s="129">
        <v>69</v>
      </c>
      <c r="C30" s="130">
        <v>1</v>
      </c>
      <c r="K30" s="128" t="s">
        <v>543</v>
      </c>
      <c r="L30" s="129">
        <v>69</v>
      </c>
      <c r="M30" s="130">
        <v>1</v>
      </c>
      <c r="U30" s="247">
        <v>44085</v>
      </c>
    </row>
    <row r="32" spans="1:21" x14ac:dyDescent="0.3">
      <c r="U32" s="247">
        <v>44048</v>
      </c>
    </row>
    <row r="34" spans="21:21" x14ac:dyDescent="0.3">
      <c r="U34" s="247">
        <v>44050</v>
      </c>
    </row>
    <row r="35" spans="21:21" x14ac:dyDescent="0.3">
      <c r="U35" s="247">
        <v>43999</v>
      </c>
    </row>
    <row r="40" spans="21:21" x14ac:dyDescent="0.3">
      <c r="U40" s="247">
        <v>44029</v>
      </c>
    </row>
    <row r="41" spans="21:21" x14ac:dyDescent="0.3">
      <c r="U41" s="247">
        <v>44106</v>
      </c>
    </row>
    <row r="42" spans="21:21" x14ac:dyDescent="0.3">
      <c r="U42" s="247">
        <v>44049</v>
      </c>
    </row>
    <row r="43" spans="21:21" x14ac:dyDescent="0.3">
      <c r="U43" s="247">
        <v>44111</v>
      </c>
    </row>
    <row r="44" spans="21:21" x14ac:dyDescent="0.3">
      <c r="U44" s="247">
        <v>44097</v>
      </c>
    </row>
    <row r="49" spans="21:21" x14ac:dyDescent="0.3">
      <c r="U49" s="247">
        <v>44039</v>
      </c>
    </row>
    <row r="50" spans="21:21" x14ac:dyDescent="0.3">
      <c r="U50" s="247">
        <v>44008</v>
      </c>
    </row>
    <row r="51" spans="21:21" x14ac:dyDescent="0.3">
      <c r="U51" s="247">
        <v>44117</v>
      </c>
    </row>
    <row r="52" spans="21:21" x14ac:dyDescent="0.3">
      <c r="U52" s="247">
        <v>44104</v>
      </c>
    </row>
    <row r="54" spans="21:21" x14ac:dyDescent="0.3">
      <c r="U54" s="247">
        <v>44113</v>
      </c>
    </row>
    <row r="66" spans="21:21" x14ac:dyDescent="0.3">
      <c r="U66" s="249">
        <v>44042.458333333336</v>
      </c>
    </row>
  </sheetData>
  <customSheetViews>
    <customSheetView guid="{6D9FC8F7-6352-4BF1-890A-27BF36FADC03}">
      <selection activeCell="H26" sqref="H26"/>
      <pageMargins left="0.7" right="0.7" top="0.75" bottom="0.75" header="0.3" footer="0.3"/>
      <pageSetup orientation="portrait" r:id="rId5"/>
    </customSheetView>
    <customSheetView guid="{040B64FF-F135-4C7F-9498-A8399C10673D}" state="hidden">
      <selection activeCell="H9" sqref="H9"/>
      <pageMargins left="0.7" right="0.7" top="0.75" bottom="0.75" header="0.3" footer="0.3"/>
      <pageSetup orientation="portrait" r:id="rId6"/>
    </customSheetView>
    <customSheetView guid="{3F51B73C-8999-4BDD-B7BB-CFA8C5D5F118}">
      <selection activeCell="H26" sqref="H26"/>
      <pageMargins left="0.7" right="0.7" top="0.75" bottom="0.75" header="0.3" footer="0.3"/>
      <pageSetup orientation="portrait" r:id="rId7"/>
    </customSheetView>
    <customSheetView guid="{3BEDB203-29A8-4A82-B140-5CE8D0753F8B}" state="hidden">
      <selection activeCell="H9" sqref="H9"/>
      <pageMargins left="0.7" right="0.7" top="0.75" bottom="0.75" header="0.3" footer="0.3"/>
      <pageSetup orientation="portrait" r:id="rId8"/>
    </customSheetView>
  </customSheetView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filterMode="1"/>
  <dimension ref="A1:AX85"/>
  <sheetViews>
    <sheetView showGridLines="0" zoomScale="80" zoomScaleNormal="70" workbookViewId="0">
      <selection activeCell="D73" sqref="D73"/>
    </sheetView>
  </sheetViews>
  <sheetFormatPr defaultColWidth="9.109375" defaultRowHeight="13.2" x14ac:dyDescent="0.25"/>
  <cols>
    <col min="1" max="1" width="4.109375" style="33" bestFit="1" customWidth="1"/>
    <col min="2" max="2" width="6.109375" style="33" bestFit="1" customWidth="1"/>
    <col min="3" max="3" width="7.44140625" style="33" customWidth="1"/>
    <col min="4" max="4" width="12.5546875" style="33" customWidth="1"/>
    <col min="5" max="5" width="21.44140625" style="33" customWidth="1"/>
    <col min="6" max="6" width="20.33203125" style="33" customWidth="1"/>
    <col min="7" max="7" width="14.33203125" style="33" customWidth="1"/>
    <col min="8" max="12" width="20.33203125" style="59" customWidth="1"/>
    <col min="13" max="13" width="23.33203125" style="33" bestFit="1" customWidth="1"/>
    <col min="14" max="14" width="16.88671875" style="33" bestFit="1" customWidth="1"/>
    <col min="15" max="15" width="16.88671875" style="33" customWidth="1"/>
    <col min="16" max="16" width="9.109375" style="33" bestFit="1" customWidth="1"/>
    <col min="17" max="19" width="9.44140625" style="33" bestFit="1" customWidth="1"/>
    <col min="20" max="20" width="8.44140625" style="33" customWidth="1"/>
    <col min="21" max="16384" width="9.109375" style="29"/>
  </cols>
  <sheetData>
    <row r="1" spans="1:50" x14ac:dyDescent="0.25">
      <c r="A1" s="23" t="s">
        <v>88</v>
      </c>
      <c r="B1" s="23" t="s">
        <v>91</v>
      </c>
      <c r="C1" s="23" t="s">
        <v>92</v>
      </c>
      <c r="D1" s="23" t="s">
        <v>416</v>
      </c>
      <c r="E1" s="23" t="s">
        <v>137</v>
      </c>
      <c r="F1" s="23" t="s">
        <v>89</v>
      </c>
      <c r="G1" s="329" t="s">
        <v>479</v>
      </c>
      <c r="H1" s="329" t="s">
        <v>480</v>
      </c>
      <c r="I1" s="329" t="s">
        <v>484</v>
      </c>
      <c r="J1" s="329" t="s">
        <v>483</v>
      </c>
      <c r="K1" s="329" t="s">
        <v>485</v>
      </c>
      <c r="L1" s="331" t="s">
        <v>486</v>
      </c>
      <c r="M1" s="331" t="s">
        <v>481</v>
      </c>
      <c r="N1" s="327" t="s">
        <v>482</v>
      </c>
      <c r="O1" s="123"/>
      <c r="P1" s="23" t="s">
        <v>90</v>
      </c>
      <c r="Q1" s="23"/>
      <c r="R1" s="23"/>
      <c r="S1" s="23"/>
      <c r="T1" s="23"/>
    </row>
    <row r="2" spans="1:50" ht="13.2" customHeight="1" x14ac:dyDescent="0.25">
      <c r="A2" s="27"/>
      <c r="B2" s="27"/>
      <c r="C2" s="27"/>
      <c r="D2" s="27"/>
      <c r="E2" s="27"/>
      <c r="F2" s="27"/>
      <c r="G2" s="330"/>
      <c r="H2" s="330"/>
      <c r="I2" s="330"/>
      <c r="J2" s="330"/>
      <c r="K2" s="330"/>
      <c r="L2" s="332"/>
      <c r="M2" s="332"/>
      <c r="N2" s="328"/>
      <c r="O2" s="113"/>
      <c r="P2" s="28" t="s">
        <v>5</v>
      </c>
      <c r="Q2" s="28" t="s">
        <v>6</v>
      </c>
      <c r="R2" s="28" t="s">
        <v>7</v>
      </c>
      <c r="S2" s="28" t="s">
        <v>8</v>
      </c>
      <c r="T2" s="28" t="s">
        <v>9</v>
      </c>
    </row>
    <row r="3" spans="1:50" hidden="1" x14ac:dyDescent="0.25">
      <c r="A3" s="30">
        <v>1</v>
      </c>
      <c r="B3" s="30" t="s">
        <v>95</v>
      </c>
      <c r="C3" s="30" t="s">
        <v>128</v>
      </c>
      <c r="D3" s="30" t="s">
        <v>487</v>
      </c>
      <c r="E3" s="30" t="s">
        <v>253</v>
      </c>
      <c r="F3" s="22" t="s">
        <v>98</v>
      </c>
      <c r="G3" s="22">
        <v>3</v>
      </c>
      <c r="H3" s="6">
        <v>3.1184012066365012</v>
      </c>
      <c r="I3" s="6">
        <v>3</v>
      </c>
      <c r="J3" s="6">
        <v>3.1568627450980395</v>
      </c>
      <c r="K3" s="6">
        <v>3</v>
      </c>
      <c r="L3" s="6">
        <v>3.1568627450980395</v>
      </c>
      <c r="M3" s="55" t="e">
        <f>#REF!</f>
        <v>#REF!</v>
      </c>
      <c r="N3" s="31" t="e">
        <f>#REF!</f>
        <v>#REF!</v>
      </c>
      <c r="O3" s="31" t="e">
        <f>N3-L3</f>
        <v>#REF!</v>
      </c>
      <c r="P3" s="32" t="e">
        <f>#REF!</f>
        <v>#REF!</v>
      </c>
      <c r="Q3" s="32" t="e">
        <f>#REF!</f>
        <v>#REF!</v>
      </c>
      <c r="R3" s="32" t="e">
        <f>#REF!</f>
        <v>#REF!</v>
      </c>
      <c r="S3" s="32" t="e">
        <f>#REF!</f>
        <v>#REF!</v>
      </c>
      <c r="T3" s="32" t="e">
        <f>#REF!</f>
        <v>#REF!</v>
      </c>
    </row>
    <row r="4" spans="1:50" hidden="1" x14ac:dyDescent="0.25">
      <c r="A4" s="30">
        <v>2</v>
      </c>
      <c r="B4" s="30" t="s">
        <v>95</v>
      </c>
      <c r="C4" s="30" t="s">
        <v>94</v>
      </c>
      <c r="D4" s="30" t="s">
        <v>488</v>
      </c>
      <c r="E4" s="30" t="s">
        <v>266</v>
      </c>
      <c r="F4" s="22" t="s">
        <v>96</v>
      </c>
      <c r="G4" s="112">
        <v>3</v>
      </c>
      <c r="H4" s="114">
        <v>3.0399698340874819</v>
      </c>
      <c r="I4" s="114">
        <v>3</v>
      </c>
      <c r="J4" s="114">
        <v>3.0527903469079947</v>
      </c>
      <c r="K4" s="114">
        <v>3</v>
      </c>
      <c r="L4" s="114">
        <v>3.0527903469079947</v>
      </c>
      <c r="M4" s="60" t="e">
        <f>#REF!</f>
        <v>#REF!</v>
      </c>
      <c r="N4" s="31" t="e">
        <f>#REF!</f>
        <v>#REF!</v>
      </c>
      <c r="O4" s="31" t="e">
        <f t="shared" ref="O4:O67" si="0">N4-L4</f>
        <v>#REF!</v>
      </c>
      <c r="P4" s="32" t="e">
        <f>#REF!</f>
        <v>#REF!</v>
      </c>
      <c r="Q4" s="32" t="e">
        <f>#REF!</f>
        <v>#REF!</v>
      </c>
      <c r="R4" s="32" t="e">
        <f>#REF!</f>
        <v>#REF!</v>
      </c>
      <c r="S4" s="32" t="e">
        <f>#REF!</f>
        <v>#REF!</v>
      </c>
      <c r="T4" s="32" t="e">
        <f>#REF!</f>
        <v>#REF!</v>
      </c>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row>
    <row r="5" spans="1:50" hidden="1" x14ac:dyDescent="0.25">
      <c r="A5" s="30">
        <v>3</v>
      </c>
      <c r="B5" s="30" t="s">
        <v>95</v>
      </c>
      <c r="C5" s="30" t="s">
        <v>128</v>
      </c>
      <c r="D5" s="30" t="s">
        <v>489</v>
      </c>
      <c r="E5" s="124" t="s">
        <v>257</v>
      </c>
      <c r="F5" s="25" t="s">
        <v>104</v>
      </c>
      <c r="G5" s="25">
        <v>3</v>
      </c>
      <c r="H5" s="115">
        <v>2.9018003273322432</v>
      </c>
      <c r="I5" s="115">
        <v>3</v>
      </c>
      <c r="J5" s="115">
        <v>2.9659028914348071</v>
      </c>
      <c r="K5" s="115">
        <v>3</v>
      </c>
      <c r="L5" s="115">
        <v>2.914620840152756</v>
      </c>
      <c r="M5" s="55" t="e">
        <f>#REF!</f>
        <v>#REF!</v>
      </c>
      <c r="N5" s="31" t="e">
        <f>#REF!</f>
        <v>#REF!</v>
      </c>
      <c r="O5" s="31" t="e">
        <f t="shared" si="0"/>
        <v>#REF!</v>
      </c>
      <c r="P5" s="32" t="e">
        <f>#REF!</f>
        <v>#REF!</v>
      </c>
      <c r="Q5" s="32" t="e">
        <f>#REF!</f>
        <v>#REF!</v>
      </c>
      <c r="R5" s="32" t="e">
        <f>#REF!</f>
        <v>#REF!</v>
      </c>
      <c r="S5" s="32" t="e">
        <f>#REF!</f>
        <v>#REF!</v>
      </c>
      <c r="T5" s="32" t="e">
        <f>#REF!</f>
        <v>#REF!</v>
      </c>
    </row>
    <row r="6" spans="1:50" hidden="1" x14ac:dyDescent="0.25">
      <c r="A6" s="30">
        <v>4</v>
      </c>
      <c r="B6" s="30" t="s">
        <v>95</v>
      </c>
      <c r="C6" s="30" t="s">
        <v>94</v>
      </c>
      <c r="D6" s="30" t="s">
        <v>490</v>
      </c>
      <c r="E6" s="124" t="s">
        <v>274</v>
      </c>
      <c r="F6" s="22" t="s">
        <v>100</v>
      </c>
      <c r="G6" s="22">
        <v>3</v>
      </c>
      <c r="H6" s="6">
        <v>2.9743589743589753</v>
      </c>
      <c r="I6" s="6">
        <v>3</v>
      </c>
      <c r="J6" s="6">
        <v>2.9743589743589753</v>
      </c>
      <c r="K6" s="6">
        <v>3</v>
      </c>
      <c r="L6" s="6">
        <v>2.9871794871794881</v>
      </c>
      <c r="M6" s="55">
        <f>'Truong Dao'!H66</f>
        <v>3.2656305397640448</v>
      </c>
      <c r="N6" s="31">
        <f>'Truong Dao'!H64</f>
        <v>4.9624060150375938E-2</v>
      </c>
      <c r="O6" s="31">
        <f t="shared" si="0"/>
        <v>-2.9375554270291122</v>
      </c>
      <c r="P6" s="32">
        <f>'Truong Dao'!C65</f>
        <v>0</v>
      </c>
      <c r="Q6" s="32">
        <f>'Truong Dao'!D65</f>
        <v>0</v>
      </c>
      <c r="R6" s="32">
        <f>'Truong Dao'!E65</f>
        <v>0</v>
      </c>
      <c r="S6" s="32" t="str">
        <f>'Truong Dao'!F65</f>
        <v>x</v>
      </c>
      <c r="T6" s="32">
        <f>'Truong Dao'!G65</f>
        <v>0</v>
      </c>
    </row>
    <row r="7" spans="1:50" hidden="1" x14ac:dyDescent="0.25">
      <c r="A7" s="30">
        <v>5</v>
      </c>
      <c r="B7" s="30" t="s">
        <v>95</v>
      </c>
      <c r="C7" s="30" t="s">
        <v>128</v>
      </c>
      <c r="D7" s="30" t="s">
        <v>491</v>
      </c>
      <c r="E7" s="124" t="s">
        <v>247</v>
      </c>
      <c r="F7" s="25" t="s">
        <v>114</v>
      </c>
      <c r="G7" s="25">
        <v>2</v>
      </c>
      <c r="H7" s="115">
        <v>2.6966721222040384</v>
      </c>
      <c r="I7" s="115">
        <v>3</v>
      </c>
      <c r="J7" s="115">
        <v>2.9871794871794881</v>
      </c>
      <c r="K7" s="115">
        <v>2</v>
      </c>
      <c r="L7" s="115">
        <v>2.9871794871794881</v>
      </c>
      <c r="M7" s="55" t="e">
        <f>#REF!</f>
        <v>#REF!</v>
      </c>
      <c r="N7" s="31" t="e">
        <f>#REF!</f>
        <v>#REF!</v>
      </c>
      <c r="O7" s="31" t="e">
        <f t="shared" si="0"/>
        <v>#REF!</v>
      </c>
      <c r="P7" s="32" t="e">
        <f>#REF!</f>
        <v>#REF!</v>
      </c>
      <c r="Q7" s="32" t="e">
        <f>#REF!</f>
        <v>#REF!</v>
      </c>
      <c r="R7" s="32" t="e">
        <f>#REF!</f>
        <v>#REF!</v>
      </c>
      <c r="S7" s="32" t="e">
        <f>#REF!</f>
        <v>#REF!</v>
      </c>
      <c r="T7" s="32" t="e">
        <f>#REF!</f>
        <v>#REF!</v>
      </c>
    </row>
    <row r="8" spans="1:50" hidden="1" x14ac:dyDescent="0.25">
      <c r="A8" s="30">
        <v>6</v>
      </c>
      <c r="B8" s="30" t="s">
        <v>95</v>
      </c>
      <c r="C8" s="30" t="s">
        <v>94</v>
      </c>
      <c r="D8" s="30" t="s">
        <v>492</v>
      </c>
      <c r="E8" s="124" t="s">
        <v>264</v>
      </c>
      <c r="F8" s="25" t="s">
        <v>101</v>
      </c>
      <c r="G8" s="25">
        <v>2</v>
      </c>
      <c r="H8" s="115">
        <v>2.7992362247681406</v>
      </c>
      <c r="I8" s="115">
        <v>3</v>
      </c>
      <c r="J8" s="115">
        <v>2.8633387888707049</v>
      </c>
      <c r="K8" s="115">
        <v>3</v>
      </c>
      <c r="L8" s="115">
        <v>2.8376977632296789</v>
      </c>
      <c r="M8" s="55" t="e">
        <f>#REF!</f>
        <v>#REF!</v>
      </c>
      <c r="N8" s="31" t="e">
        <f>#REF!</f>
        <v>#REF!</v>
      </c>
      <c r="O8" s="31" t="e">
        <f t="shared" si="0"/>
        <v>#REF!</v>
      </c>
      <c r="P8" s="32" t="e">
        <f>#REF!</f>
        <v>#REF!</v>
      </c>
      <c r="Q8" s="32" t="e">
        <f>#REF!</f>
        <v>#REF!</v>
      </c>
      <c r="R8" s="32" t="e">
        <f>#REF!</f>
        <v>#REF!</v>
      </c>
      <c r="S8" s="32" t="e">
        <f>#REF!</f>
        <v>#REF!</v>
      </c>
      <c r="T8" s="32" t="e">
        <f>#REF!</f>
        <v>#REF!</v>
      </c>
    </row>
    <row r="9" spans="1:50" ht="13.5" hidden="1" customHeight="1" x14ac:dyDescent="0.25">
      <c r="A9" s="30">
        <v>7</v>
      </c>
      <c r="B9" s="30" t="s">
        <v>95</v>
      </c>
      <c r="C9" s="30" t="s">
        <v>128</v>
      </c>
      <c r="D9" s="30" t="s">
        <v>493</v>
      </c>
      <c r="E9" s="124" t="s">
        <v>252</v>
      </c>
      <c r="F9" s="22" t="s">
        <v>99</v>
      </c>
      <c r="G9" s="22">
        <v>3</v>
      </c>
      <c r="H9" s="6">
        <v>2.9018003273322432</v>
      </c>
      <c r="I9" s="6">
        <v>3</v>
      </c>
      <c r="J9" s="6">
        <v>3.0000000000000009</v>
      </c>
      <c r="K9" s="6">
        <v>3</v>
      </c>
      <c r="L9" s="6">
        <v>2.9487179487179498</v>
      </c>
      <c r="M9" s="55" t="e">
        <f>#REF!</f>
        <v>#REF!</v>
      </c>
      <c r="N9" s="31" t="e">
        <f>#REF!</f>
        <v>#REF!</v>
      </c>
      <c r="O9" s="31" t="e">
        <f t="shared" si="0"/>
        <v>#REF!</v>
      </c>
      <c r="P9" s="32" t="e">
        <f>#REF!</f>
        <v>#REF!</v>
      </c>
      <c r="Q9" s="32" t="e">
        <f>#REF!</f>
        <v>#REF!</v>
      </c>
      <c r="R9" s="32" t="e">
        <f>#REF!</f>
        <v>#REF!</v>
      </c>
      <c r="S9" s="32" t="e">
        <f>#REF!</f>
        <v>#REF!</v>
      </c>
      <c r="T9" s="32" t="e">
        <f>#REF!</f>
        <v>#REF!</v>
      </c>
    </row>
    <row r="10" spans="1:50" hidden="1" x14ac:dyDescent="0.25">
      <c r="A10" s="30">
        <v>8</v>
      </c>
      <c r="B10" s="30" t="s">
        <v>95</v>
      </c>
      <c r="C10" s="30" t="s">
        <v>128</v>
      </c>
      <c r="D10" s="30" t="s">
        <v>494</v>
      </c>
      <c r="E10" s="124" t="s">
        <v>256</v>
      </c>
      <c r="F10" s="25" t="s">
        <v>117</v>
      </c>
      <c r="G10" s="25">
        <v>2</v>
      </c>
      <c r="H10" s="115">
        <v>2.8444850935464214</v>
      </c>
      <c r="I10" s="115">
        <v>3</v>
      </c>
      <c r="J10" s="115">
        <v>2.9811463046757174</v>
      </c>
      <c r="K10" s="115">
        <v>3</v>
      </c>
      <c r="L10" s="115">
        <v>2.9042232277526407</v>
      </c>
      <c r="M10" s="55" t="e">
        <f>#REF!</f>
        <v>#REF!</v>
      </c>
      <c r="N10" s="31" t="e">
        <f>#REF!</f>
        <v>#REF!</v>
      </c>
      <c r="O10" s="31" t="e">
        <f t="shared" si="0"/>
        <v>#REF!</v>
      </c>
      <c r="P10" s="32" t="e">
        <f>#REF!</f>
        <v>#REF!</v>
      </c>
      <c r="Q10" s="32" t="e">
        <f>#REF!</f>
        <v>#REF!</v>
      </c>
      <c r="R10" s="32" t="e">
        <f>#REF!</f>
        <v>#REF!</v>
      </c>
      <c r="S10" s="32" t="e">
        <f>#REF!</f>
        <v>#REF!</v>
      </c>
      <c r="T10" s="32" t="e">
        <f>#REF!</f>
        <v>#REF!</v>
      </c>
    </row>
    <row r="11" spans="1:50" hidden="1" x14ac:dyDescent="0.25">
      <c r="A11" s="30">
        <v>9</v>
      </c>
      <c r="B11" s="30" t="s">
        <v>95</v>
      </c>
      <c r="C11" s="30" t="s">
        <v>128</v>
      </c>
      <c r="D11" s="30" t="s">
        <v>495</v>
      </c>
      <c r="E11" s="124" t="s">
        <v>273</v>
      </c>
      <c r="F11" s="25" t="s">
        <v>118</v>
      </c>
      <c r="G11" s="25">
        <v>2</v>
      </c>
      <c r="H11" s="115">
        <v>2.6794871794871802</v>
      </c>
      <c r="I11" s="115">
        <v>2</v>
      </c>
      <c r="J11" s="115">
        <v>2.8333333333333344</v>
      </c>
      <c r="K11" s="115">
        <v>2</v>
      </c>
      <c r="L11" s="115">
        <v>2.717948717948719</v>
      </c>
      <c r="M11" s="55" t="e">
        <f>#REF!</f>
        <v>#REF!</v>
      </c>
      <c r="N11" s="31" t="e">
        <f>#REF!</f>
        <v>#REF!</v>
      </c>
      <c r="O11" s="31" t="e">
        <f t="shared" si="0"/>
        <v>#REF!</v>
      </c>
      <c r="P11" s="32" t="e">
        <f>#REF!</f>
        <v>#REF!</v>
      </c>
      <c r="Q11" s="32" t="e">
        <f>#REF!</f>
        <v>#REF!</v>
      </c>
      <c r="R11" s="32" t="e">
        <f>#REF!</f>
        <v>#REF!</v>
      </c>
      <c r="S11" s="32" t="e">
        <f>#REF!</f>
        <v>#REF!</v>
      </c>
      <c r="T11" s="32" t="e">
        <f>#REF!</f>
        <v>#REF!</v>
      </c>
    </row>
    <row r="12" spans="1:50" hidden="1" x14ac:dyDescent="0.25">
      <c r="A12" s="30">
        <v>10</v>
      </c>
      <c r="B12" s="30" t="s">
        <v>95</v>
      </c>
      <c r="C12" s="30" t="s">
        <v>94</v>
      </c>
      <c r="D12" s="30" t="s">
        <v>496</v>
      </c>
      <c r="E12" s="124" t="s">
        <v>263</v>
      </c>
      <c r="F12" s="25" t="s">
        <v>119</v>
      </c>
      <c r="G12" s="25">
        <v>2</v>
      </c>
      <c r="H12" s="115">
        <v>2.8076923076923088</v>
      </c>
      <c r="I12" s="115">
        <v>3</v>
      </c>
      <c r="J12" s="115">
        <v>3.2888386123680244</v>
      </c>
      <c r="K12" s="115">
        <v>3</v>
      </c>
      <c r="L12" s="115">
        <v>3.1342383107088994</v>
      </c>
      <c r="M12" s="55" t="e">
        <f>#REF!</f>
        <v>#REF!</v>
      </c>
      <c r="N12" s="31" t="e">
        <f>#REF!</f>
        <v>#REF!</v>
      </c>
      <c r="O12" s="31" t="e">
        <f t="shared" si="0"/>
        <v>#REF!</v>
      </c>
      <c r="P12" s="32" t="e">
        <f>#REF!</f>
        <v>#REF!</v>
      </c>
      <c r="Q12" s="32" t="e">
        <f>#REF!</f>
        <v>#REF!</v>
      </c>
      <c r="R12" s="32" t="e">
        <f>#REF!</f>
        <v>#REF!</v>
      </c>
      <c r="S12" s="32" t="e">
        <f>#REF!</f>
        <v>#REF!</v>
      </c>
      <c r="T12" s="32" t="e">
        <f>#REF!</f>
        <v>#REF!</v>
      </c>
    </row>
    <row r="13" spans="1:50" hidden="1" x14ac:dyDescent="0.25">
      <c r="A13" s="30">
        <v>11</v>
      </c>
      <c r="B13" s="30" t="s">
        <v>95</v>
      </c>
      <c r="C13" s="30" t="s">
        <v>128</v>
      </c>
      <c r="D13" s="30" t="s">
        <v>497</v>
      </c>
      <c r="E13" s="124" t="s">
        <v>261</v>
      </c>
      <c r="F13" s="25" t="s">
        <v>107</v>
      </c>
      <c r="G13" s="25">
        <v>2</v>
      </c>
      <c r="H13" s="115">
        <v>2.722313147845064</v>
      </c>
      <c r="I13" s="115">
        <v>3</v>
      </c>
      <c r="J13" s="115">
        <v>2.8633387888707049</v>
      </c>
      <c r="K13" s="115">
        <v>3</v>
      </c>
      <c r="L13" s="115">
        <v>2.722313147845064</v>
      </c>
      <c r="M13" s="55" t="e">
        <f>#REF!</f>
        <v>#REF!</v>
      </c>
      <c r="N13" s="31" t="e">
        <f>#REF!</f>
        <v>#REF!</v>
      </c>
      <c r="O13" s="31" t="e">
        <f t="shared" si="0"/>
        <v>#REF!</v>
      </c>
      <c r="P13" s="32" t="e">
        <f>#REF!</f>
        <v>#REF!</v>
      </c>
      <c r="Q13" s="32" t="e">
        <f>#REF!</f>
        <v>#REF!</v>
      </c>
      <c r="R13" s="32" t="e">
        <f>#REF!</f>
        <v>#REF!</v>
      </c>
      <c r="S13" s="32" t="e">
        <f>#REF!</f>
        <v>#REF!</v>
      </c>
      <c r="T13" s="32" t="e">
        <f>#REF!</f>
        <v>#REF!</v>
      </c>
    </row>
    <row r="14" spans="1:50" ht="14.4" hidden="1" x14ac:dyDescent="0.3">
      <c r="A14" s="30">
        <v>12</v>
      </c>
      <c r="B14" s="30" t="s">
        <v>95</v>
      </c>
      <c r="C14" s="30" t="s">
        <v>128</v>
      </c>
      <c r="D14" s="30" t="s">
        <v>498</v>
      </c>
      <c r="E14" s="124" t="s">
        <v>259</v>
      </c>
      <c r="F14" s="25" t="s">
        <v>121</v>
      </c>
      <c r="G14" s="25">
        <v>2</v>
      </c>
      <c r="H14" s="115">
        <v>2.7479541734860895</v>
      </c>
      <c r="I14" s="115">
        <v>3</v>
      </c>
      <c r="J14" s="115">
        <v>2.8889798145117305</v>
      </c>
      <c r="K14" s="115">
        <v>3</v>
      </c>
      <c r="L14" s="115">
        <v>2.8505182760501917</v>
      </c>
      <c r="M14" s="55" t="e">
        <f>#REF!</f>
        <v>#REF!</v>
      </c>
      <c r="N14" s="31" t="e">
        <f>#REF!</f>
        <v>#REF!</v>
      </c>
      <c r="O14" s="31" t="e">
        <f t="shared" si="0"/>
        <v>#REF!</v>
      </c>
      <c r="P14" s="32" t="e">
        <f>#REF!</f>
        <v>#REF!</v>
      </c>
      <c r="Q14" s="32" t="e">
        <f>#REF!</f>
        <v>#REF!</v>
      </c>
      <c r="R14" s="32" t="e">
        <f>#REF!</f>
        <v>#REF!</v>
      </c>
      <c r="S14" s="32" t="e">
        <f>#REF!</f>
        <v>#REF!</v>
      </c>
      <c r="T14" s="32" t="e">
        <f>#REF!</f>
        <v>#REF!</v>
      </c>
      <c r="V14" s="106"/>
    </row>
    <row r="15" spans="1:50" hidden="1" x14ac:dyDescent="0.25">
      <c r="A15" s="30">
        <v>13</v>
      </c>
      <c r="B15" s="30" t="s">
        <v>95</v>
      </c>
      <c r="C15" s="30" t="s">
        <v>128</v>
      </c>
      <c r="D15" s="30" t="s">
        <v>499</v>
      </c>
      <c r="E15" s="124" t="s">
        <v>255</v>
      </c>
      <c r="F15" s="25" t="s">
        <v>111</v>
      </c>
      <c r="G15" s="25">
        <v>2</v>
      </c>
      <c r="H15" s="115">
        <v>2.5684669939989098</v>
      </c>
      <c r="I15" s="115">
        <v>2</v>
      </c>
      <c r="J15" s="115">
        <v>2.6838516093835252</v>
      </c>
      <c r="K15" s="115">
        <v>2</v>
      </c>
      <c r="L15" s="115">
        <v>2.6453900709219869</v>
      </c>
      <c r="M15" s="55" t="e">
        <f>#REF!</f>
        <v>#REF!</v>
      </c>
      <c r="N15" s="31" t="e">
        <f>#REF!</f>
        <v>#REF!</v>
      </c>
      <c r="O15" s="31" t="e">
        <f t="shared" si="0"/>
        <v>#REF!</v>
      </c>
      <c r="P15" s="32" t="e">
        <f>#REF!</f>
        <v>#REF!</v>
      </c>
      <c r="Q15" s="32" t="e">
        <f>#REF!</f>
        <v>#REF!</v>
      </c>
      <c r="R15" s="32" t="e">
        <f>#REF!</f>
        <v>#REF!</v>
      </c>
      <c r="S15" s="32" t="e">
        <f>#REF!</f>
        <v>#REF!</v>
      </c>
      <c r="T15" s="32" t="e">
        <f>#REF!</f>
        <v>#REF!</v>
      </c>
    </row>
    <row r="16" spans="1:50" hidden="1" x14ac:dyDescent="0.25">
      <c r="A16" s="30">
        <v>14</v>
      </c>
      <c r="B16" s="30" t="s">
        <v>95</v>
      </c>
      <c r="C16" s="30" t="s">
        <v>94</v>
      </c>
      <c r="D16" s="30" t="s">
        <v>500</v>
      </c>
      <c r="E16" s="124" t="s">
        <v>270</v>
      </c>
      <c r="F16" s="25" t="s">
        <v>127</v>
      </c>
      <c r="G16" s="25">
        <v>2</v>
      </c>
      <c r="H16" s="115">
        <v>2.7479541734860895</v>
      </c>
      <c r="I16" s="115">
        <v>2</v>
      </c>
      <c r="J16" s="115">
        <v>2.8717948717948727</v>
      </c>
      <c r="K16" s="115">
        <v>2</v>
      </c>
      <c r="L16" s="115">
        <v>2.7992362247681406</v>
      </c>
      <c r="M16" s="55" t="e">
        <f>#REF!</f>
        <v>#REF!</v>
      </c>
      <c r="N16" s="31" t="e">
        <f>#REF!</f>
        <v>#REF!</v>
      </c>
      <c r="O16" s="31" t="e">
        <f t="shared" si="0"/>
        <v>#REF!</v>
      </c>
      <c r="P16" s="32" t="e">
        <f>#REF!</f>
        <v>#REF!</v>
      </c>
      <c r="Q16" s="32" t="e">
        <f>#REF!</f>
        <v>#REF!</v>
      </c>
      <c r="R16" s="32" t="e">
        <f>#REF!</f>
        <v>#REF!</v>
      </c>
      <c r="S16" s="32" t="e">
        <f>#REF!</f>
        <v>#REF!</v>
      </c>
      <c r="T16" s="32" t="e">
        <f>#REF!</f>
        <v>#REF!</v>
      </c>
    </row>
    <row r="17" spans="1:20" hidden="1" x14ac:dyDescent="0.25">
      <c r="A17" s="30">
        <v>15</v>
      </c>
      <c r="B17" s="30" t="s">
        <v>95</v>
      </c>
      <c r="C17" s="30" t="s">
        <v>128</v>
      </c>
      <c r="D17" s="30" t="s">
        <v>501</v>
      </c>
      <c r="E17" s="124" t="s">
        <v>254</v>
      </c>
      <c r="F17" s="26" t="s">
        <v>124</v>
      </c>
      <c r="G17" s="26">
        <v>2</v>
      </c>
      <c r="H17" s="116">
        <v>2.5941080196399358</v>
      </c>
      <c r="I17" s="116">
        <v>2</v>
      </c>
      <c r="J17" s="116">
        <v>2.8461538461538471</v>
      </c>
      <c r="K17" s="116">
        <v>2</v>
      </c>
      <c r="L17" s="116">
        <v>2.7692307692307705</v>
      </c>
      <c r="M17" s="55" t="e">
        <f>#REF!</f>
        <v>#REF!</v>
      </c>
      <c r="N17" s="31" t="e">
        <f>#REF!</f>
        <v>#REF!</v>
      </c>
      <c r="O17" s="31" t="e">
        <f t="shared" si="0"/>
        <v>#REF!</v>
      </c>
      <c r="P17" s="32" t="e">
        <f>#REF!</f>
        <v>#REF!</v>
      </c>
      <c r="Q17" s="32" t="e">
        <f>#REF!</f>
        <v>#REF!</v>
      </c>
      <c r="R17" s="32" t="e">
        <f>#REF!</f>
        <v>#REF!</v>
      </c>
      <c r="S17" s="32" t="e">
        <f>#REF!</f>
        <v>#REF!</v>
      </c>
      <c r="T17" s="32" t="e">
        <f>#REF!</f>
        <v>#REF!</v>
      </c>
    </row>
    <row r="18" spans="1:20" hidden="1" x14ac:dyDescent="0.25">
      <c r="A18" s="30">
        <v>16</v>
      </c>
      <c r="B18" s="30" t="s">
        <v>95</v>
      </c>
      <c r="C18" s="30" t="s">
        <v>94</v>
      </c>
      <c r="D18" s="30" t="s">
        <v>502</v>
      </c>
      <c r="E18" s="124" t="s">
        <v>268</v>
      </c>
      <c r="F18" s="25" t="s">
        <v>106</v>
      </c>
      <c r="G18" s="25">
        <v>2</v>
      </c>
      <c r="H18" s="115">
        <v>2.6538461538461546</v>
      </c>
      <c r="I18" s="115">
        <v>2</v>
      </c>
      <c r="J18" s="115">
        <v>2.8717948717948727</v>
      </c>
      <c r="K18" s="115">
        <v>2</v>
      </c>
      <c r="L18" s="115">
        <v>2.8589743589743599</v>
      </c>
      <c r="M18" s="55" t="e">
        <f>#REF!</f>
        <v>#REF!</v>
      </c>
      <c r="N18" s="31" t="e">
        <f>#REF!</f>
        <v>#REF!</v>
      </c>
      <c r="O18" s="31" t="e">
        <f t="shared" si="0"/>
        <v>#REF!</v>
      </c>
      <c r="P18" s="32" t="e">
        <f>#REF!</f>
        <v>#REF!</v>
      </c>
      <c r="Q18" s="32" t="e">
        <f>#REF!</f>
        <v>#REF!</v>
      </c>
      <c r="R18" s="32" t="e">
        <f>#REF!</f>
        <v>#REF!</v>
      </c>
      <c r="S18" s="32" t="e">
        <f>#REF!</f>
        <v>#REF!</v>
      </c>
      <c r="T18" s="32" t="e">
        <f>#REF!</f>
        <v>#REF!</v>
      </c>
    </row>
    <row r="19" spans="1:20" hidden="1" x14ac:dyDescent="0.25">
      <c r="A19" s="30">
        <v>17</v>
      </c>
      <c r="B19" s="30" t="s">
        <v>95</v>
      </c>
      <c r="C19" s="30" t="s">
        <v>94</v>
      </c>
      <c r="D19" s="30" t="s">
        <v>503</v>
      </c>
      <c r="E19" s="124" t="s">
        <v>276</v>
      </c>
      <c r="F19" s="22" t="s">
        <v>97</v>
      </c>
      <c r="G19" s="22">
        <v>2</v>
      </c>
      <c r="H19" s="6">
        <v>2.5941080196399358</v>
      </c>
      <c r="I19" s="6">
        <v>2</v>
      </c>
      <c r="J19" s="6">
        <v>2.7564102564102573</v>
      </c>
      <c r="K19" s="6">
        <v>2</v>
      </c>
      <c r="L19" s="6">
        <v>2.7564102564102573</v>
      </c>
      <c r="M19" s="55" t="e">
        <f>#REF!</f>
        <v>#REF!</v>
      </c>
      <c r="N19" s="31" t="e">
        <f>#REF!</f>
        <v>#REF!</v>
      </c>
      <c r="O19" s="31" t="e">
        <f t="shared" si="0"/>
        <v>#REF!</v>
      </c>
      <c r="P19" s="32" t="e">
        <f>#REF!</f>
        <v>#REF!</v>
      </c>
      <c r="Q19" s="32" t="e">
        <f>#REF!</f>
        <v>#REF!</v>
      </c>
      <c r="R19" s="32" t="e">
        <f>#REF!</f>
        <v>#REF!</v>
      </c>
      <c r="S19" s="32" t="e">
        <f>#REF!</f>
        <v>#REF!</v>
      </c>
      <c r="T19" s="32" t="e">
        <f>#REF!</f>
        <v>#REF!</v>
      </c>
    </row>
    <row r="20" spans="1:20" hidden="1" x14ac:dyDescent="0.25">
      <c r="A20" s="30">
        <v>18</v>
      </c>
      <c r="B20" s="30" t="s">
        <v>95</v>
      </c>
      <c r="C20" s="30" t="s">
        <v>94</v>
      </c>
      <c r="D20" s="30" t="s">
        <v>504</v>
      </c>
      <c r="E20" s="124" t="s">
        <v>275</v>
      </c>
      <c r="F20" s="25" t="s">
        <v>103</v>
      </c>
      <c r="G20" s="25">
        <v>2</v>
      </c>
      <c r="H20" s="115">
        <v>2.5941080196399358</v>
      </c>
      <c r="I20" s="115">
        <v>3</v>
      </c>
      <c r="J20" s="115">
        <v>2.9871794871794881</v>
      </c>
      <c r="K20" s="115">
        <v>3</v>
      </c>
      <c r="L20" s="115">
        <v>2.7223131478450635</v>
      </c>
      <c r="M20" s="55" t="e">
        <f>#REF!</f>
        <v>#REF!</v>
      </c>
      <c r="N20" s="31" t="e">
        <f>#REF!</f>
        <v>#REF!</v>
      </c>
      <c r="O20" s="31" t="e">
        <f t="shared" si="0"/>
        <v>#REF!</v>
      </c>
      <c r="P20" s="32" t="e">
        <f>#REF!</f>
        <v>#REF!</v>
      </c>
      <c r="Q20" s="32" t="e">
        <f>#REF!</f>
        <v>#REF!</v>
      </c>
      <c r="R20" s="32" t="e">
        <f>#REF!</f>
        <v>#REF!</v>
      </c>
      <c r="S20" s="32" t="e">
        <f>#REF!</f>
        <v>#REF!</v>
      </c>
      <c r="T20" s="32" t="e">
        <f>#REF!</f>
        <v>#REF!</v>
      </c>
    </row>
    <row r="21" spans="1:20" hidden="1" x14ac:dyDescent="0.25">
      <c r="A21" s="30">
        <v>19</v>
      </c>
      <c r="B21" s="30" t="s">
        <v>95</v>
      </c>
      <c r="C21" s="30" t="s">
        <v>94</v>
      </c>
      <c r="D21" s="30" t="s">
        <v>505</v>
      </c>
      <c r="E21" s="124" t="s">
        <v>269</v>
      </c>
      <c r="F21" s="25" t="s">
        <v>109</v>
      </c>
      <c r="G21" s="25">
        <v>2</v>
      </c>
      <c r="H21" s="115">
        <v>2.5941080196399358</v>
      </c>
      <c r="I21" s="115">
        <v>2</v>
      </c>
      <c r="J21" s="115">
        <v>2.7820512820512828</v>
      </c>
      <c r="K21" s="115">
        <v>2</v>
      </c>
      <c r="L21" s="115">
        <v>2.7094926350245507</v>
      </c>
      <c r="M21" s="55" t="e">
        <f>#REF!</f>
        <v>#REF!</v>
      </c>
      <c r="N21" s="31" t="e">
        <f>#REF!</f>
        <v>#REF!</v>
      </c>
      <c r="O21" s="31" t="e">
        <f t="shared" si="0"/>
        <v>#REF!</v>
      </c>
      <c r="P21" s="32" t="e">
        <f>#REF!</f>
        <v>#REF!</v>
      </c>
      <c r="Q21" s="32" t="e">
        <f>#REF!</f>
        <v>#REF!</v>
      </c>
      <c r="R21" s="32" t="e">
        <f>#REF!</f>
        <v>#REF!</v>
      </c>
      <c r="S21" s="32" t="e">
        <f>#REF!</f>
        <v>#REF!</v>
      </c>
      <c r="T21" s="32" t="e">
        <f>#REF!</f>
        <v>#REF!</v>
      </c>
    </row>
    <row r="22" spans="1:20" hidden="1" x14ac:dyDescent="0.25">
      <c r="A22" s="30">
        <v>20</v>
      </c>
      <c r="B22" s="30" t="s">
        <v>95</v>
      </c>
      <c r="C22" s="30" t="s">
        <v>94</v>
      </c>
      <c r="D22" s="30" t="s">
        <v>506</v>
      </c>
      <c r="E22" s="124" t="s">
        <v>267</v>
      </c>
      <c r="F22" s="25" t="s">
        <v>110</v>
      </c>
      <c r="G22" s="25">
        <v>2</v>
      </c>
      <c r="H22" s="115">
        <v>2.5684669939989102</v>
      </c>
      <c r="I22" s="115">
        <v>2</v>
      </c>
      <c r="J22" s="115">
        <v>2.7435897435897445</v>
      </c>
      <c r="K22" s="115">
        <v>2</v>
      </c>
      <c r="L22" s="115">
        <v>2.6838516093835252</v>
      </c>
      <c r="M22" s="55" t="e">
        <f>#REF!</f>
        <v>#REF!</v>
      </c>
      <c r="N22" s="31" t="e">
        <f>#REF!</f>
        <v>#REF!</v>
      </c>
      <c r="O22" s="31" t="e">
        <f t="shared" si="0"/>
        <v>#REF!</v>
      </c>
      <c r="P22" s="32" t="e">
        <f>#REF!</f>
        <v>#REF!</v>
      </c>
      <c r="Q22" s="32" t="e">
        <f>#REF!</f>
        <v>#REF!</v>
      </c>
      <c r="R22" s="32" t="e">
        <f>#REF!</f>
        <v>#REF!</v>
      </c>
      <c r="S22" s="32" t="e">
        <f>#REF!</f>
        <v>#REF!</v>
      </c>
      <c r="T22" s="32" t="e">
        <f>#REF!</f>
        <v>#REF!</v>
      </c>
    </row>
    <row r="23" spans="1:20" hidden="1" x14ac:dyDescent="0.25">
      <c r="A23" s="30">
        <v>21</v>
      </c>
      <c r="B23" s="30" t="s">
        <v>95</v>
      </c>
      <c r="C23" s="30" t="s">
        <v>128</v>
      </c>
      <c r="D23" s="30" t="s">
        <v>507</v>
      </c>
      <c r="E23" s="124" t="s">
        <v>258</v>
      </c>
      <c r="F23" s="25" t="s">
        <v>105</v>
      </c>
      <c r="G23" s="25">
        <v>2</v>
      </c>
      <c r="H23" s="115">
        <v>2.5941080196399358</v>
      </c>
      <c r="I23" s="115">
        <v>2</v>
      </c>
      <c r="J23" s="115">
        <v>2.722313147845064</v>
      </c>
      <c r="K23" s="115">
        <v>2</v>
      </c>
      <c r="L23" s="115">
        <v>2.6197490452809613</v>
      </c>
      <c r="M23" s="55" t="e">
        <f>#REF!</f>
        <v>#REF!</v>
      </c>
      <c r="N23" s="31" t="e">
        <f>#REF!</f>
        <v>#REF!</v>
      </c>
      <c r="O23" s="31" t="e">
        <f t="shared" si="0"/>
        <v>#REF!</v>
      </c>
      <c r="P23" s="32" t="e">
        <f>#REF!</f>
        <v>#REF!</v>
      </c>
      <c r="Q23" s="32" t="e">
        <f>#REF!</f>
        <v>#REF!</v>
      </c>
      <c r="R23" s="32" t="e">
        <f>#REF!</f>
        <v>#REF!</v>
      </c>
      <c r="S23" s="32" t="e">
        <f>#REF!</f>
        <v>#REF!</v>
      </c>
      <c r="T23" s="32" t="e">
        <f>#REF!</f>
        <v>#REF!</v>
      </c>
    </row>
    <row r="24" spans="1:20" hidden="1" x14ac:dyDescent="0.25">
      <c r="A24" s="30">
        <v>22</v>
      </c>
      <c r="B24" s="30" t="s">
        <v>95</v>
      </c>
      <c r="C24" s="30" t="s">
        <v>94</v>
      </c>
      <c r="D24" s="30" t="s">
        <v>508</v>
      </c>
      <c r="E24" s="30" t="s">
        <v>265</v>
      </c>
      <c r="F24" s="25" t="s">
        <v>115</v>
      </c>
      <c r="G24" s="25">
        <v>2</v>
      </c>
      <c r="H24" s="115">
        <v>2.6966721222040384</v>
      </c>
      <c r="I24" s="115">
        <v>2</v>
      </c>
      <c r="J24" s="115">
        <v>2.7607746863066023</v>
      </c>
      <c r="K24" s="115">
        <v>2</v>
      </c>
      <c r="L24" s="115">
        <v>2.7607746863066023</v>
      </c>
      <c r="M24" s="55" t="e">
        <f>#REF!</f>
        <v>#REF!</v>
      </c>
      <c r="N24" s="31" t="e">
        <f>#REF!</f>
        <v>#REF!</v>
      </c>
      <c r="O24" s="31" t="e">
        <f t="shared" si="0"/>
        <v>#REF!</v>
      </c>
      <c r="P24" s="32" t="e">
        <f>#REF!</f>
        <v>#REF!</v>
      </c>
      <c r="Q24" s="32" t="e">
        <f>#REF!</f>
        <v>#REF!</v>
      </c>
      <c r="R24" s="32" t="e">
        <f>#REF!</f>
        <v>#REF!</v>
      </c>
      <c r="S24" s="32" t="e">
        <f>#REF!</f>
        <v>#REF!</v>
      </c>
      <c r="T24" s="32" t="e">
        <f>#REF!</f>
        <v>#REF!</v>
      </c>
    </row>
    <row r="25" spans="1:20" hidden="1" x14ac:dyDescent="0.25">
      <c r="A25" s="30">
        <v>23</v>
      </c>
      <c r="B25" s="30" t="s">
        <v>95</v>
      </c>
      <c r="C25" s="30" t="s">
        <v>94</v>
      </c>
      <c r="D25" s="30" t="s">
        <v>509</v>
      </c>
      <c r="E25" s="30" t="s">
        <v>279</v>
      </c>
      <c r="F25" s="25" t="s">
        <v>126</v>
      </c>
      <c r="G25" s="25">
        <v>2</v>
      </c>
      <c r="H25" s="115">
        <v>2.576923076923078</v>
      </c>
      <c r="I25" s="115">
        <v>2</v>
      </c>
      <c r="J25" s="115">
        <v>2.7307692307692317</v>
      </c>
      <c r="K25" s="115">
        <v>2</v>
      </c>
      <c r="L25" s="115">
        <v>2.7435897435897445</v>
      </c>
      <c r="M25" s="55" t="e">
        <f>#REF!</f>
        <v>#REF!</v>
      </c>
      <c r="N25" s="31" t="e">
        <f>#REF!</f>
        <v>#REF!</v>
      </c>
      <c r="O25" s="31" t="e">
        <f t="shared" si="0"/>
        <v>#REF!</v>
      </c>
      <c r="P25" s="32" t="e">
        <f>#REF!</f>
        <v>#REF!</v>
      </c>
      <c r="Q25" s="32" t="e">
        <f>#REF!</f>
        <v>#REF!</v>
      </c>
      <c r="R25" s="32" t="e">
        <f>#REF!</f>
        <v>#REF!</v>
      </c>
      <c r="S25" s="32" t="e">
        <f>#REF!</f>
        <v>#REF!</v>
      </c>
      <c r="T25" s="32" t="e">
        <f>#REF!</f>
        <v>#REF!</v>
      </c>
    </row>
    <row r="26" spans="1:20" hidden="1" x14ac:dyDescent="0.25">
      <c r="A26" s="30">
        <v>24</v>
      </c>
      <c r="B26" s="30" t="s">
        <v>95</v>
      </c>
      <c r="C26" s="30" t="s">
        <v>94</v>
      </c>
      <c r="D26" s="30" t="s">
        <v>510</v>
      </c>
      <c r="E26" s="30" t="s">
        <v>359</v>
      </c>
      <c r="F26" s="25" t="s">
        <v>131</v>
      </c>
      <c r="G26" s="25">
        <v>2</v>
      </c>
      <c r="H26" s="115">
        <v>2.4606457372414829</v>
      </c>
      <c r="I26" s="115">
        <v>2</v>
      </c>
      <c r="J26" s="115">
        <v>2.5503893269850724</v>
      </c>
      <c r="K26" s="115">
        <v>2</v>
      </c>
      <c r="L26" s="115">
        <v>2.4606457372414829</v>
      </c>
      <c r="M26" s="55">
        <f>'Duyen Pham'!H67</f>
        <v>2.6149245063879212</v>
      </c>
      <c r="N26" s="31">
        <f>'Duyen Pham'!H65</f>
        <v>2.8571428571428571E-2</v>
      </c>
      <c r="O26" s="31">
        <f t="shared" si="0"/>
        <v>-2.4320743086700545</v>
      </c>
      <c r="P26" s="32">
        <f>'Duyen Pham'!C66</f>
        <v>0</v>
      </c>
      <c r="Q26" s="32">
        <f>'Duyen Pham'!D66</f>
        <v>0</v>
      </c>
      <c r="R26" s="32" t="str">
        <f>'Duyen Pham'!E66</f>
        <v>x</v>
      </c>
      <c r="S26" s="32">
        <f>'Duyen Pham'!F66</f>
        <v>0</v>
      </c>
      <c r="T26" s="32">
        <f>'Duyen Pham'!G66</f>
        <v>0</v>
      </c>
    </row>
    <row r="27" spans="1:20" hidden="1" x14ac:dyDescent="0.25">
      <c r="A27" s="30">
        <v>25</v>
      </c>
      <c r="B27" s="30" t="s">
        <v>95</v>
      </c>
      <c r="C27" s="30" t="s">
        <v>128</v>
      </c>
      <c r="D27" s="30" t="s">
        <v>511</v>
      </c>
      <c r="E27" s="124" t="s">
        <v>260</v>
      </c>
      <c r="F27" s="25" t="s">
        <v>120</v>
      </c>
      <c r="G27" s="25">
        <v>2</v>
      </c>
      <c r="H27" s="115">
        <v>2.4146208401527551</v>
      </c>
      <c r="I27" s="115">
        <v>2</v>
      </c>
      <c r="J27" s="115">
        <v>2.5556464811783961</v>
      </c>
      <c r="K27" s="115">
        <v>2</v>
      </c>
      <c r="L27" s="115">
        <v>2.4915439170758322</v>
      </c>
      <c r="M27" s="55" t="e">
        <f>#REF!</f>
        <v>#REF!</v>
      </c>
      <c r="N27" s="31" t="e">
        <f>#REF!</f>
        <v>#REF!</v>
      </c>
      <c r="O27" s="31" t="e">
        <f t="shared" si="0"/>
        <v>#REF!</v>
      </c>
      <c r="P27" s="32" t="e">
        <f>#REF!</f>
        <v>#REF!</v>
      </c>
      <c r="Q27" s="32" t="e">
        <f>#REF!</f>
        <v>#REF!</v>
      </c>
      <c r="R27" s="32" t="e">
        <f>#REF!</f>
        <v>#REF!</v>
      </c>
      <c r="S27" s="32" t="e">
        <f>#REF!</f>
        <v>#REF!</v>
      </c>
      <c r="T27" s="32" t="e">
        <f>#REF!</f>
        <v>#REF!</v>
      </c>
    </row>
    <row r="28" spans="1:20" hidden="1" x14ac:dyDescent="0.25">
      <c r="A28" s="30">
        <v>26</v>
      </c>
      <c r="B28" s="30" t="s">
        <v>95</v>
      </c>
      <c r="C28" s="30" t="s">
        <v>94</v>
      </c>
      <c r="D28" s="30" t="s">
        <v>512</v>
      </c>
      <c r="E28" s="124" t="s">
        <v>278</v>
      </c>
      <c r="F28" s="25" t="s">
        <v>130</v>
      </c>
      <c r="G28" s="25">
        <v>2</v>
      </c>
      <c r="H28" s="115">
        <v>2.4146208401527565</v>
      </c>
      <c r="I28" s="115">
        <v>2</v>
      </c>
      <c r="J28" s="115">
        <v>2.6666666666666679</v>
      </c>
      <c r="K28" s="115">
        <v>2</v>
      </c>
      <c r="L28" s="115">
        <v>2.435897435897437</v>
      </c>
      <c r="M28" s="55" t="e">
        <f>#REF!</f>
        <v>#REF!</v>
      </c>
      <c r="N28" s="31" t="e">
        <f>#REF!</f>
        <v>#REF!</v>
      </c>
      <c r="O28" s="31" t="e">
        <f t="shared" si="0"/>
        <v>#REF!</v>
      </c>
      <c r="P28" s="32" t="e">
        <f>#REF!</f>
        <v>#REF!</v>
      </c>
      <c r="Q28" s="32" t="e">
        <f>#REF!</f>
        <v>#REF!</v>
      </c>
      <c r="R28" s="32" t="e">
        <f>#REF!</f>
        <v>#REF!</v>
      </c>
      <c r="S28" s="32" t="e">
        <f>#REF!</f>
        <v>#REF!</v>
      </c>
      <c r="T28" s="32" t="e">
        <f>#REF!</f>
        <v>#REF!</v>
      </c>
    </row>
    <row r="29" spans="1:20" hidden="1" x14ac:dyDescent="0.25">
      <c r="A29" s="30">
        <v>27</v>
      </c>
      <c r="B29" s="30" t="s">
        <v>95</v>
      </c>
      <c r="C29" s="30" t="s">
        <v>94</v>
      </c>
      <c r="D29" s="30" t="s">
        <v>513</v>
      </c>
      <c r="E29" s="124" t="s">
        <v>280</v>
      </c>
      <c r="F29" s="25" t="s">
        <v>112</v>
      </c>
      <c r="G29" s="25">
        <v>2</v>
      </c>
      <c r="H29" s="115">
        <v>2.5043644298963459</v>
      </c>
      <c r="I29" s="115">
        <v>2</v>
      </c>
      <c r="J29" s="115">
        <v>2.5256410256410269</v>
      </c>
      <c r="K29" s="115">
        <v>2</v>
      </c>
      <c r="L29" s="115">
        <v>2.5043644298963459</v>
      </c>
      <c r="M29" s="55" t="e">
        <f>#REF!</f>
        <v>#REF!</v>
      </c>
      <c r="N29" s="31" t="e">
        <f>#REF!</f>
        <v>#REF!</v>
      </c>
      <c r="O29" s="31" t="e">
        <f t="shared" si="0"/>
        <v>#REF!</v>
      </c>
      <c r="P29" s="32" t="e">
        <f>#REF!</f>
        <v>#REF!</v>
      </c>
      <c r="Q29" s="32" t="e">
        <f>#REF!</f>
        <v>#REF!</v>
      </c>
      <c r="R29" s="32" t="e">
        <f>#REF!</f>
        <v>#REF!</v>
      </c>
      <c r="S29" s="32" t="e">
        <f>#REF!</f>
        <v>#REF!</v>
      </c>
      <c r="T29" s="32" t="e">
        <f>#REF!</f>
        <v>#REF!</v>
      </c>
    </row>
    <row r="30" spans="1:20" hidden="1" x14ac:dyDescent="0.25">
      <c r="A30" s="30">
        <v>28</v>
      </c>
      <c r="B30" s="30" t="s">
        <v>95</v>
      </c>
      <c r="C30" s="30" t="s">
        <v>128</v>
      </c>
      <c r="D30" s="30" t="s">
        <v>514</v>
      </c>
      <c r="E30" s="124" t="s">
        <v>249</v>
      </c>
      <c r="F30" s="25" t="s">
        <v>108</v>
      </c>
      <c r="G30" s="25">
        <v>2</v>
      </c>
      <c r="H30" s="115">
        <v>2.337697763229678</v>
      </c>
      <c r="I30" s="115">
        <v>2</v>
      </c>
      <c r="J30" s="115">
        <v>2.358974358974359</v>
      </c>
      <c r="K30" s="115">
        <v>2</v>
      </c>
      <c r="L30" s="115">
        <v>2.337697763229678</v>
      </c>
      <c r="M30" s="55" t="e">
        <f>#REF!</f>
        <v>#REF!</v>
      </c>
      <c r="N30" s="31" t="e">
        <f>#REF!</f>
        <v>#REF!</v>
      </c>
      <c r="O30" s="31" t="e">
        <f t="shared" si="0"/>
        <v>#REF!</v>
      </c>
      <c r="P30" s="32" t="e">
        <f>#REF!</f>
        <v>#REF!</v>
      </c>
      <c r="Q30" s="32" t="e">
        <f>#REF!</f>
        <v>#REF!</v>
      </c>
      <c r="R30" s="32" t="e">
        <f>#REF!</f>
        <v>#REF!</v>
      </c>
      <c r="S30" s="32" t="e">
        <f>#REF!</f>
        <v>#REF!</v>
      </c>
      <c r="T30" s="32" t="e">
        <f>#REF!</f>
        <v>#REF!</v>
      </c>
    </row>
    <row r="31" spans="1:20" hidden="1" x14ac:dyDescent="0.25">
      <c r="A31" s="30">
        <v>29</v>
      </c>
      <c r="B31" s="30" t="s">
        <v>95</v>
      </c>
      <c r="C31" s="30" t="s">
        <v>128</v>
      </c>
      <c r="D31" s="30" t="s">
        <v>515</v>
      </c>
      <c r="E31" s="124" t="s">
        <v>250</v>
      </c>
      <c r="F31" s="25" t="s">
        <v>102</v>
      </c>
      <c r="G31" s="25">
        <v>2</v>
      </c>
      <c r="H31" s="115">
        <v>2.3717948717948718</v>
      </c>
      <c r="I31" s="115">
        <v>2</v>
      </c>
      <c r="J31" s="115">
        <v>2.9102564102564115</v>
      </c>
      <c r="K31" s="115">
        <v>2</v>
      </c>
      <c r="L31" s="115">
        <v>2.6025641025641026</v>
      </c>
      <c r="M31" s="55" t="e">
        <f>#REF!</f>
        <v>#REF!</v>
      </c>
      <c r="N31" s="31" t="e">
        <f>#REF!</f>
        <v>#REF!</v>
      </c>
      <c r="O31" s="31" t="e">
        <f t="shared" si="0"/>
        <v>#REF!</v>
      </c>
      <c r="P31" s="32" t="e">
        <f>#REF!</f>
        <v>#REF!</v>
      </c>
      <c r="Q31" s="32" t="e">
        <f>#REF!</f>
        <v>#REF!</v>
      </c>
      <c r="R31" s="32" t="e">
        <f>#REF!</f>
        <v>#REF!</v>
      </c>
      <c r="S31" s="32" t="e">
        <f>#REF!</f>
        <v>#REF!</v>
      </c>
      <c r="T31" s="32" t="e">
        <f>#REF!</f>
        <v>#REF!</v>
      </c>
    </row>
    <row r="32" spans="1:20" hidden="1" x14ac:dyDescent="0.25">
      <c r="A32" s="30">
        <v>30</v>
      </c>
      <c r="B32" s="30" t="s">
        <v>95</v>
      </c>
      <c r="C32" s="30" t="s">
        <v>128</v>
      </c>
      <c r="D32" s="30" t="s">
        <v>516</v>
      </c>
      <c r="E32" s="124" t="s">
        <v>251</v>
      </c>
      <c r="F32" s="25" t="s">
        <v>122</v>
      </c>
      <c r="G32" s="25">
        <v>2</v>
      </c>
      <c r="H32" s="115">
        <v>2.2351336606655758</v>
      </c>
      <c r="I32" s="115">
        <v>2</v>
      </c>
      <c r="J32" s="115">
        <v>2.6966721222040371</v>
      </c>
      <c r="K32" s="115">
        <v>2</v>
      </c>
      <c r="L32" s="115">
        <v>2.5941080196399349</v>
      </c>
      <c r="M32" s="55" t="e">
        <f>#REF!</f>
        <v>#REF!</v>
      </c>
      <c r="N32" s="31" t="e">
        <f>#REF!</f>
        <v>#REF!</v>
      </c>
      <c r="O32" s="31" t="e">
        <f t="shared" si="0"/>
        <v>#REF!</v>
      </c>
      <c r="P32" s="32" t="e">
        <f>#REF!</f>
        <v>#REF!</v>
      </c>
      <c r="Q32" s="32" t="e">
        <f>#REF!</f>
        <v>#REF!</v>
      </c>
      <c r="R32" s="32" t="e">
        <f>#REF!</f>
        <v>#REF!</v>
      </c>
      <c r="S32" s="32" t="e">
        <f>#REF!</f>
        <v>#REF!</v>
      </c>
      <c r="T32" s="32" t="e">
        <f>#REF!</f>
        <v>#REF!</v>
      </c>
    </row>
    <row r="33" spans="1:20" hidden="1" x14ac:dyDescent="0.25">
      <c r="A33" s="30">
        <v>31</v>
      </c>
      <c r="B33" s="30" t="s">
        <v>95</v>
      </c>
      <c r="C33" s="30" t="s">
        <v>94</v>
      </c>
      <c r="D33" s="30" t="s">
        <v>517</v>
      </c>
      <c r="E33" s="124" t="s">
        <v>277</v>
      </c>
      <c r="F33" s="25" t="s">
        <v>113</v>
      </c>
      <c r="G33" s="25">
        <v>2</v>
      </c>
      <c r="H33" s="115">
        <v>2.0384615384615383</v>
      </c>
      <c r="I33" s="115">
        <v>2</v>
      </c>
      <c r="J33" s="115">
        <v>2.5512820512820524</v>
      </c>
      <c r="K33" s="115">
        <v>2</v>
      </c>
      <c r="L33" s="115">
        <v>2.576923076923078</v>
      </c>
      <c r="M33" s="55" t="e">
        <f>#REF!</f>
        <v>#REF!</v>
      </c>
      <c r="N33" s="31" t="e">
        <f>#REF!</f>
        <v>#REF!</v>
      </c>
      <c r="O33" s="31" t="e">
        <f t="shared" si="0"/>
        <v>#REF!</v>
      </c>
      <c r="P33" s="32" t="e">
        <f>#REF!</f>
        <v>#REF!</v>
      </c>
      <c r="Q33" s="32" t="e">
        <f>#REF!</f>
        <v>#REF!</v>
      </c>
      <c r="R33" s="32" t="e">
        <f>#REF!</f>
        <v>#REF!</v>
      </c>
      <c r="S33" s="32" t="e">
        <f>#REF!</f>
        <v>#REF!</v>
      </c>
      <c r="T33" s="32" t="e">
        <f>#REF!</f>
        <v>#REF!</v>
      </c>
    </row>
    <row r="34" spans="1:20" hidden="1" x14ac:dyDescent="0.25">
      <c r="A34" s="30">
        <v>32</v>
      </c>
      <c r="B34" s="30" t="s">
        <v>95</v>
      </c>
      <c r="C34" s="30" t="s">
        <v>94</v>
      </c>
      <c r="D34" s="30" t="s">
        <v>518</v>
      </c>
      <c r="E34" s="124" t="s">
        <v>272</v>
      </c>
      <c r="F34" s="25" t="s">
        <v>129</v>
      </c>
      <c r="G34" s="25">
        <v>2</v>
      </c>
      <c r="H34" s="115">
        <v>2.2094926350245512</v>
      </c>
      <c r="I34" s="115">
        <v>2</v>
      </c>
      <c r="J34" s="115">
        <v>2.2094926350245512</v>
      </c>
      <c r="K34" s="115">
        <v>2</v>
      </c>
      <c r="L34" s="115">
        <v>2.2094926350245512</v>
      </c>
      <c r="M34" s="55" t="e">
        <f>#REF!</f>
        <v>#REF!</v>
      </c>
      <c r="N34" s="31" t="e">
        <f>#REF!</f>
        <v>#REF!</v>
      </c>
      <c r="O34" s="31" t="e">
        <f t="shared" si="0"/>
        <v>#REF!</v>
      </c>
      <c r="P34" s="32" t="e">
        <f>#REF!</f>
        <v>#REF!</v>
      </c>
      <c r="Q34" s="32" t="e">
        <f>#REF!</f>
        <v>#REF!</v>
      </c>
      <c r="R34" s="32" t="e">
        <f>#REF!</f>
        <v>#REF!</v>
      </c>
      <c r="S34" s="32" t="e">
        <f>#REF!</f>
        <v>#REF!</v>
      </c>
      <c r="T34" s="32" t="e">
        <f>#REF!</f>
        <v>#REF!</v>
      </c>
    </row>
    <row r="35" spans="1:20" hidden="1" x14ac:dyDescent="0.25">
      <c r="A35" s="30">
        <v>33</v>
      </c>
      <c r="B35" s="30" t="s">
        <v>95</v>
      </c>
      <c r="C35" s="30" t="s">
        <v>128</v>
      </c>
      <c r="D35" s="30" t="s">
        <v>519</v>
      </c>
      <c r="E35" s="124" t="s">
        <v>248</v>
      </c>
      <c r="F35" s="26" t="s">
        <v>125</v>
      </c>
      <c r="G35" s="26">
        <v>2</v>
      </c>
      <c r="H35" s="116">
        <v>1.9874522640480086</v>
      </c>
      <c r="I35" s="116">
        <v>2</v>
      </c>
      <c r="J35" s="116">
        <v>2.7479541734860895</v>
      </c>
      <c r="K35" s="116">
        <v>2</v>
      </c>
      <c r="L35" s="116">
        <v>2.4530823786142939</v>
      </c>
      <c r="M35" s="55" t="e">
        <f>#REF!</f>
        <v>#REF!</v>
      </c>
      <c r="N35" s="31" t="e">
        <f>#REF!</f>
        <v>#REF!</v>
      </c>
      <c r="O35" s="31" t="e">
        <f t="shared" si="0"/>
        <v>#REF!</v>
      </c>
      <c r="P35" s="32" t="e">
        <f>#REF!</f>
        <v>#REF!</v>
      </c>
      <c r="Q35" s="32" t="e">
        <f>#REF!</f>
        <v>#REF!</v>
      </c>
      <c r="R35" s="32" t="e">
        <f>#REF!</f>
        <v>#REF!</v>
      </c>
      <c r="S35" s="32" t="e">
        <f>#REF!</f>
        <v>#REF!</v>
      </c>
      <c r="T35" s="32" t="e">
        <f>#REF!</f>
        <v>#REF!</v>
      </c>
    </row>
    <row r="36" spans="1:20" hidden="1" x14ac:dyDescent="0.25">
      <c r="A36" s="30">
        <v>34</v>
      </c>
      <c r="B36" s="30" t="s">
        <v>95</v>
      </c>
      <c r="C36" s="30" t="s">
        <v>94</v>
      </c>
      <c r="D36" s="30" t="s">
        <v>520</v>
      </c>
      <c r="E36" s="124" t="s">
        <v>271</v>
      </c>
      <c r="F36" s="26" t="s">
        <v>123</v>
      </c>
      <c r="G36" s="26">
        <v>2</v>
      </c>
      <c r="H36" s="116">
        <v>1.9787234042553192</v>
      </c>
      <c r="I36" s="116">
        <v>2</v>
      </c>
      <c r="J36" s="116">
        <v>2.358974358974359</v>
      </c>
      <c r="K36" s="116">
        <v>2</v>
      </c>
      <c r="L36" s="116">
        <v>2.2094926350245498</v>
      </c>
      <c r="M36" s="55" t="e">
        <f>#REF!</f>
        <v>#REF!</v>
      </c>
      <c r="N36" s="31" t="e">
        <f>#REF!</f>
        <v>#REF!</v>
      </c>
      <c r="O36" s="31" t="e">
        <f t="shared" si="0"/>
        <v>#REF!</v>
      </c>
      <c r="P36" s="32" t="e">
        <f>#REF!</f>
        <v>#REF!</v>
      </c>
      <c r="Q36" s="32" t="e">
        <f>#REF!</f>
        <v>#REF!</v>
      </c>
      <c r="R36" s="32" t="e">
        <f>#REF!</f>
        <v>#REF!</v>
      </c>
      <c r="S36" s="32" t="e">
        <f>#REF!</f>
        <v>#REF!</v>
      </c>
      <c r="T36" s="32" t="e">
        <f>#REF!</f>
        <v>#REF!</v>
      </c>
    </row>
    <row r="37" spans="1:20" hidden="1" x14ac:dyDescent="0.25">
      <c r="A37" s="30">
        <v>35</v>
      </c>
      <c r="B37" s="30" t="s">
        <v>95</v>
      </c>
      <c r="C37" s="30" t="s">
        <v>94</v>
      </c>
      <c r="D37" s="30" t="s">
        <v>521</v>
      </c>
      <c r="E37" s="30" t="s">
        <v>262</v>
      </c>
      <c r="F37" s="25" t="s">
        <v>116</v>
      </c>
      <c r="G37" s="25">
        <v>2</v>
      </c>
      <c r="H37" s="115">
        <v>1.8452611218568664</v>
      </c>
      <c r="I37" s="115">
        <v>2</v>
      </c>
      <c r="J37" s="115">
        <v>2.26833804493379</v>
      </c>
      <c r="K37" s="115">
        <v>2</v>
      </c>
      <c r="L37" s="115">
        <v>2.0760303526260975</v>
      </c>
      <c r="M37" s="55" t="e">
        <f>#REF!</f>
        <v>#REF!</v>
      </c>
      <c r="N37" s="31" t="e">
        <f>#REF!</f>
        <v>#REF!</v>
      </c>
      <c r="O37" s="31" t="e">
        <f t="shared" si="0"/>
        <v>#REF!</v>
      </c>
      <c r="P37" s="32" t="e">
        <f>#REF!</f>
        <v>#REF!</v>
      </c>
      <c r="Q37" s="32" t="e">
        <f>#REF!</f>
        <v>#REF!</v>
      </c>
      <c r="R37" s="32" t="e">
        <f>#REF!</f>
        <v>#REF!</v>
      </c>
      <c r="S37" s="32" t="e">
        <f>#REF!</f>
        <v>#REF!</v>
      </c>
      <c r="T37" s="32" t="e">
        <f>#REF!</f>
        <v>#REF!</v>
      </c>
    </row>
    <row r="38" spans="1:20" hidden="1" x14ac:dyDescent="0.25">
      <c r="A38" s="30">
        <v>1</v>
      </c>
      <c r="B38" s="30" t="s">
        <v>281</v>
      </c>
      <c r="C38" s="30" t="s">
        <v>94</v>
      </c>
      <c r="D38" s="30" t="s">
        <v>522</v>
      </c>
      <c r="E38" s="124" t="s">
        <v>317</v>
      </c>
      <c r="F38" s="120" t="s">
        <v>282</v>
      </c>
      <c r="G38" s="120">
        <v>2</v>
      </c>
      <c r="H38" s="121">
        <v>2.9426847662141791</v>
      </c>
      <c r="I38" s="121">
        <v>3</v>
      </c>
      <c r="J38" s="121">
        <v>3.38</v>
      </c>
      <c r="K38" s="121">
        <v>3</v>
      </c>
      <c r="L38" s="121">
        <v>3.4909502262443439</v>
      </c>
      <c r="M38" s="55" t="e">
        <f>#REF!</f>
        <v>#REF!</v>
      </c>
      <c r="N38" s="31" t="e">
        <f>#REF!</f>
        <v>#REF!</v>
      </c>
      <c r="O38" s="31" t="e">
        <f t="shared" si="0"/>
        <v>#REF!</v>
      </c>
      <c r="P38" s="32" t="e">
        <f>#REF!</f>
        <v>#REF!</v>
      </c>
      <c r="Q38" s="32" t="e">
        <f>#REF!</f>
        <v>#REF!</v>
      </c>
      <c r="R38" s="32" t="e">
        <f>#REF!</f>
        <v>#REF!</v>
      </c>
      <c r="S38" s="32" t="e">
        <f>#REF!</f>
        <v>#REF!</v>
      </c>
      <c r="T38" s="32" t="e">
        <f>#REF!</f>
        <v>#REF!</v>
      </c>
    </row>
    <row r="39" spans="1:20" x14ac:dyDescent="0.25">
      <c r="A39" s="30">
        <v>2</v>
      </c>
      <c r="B39" s="30" t="s">
        <v>281</v>
      </c>
      <c r="C39" s="30" t="s">
        <v>128</v>
      </c>
      <c r="D39" s="30" t="s">
        <v>408</v>
      </c>
      <c r="E39" s="122" t="s">
        <v>344</v>
      </c>
      <c r="F39" s="53" t="s">
        <v>283</v>
      </c>
      <c r="G39" s="53">
        <v>3</v>
      </c>
      <c r="H39" s="117">
        <v>2.935897435897437</v>
      </c>
      <c r="I39" s="117">
        <v>3</v>
      </c>
      <c r="J39" s="117">
        <v>2.9487179487179498</v>
      </c>
      <c r="K39" s="117">
        <v>3</v>
      </c>
      <c r="L39" s="117">
        <v>2.935897435897437</v>
      </c>
      <c r="M39" s="55" t="e">
        <f>#REF!</f>
        <v>#REF!</v>
      </c>
      <c r="N39" s="31" t="e">
        <f>#REF!</f>
        <v>#REF!</v>
      </c>
      <c r="O39" s="31" t="e">
        <f t="shared" si="0"/>
        <v>#REF!</v>
      </c>
      <c r="P39" s="32" t="e">
        <f>#REF!</f>
        <v>#REF!</v>
      </c>
      <c r="Q39" s="32" t="e">
        <f>#REF!</f>
        <v>#REF!</v>
      </c>
      <c r="R39" s="32" t="e">
        <f>#REF!</f>
        <v>#REF!</v>
      </c>
      <c r="S39" s="32" t="e">
        <f>#REF!</f>
        <v>#REF!</v>
      </c>
      <c r="T39" s="32" t="e">
        <f>#REF!</f>
        <v>#REF!</v>
      </c>
    </row>
    <row r="40" spans="1:20" ht="14.4" x14ac:dyDescent="0.3">
      <c r="A40" s="30">
        <v>3</v>
      </c>
      <c r="B40" s="30" t="s">
        <v>281</v>
      </c>
      <c r="C40" s="30" t="s">
        <v>128</v>
      </c>
      <c r="D40" s="30" t="s">
        <v>523</v>
      </c>
      <c r="E40" s="167" t="s">
        <v>331</v>
      </c>
      <c r="F40" s="120" t="s">
        <v>284</v>
      </c>
      <c r="G40" s="120">
        <v>3</v>
      </c>
      <c r="H40" s="121">
        <v>2.914620840152756</v>
      </c>
      <c r="I40" s="121">
        <v>3</v>
      </c>
      <c r="J40" s="121">
        <v>2.9402618657937816</v>
      </c>
      <c r="K40" s="121">
        <v>3</v>
      </c>
      <c r="L40" s="121">
        <v>2.9274413529732688</v>
      </c>
      <c r="M40" s="55" t="e">
        <f>#REF!</f>
        <v>#REF!</v>
      </c>
      <c r="N40" s="31" t="e">
        <f>#REF!</f>
        <v>#REF!</v>
      </c>
      <c r="O40" s="31" t="e">
        <f t="shared" si="0"/>
        <v>#REF!</v>
      </c>
      <c r="P40" s="32" t="e">
        <f>#REF!</f>
        <v>#REF!</v>
      </c>
      <c r="Q40" s="32" t="e">
        <f>#REF!</f>
        <v>#REF!</v>
      </c>
      <c r="R40" s="32" t="e">
        <f>#REF!</f>
        <v>#REF!</v>
      </c>
      <c r="S40" s="32" t="e">
        <f>#REF!</f>
        <v>#REF!</v>
      </c>
      <c r="T40" s="32" t="e">
        <f>#REF!</f>
        <v>#REF!</v>
      </c>
    </row>
    <row r="41" spans="1:20" hidden="1" x14ac:dyDescent="0.25">
      <c r="A41" s="30">
        <v>4</v>
      </c>
      <c r="B41" s="30" t="s">
        <v>281</v>
      </c>
      <c r="C41" s="30" t="s">
        <v>94</v>
      </c>
      <c r="D41" s="30" t="s">
        <v>524</v>
      </c>
      <c r="E41" s="30" t="s">
        <v>477</v>
      </c>
      <c r="F41" s="120" t="s">
        <v>285</v>
      </c>
      <c r="G41" s="120">
        <v>2</v>
      </c>
      <c r="H41" s="121">
        <v>2.9358974358974366</v>
      </c>
      <c r="I41" s="121">
        <v>3</v>
      </c>
      <c r="J41" s="121">
        <v>2.9615384615384621</v>
      </c>
      <c r="K41" s="121">
        <v>3</v>
      </c>
      <c r="L41" s="121">
        <v>2.9487179487179493</v>
      </c>
      <c r="M41" s="55" t="e">
        <f>#REF!</f>
        <v>#REF!</v>
      </c>
      <c r="N41" s="31" t="e">
        <f>#REF!</f>
        <v>#REF!</v>
      </c>
      <c r="O41" s="31" t="e">
        <f t="shared" si="0"/>
        <v>#REF!</v>
      </c>
      <c r="P41" s="32" t="e">
        <f>#REF!</f>
        <v>#REF!</v>
      </c>
      <c r="Q41" s="32" t="e">
        <f>#REF!</f>
        <v>#REF!</v>
      </c>
      <c r="R41" s="32" t="e">
        <f>#REF!</f>
        <v>#REF!</v>
      </c>
      <c r="S41" s="32" t="e">
        <f>#REF!</f>
        <v>#REF!</v>
      </c>
      <c r="T41" s="32" t="e">
        <f>#REF!</f>
        <v>#REF!</v>
      </c>
    </row>
    <row r="42" spans="1:20" x14ac:dyDescent="0.25">
      <c r="A42" s="30">
        <v>5</v>
      </c>
      <c r="B42" s="30" t="s">
        <v>281</v>
      </c>
      <c r="C42" s="30" t="s">
        <v>128</v>
      </c>
      <c r="D42" s="30" t="s">
        <v>415</v>
      </c>
      <c r="E42" s="122" t="s">
        <v>338</v>
      </c>
      <c r="F42" s="54" t="s">
        <v>286</v>
      </c>
      <c r="G42" s="54">
        <v>3</v>
      </c>
      <c r="H42" s="118">
        <v>2.8761593016912177</v>
      </c>
      <c r="I42" s="118">
        <v>3</v>
      </c>
      <c r="J42" s="118">
        <v>2.8761593016912177</v>
      </c>
      <c r="K42" s="118">
        <v>3</v>
      </c>
      <c r="L42" s="118">
        <v>2.8761593016912177</v>
      </c>
      <c r="M42" s="55" t="e">
        <f>#REF!</f>
        <v>#REF!</v>
      </c>
      <c r="N42" s="31" t="e">
        <f>#REF!</f>
        <v>#REF!</v>
      </c>
      <c r="O42" s="31" t="e">
        <f t="shared" si="0"/>
        <v>#REF!</v>
      </c>
      <c r="P42" s="32" t="e">
        <f>#REF!</f>
        <v>#REF!</v>
      </c>
      <c r="Q42" s="32" t="e">
        <f>#REF!</f>
        <v>#REF!</v>
      </c>
      <c r="R42" s="32" t="e">
        <f>#REF!</f>
        <v>#REF!</v>
      </c>
      <c r="S42" s="32" t="e">
        <f>#REF!</f>
        <v>#REF!</v>
      </c>
      <c r="T42" s="32" t="e">
        <f>#REF!</f>
        <v>#REF!</v>
      </c>
    </row>
    <row r="43" spans="1:20" x14ac:dyDescent="0.25">
      <c r="A43" s="30">
        <v>6</v>
      </c>
      <c r="B43" s="30" t="s">
        <v>281</v>
      </c>
      <c r="C43" s="30" t="s">
        <v>128</v>
      </c>
      <c r="D43" s="30" t="s">
        <v>525</v>
      </c>
      <c r="E43" s="122" t="s">
        <v>339</v>
      </c>
      <c r="F43" s="52" t="s">
        <v>287</v>
      </c>
      <c r="G43" s="52">
        <v>3</v>
      </c>
      <c r="H43" s="119">
        <v>2.9402618657937816</v>
      </c>
      <c r="I43" s="119">
        <v>3</v>
      </c>
      <c r="J43" s="119">
        <v>3.325631398222137</v>
      </c>
      <c r="K43" s="119">
        <v>3</v>
      </c>
      <c r="L43" s="119">
        <v>2.9530823786142943</v>
      </c>
      <c r="M43" s="55" t="e">
        <f>#REF!</f>
        <v>#REF!</v>
      </c>
      <c r="N43" s="31" t="e">
        <f>#REF!</f>
        <v>#REF!</v>
      </c>
      <c r="O43" s="31" t="e">
        <f t="shared" si="0"/>
        <v>#REF!</v>
      </c>
      <c r="P43" s="32" t="e">
        <f>#REF!</f>
        <v>#REF!</v>
      </c>
      <c r="Q43" s="32" t="e">
        <f>#REF!</f>
        <v>#REF!</v>
      </c>
      <c r="R43" s="32" t="e">
        <f>#REF!</f>
        <v>#REF!</v>
      </c>
      <c r="S43" s="32" t="e">
        <f>#REF!</f>
        <v>#REF!</v>
      </c>
      <c r="T43" s="32" t="e">
        <f>#REF!</f>
        <v>#REF!</v>
      </c>
    </row>
    <row r="44" spans="1:20" x14ac:dyDescent="0.25">
      <c r="A44" s="30">
        <v>7</v>
      </c>
      <c r="B44" s="30" t="s">
        <v>281</v>
      </c>
      <c r="C44" s="30" t="s">
        <v>128</v>
      </c>
      <c r="D44" s="30" t="s">
        <v>407</v>
      </c>
      <c r="E44" s="122" t="s">
        <v>393</v>
      </c>
      <c r="F44" s="52" t="s">
        <v>288</v>
      </c>
      <c r="G44" s="52">
        <v>2</v>
      </c>
      <c r="H44" s="119">
        <v>2.8076923076923084</v>
      </c>
      <c r="I44" s="119">
        <v>3</v>
      </c>
      <c r="J44" s="119">
        <v>3.2556561085972855</v>
      </c>
      <c r="K44" s="119">
        <v>3</v>
      </c>
      <c r="L44" s="119">
        <v>2.9841628959276019</v>
      </c>
      <c r="M44" s="55" t="e">
        <f>#REF!</f>
        <v>#REF!</v>
      </c>
      <c r="N44" s="31" t="e">
        <f>#REF!</f>
        <v>#REF!</v>
      </c>
      <c r="O44" s="31" t="e">
        <f t="shared" si="0"/>
        <v>#REF!</v>
      </c>
      <c r="P44" s="32" t="e">
        <f>#REF!</f>
        <v>#REF!</v>
      </c>
      <c r="Q44" s="32" t="e">
        <f>#REF!</f>
        <v>#REF!</v>
      </c>
      <c r="R44" s="32" t="e">
        <f>#REF!</f>
        <v>#REF!</v>
      </c>
      <c r="S44" s="32" t="e">
        <f>#REF!</f>
        <v>#REF!</v>
      </c>
      <c r="T44" s="32" t="e">
        <f>#REF!</f>
        <v>#REF!</v>
      </c>
    </row>
    <row r="45" spans="1:20" hidden="1" x14ac:dyDescent="0.25">
      <c r="A45" s="30">
        <v>8</v>
      </c>
      <c r="B45" s="30" t="s">
        <v>281</v>
      </c>
      <c r="C45" s="30" t="s">
        <v>94</v>
      </c>
      <c r="D45" s="30" t="s">
        <v>526</v>
      </c>
      <c r="E45" s="30" t="s">
        <v>340</v>
      </c>
      <c r="F45" s="120" t="s">
        <v>289</v>
      </c>
      <c r="G45" s="120">
        <v>2</v>
      </c>
      <c r="H45" s="121">
        <v>2.5716659227297534</v>
      </c>
      <c r="I45" s="121">
        <v>3</v>
      </c>
      <c r="J45" s="121">
        <v>2.7767941278579586</v>
      </c>
      <c r="K45" s="121">
        <v>3</v>
      </c>
      <c r="L45" s="121">
        <v>2.7126915637553943</v>
      </c>
      <c r="M45" s="55" t="e">
        <f>#REF!</f>
        <v>#REF!</v>
      </c>
      <c r="N45" s="31" t="e">
        <f>#REF!</f>
        <v>#REF!</v>
      </c>
      <c r="O45" s="31" t="e">
        <f t="shared" si="0"/>
        <v>#REF!</v>
      </c>
      <c r="P45" s="32" t="e">
        <f>#REF!</f>
        <v>#REF!</v>
      </c>
      <c r="Q45" s="32" t="e">
        <f>#REF!</f>
        <v>#REF!</v>
      </c>
      <c r="R45" s="32" t="e">
        <f>#REF!</f>
        <v>#REF!</v>
      </c>
      <c r="S45" s="32" t="e">
        <f>#REF!</f>
        <v>#REF!</v>
      </c>
      <c r="T45" s="32" t="e">
        <f>#REF!</f>
        <v>#REF!</v>
      </c>
    </row>
    <row r="46" spans="1:20" ht="14.4" x14ac:dyDescent="0.25">
      <c r="A46" s="30">
        <v>9</v>
      </c>
      <c r="B46" s="30" t="s">
        <v>281</v>
      </c>
      <c r="C46" s="30" t="s">
        <v>128</v>
      </c>
      <c r="D46" s="30" t="s">
        <v>527</v>
      </c>
      <c r="E46" s="168" t="s">
        <v>343</v>
      </c>
      <c r="F46" s="120" t="s">
        <v>290</v>
      </c>
      <c r="G46" s="120">
        <v>3</v>
      </c>
      <c r="H46" s="121">
        <v>2.9018003273322432</v>
      </c>
      <c r="I46" s="121">
        <v>3</v>
      </c>
      <c r="J46" s="121">
        <v>2.9018003273322432</v>
      </c>
      <c r="K46" s="121">
        <v>3</v>
      </c>
      <c r="L46" s="121">
        <v>2.9018003273322432</v>
      </c>
      <c r="M46" s="55" t="e">
        <f>#REF!</f>
        <v>#REF!</v>
      </c>
      <c r="N46" s="31" t="e">
        <f>#REF!</f>
        <v>#REF!</v>
      </c>
      <c r="O46" s="31" t="e">
        <f t="shared" si="0"/>
        <v>#REF!</v>
      </c>
      <c r="P46" s="32" t="e">
        <f>#REF!</f>
        <v>#REF!</v>
      </c>
      <c r="Q46" s="32" t="e">
        <f>#REF!</f>
        <v>#REF!</v>
      </c>
      <c r="R46" s="32" t="e">
        <f>#REF!</f>
        <v>#REF!</v>
      </c>
      <c r="S46" s="32" t="e">
        <f>#REF!</f>
        <v>#REF!</v>
      </c>
      <c r="T46" s="32" t="e">
        <f>#REF!</f>
        <v>#REF!</v>
      </c>
    </row>
    <row r="47" spans="1:20" hidden="1" x14ac:dyDescent="0.25">
      <c r="A47" s="30">
        <v>10</v>
      </c>
      <c r="B47" s="30" t="s">
        <v>281</v>
      </c>
      <c r="C47" s="30" t="s">
        <v>94</v>
      </c>
      <c r="D47" s="30" t="s">
        <v>528</v>
      </c>
      <c r="E47" s="30" t="s">
        <v>320</v>
      </c>
      <c r="F47" s="120" t="s">
        <v>291</v>
      </c>
      <c r="G47" s="120">
        <v>2</v>
      </c>
      <c r="H47" s="121">
        <v>2.7307692307692317</v>
      </c>
      <c r="I47" s="121">
        <v>3</v>
      </c>
      <c r="J47" s="121">
        <v>2.9487179487179493</v>
      </c>
      <c r="K47" s="121">
        <v>3</v>
      </c>
      <c r="L47" s="121">
        <v>2.8333333333333344</v>
      </c>
      <c r="M47" s="55" t="e">
        <f>#REF!</f>
        <v>#REF!</v>
      </c>
      <c r="N47" s="31" t="e">
        <f>#REF!</f>
        <v>#REF!</v>
      </c>
      <c r="O47" s="31" t="e">
        <f t="shared" si="0"/>
        <v>#REF!</v>
      </c>
      <c r="P47" s="32" t="e">
        <f>#REF!</f>
        <v>#REF!</v>
      </c>
      <c r="Q47" s="32" t="e">
        <f>#REF!</f>
        <v>#REF!</v>
      </c>
      <c r="R47" s="32" t="e">
        <f>#REF!</f>
        <v>#REF!</v>
      </c>
      <c r="S47" s="32" t="e">
        <f>#REF!</f>
        <v>#REF!</v>
      </c>
      <c r="T47" s="32" t="e">
        <f>#REF!</f>
        <v>#REF!</v>
      </c>
    </row>
    <row r="48" spans="1:20" x14ac:dyDescent="0.25">
      <c r="A48" s="30">
        <v>11</v>
      </c>
      <c r="B48" s="30" t="s">
        <v>281</v>
      </c>
      <c r="C48" s="30" t="s">
        <v>128</v>
      </c>
      <c r="D48" s="30" t="s">
        <v>406</v>
      </c>
      <c r="E48" s="122" t="s">
        <v>327</v>
      </c>
      <c r="F48" s="52" t="s">
        <v>292</v>
      </c>
      <c r="G48" s="52">
        <v>2</v>
      </c>
      <c r="H48" s="119">
        <v>2.6838516093835252</v>
      </c>
      <c r="I48" s="119">
        <v>3</v>
      </c>
      <c r="J48" s="119">
        <v>2.9274413529732688</v>
      </c>
      <c r="K48" s="119">
        <v>3</v>
      </c>
      <c r="L48" s="119">
        <v>2.7351336606655767</v>
      </c>
      <c r="M48" s="55" t="e">
        <f>#REF!</f>
        <v>#REF!</v>
      </c>
      <c r="N48" s="31" t="e">
        <f>#REF!</f>
        <v>#REF!</v>
      </c>
      <c r="O48" s="31" t="e">
        <f t="shared" si="0"/>
        <v>#REF!</v>
      </c>
      <c r="P48" s="32" t="e">
        <f>#REF!</f>
        <v>#REF!</v>
      </c>
      <c r="Q48" s="32" t="e">
        <f>#REF!</f>
        <v>#REF!</v>
      </c>
      <c r="R48" s="32" t="e">
        <f>#REF!</f>
        <v>#REF!</v>
      </c>
      <c r="S48" s="32" t="e">
        <f>#REF!</f>
        <v>#REF!</v>
      </c>
      <c r="T48" s="32" t="e">
        <f>#REF!</f>
        <v>#REF!</v>
      </c>
    </row>
    <row r="49" spans="1:20" x14ac:dyDescent="0.25">
      <c r="A49" s="30">
        <v>12</v>
      </c>
      <c r="B49" s="30" t="s">
        <v>281</v>
      </c>
      <c r="C49" s="30" t="s">
        <v>128</v>
      </c>
      <c r="D49" s="30" t="s">
        <v>403</v>
      </c>
      <c r="E49" s="122" t="s">
        <v>386</v>
      </c>
      <c r="F49" s="52" t="s">
        <v>293</v>
      </c>
      <c r="G49" s="52">
        <v>2</v>
      </c>
      <c r="H49" s="119">
        <v>2.5888508654466111</v>
      </c>
      <c r="I49" s="119">
        <v>3</v>
      </c>
      <c r="J49" s="119">
        <v>2.7555175321132777</v>
      </c>
      <c r="K49" s="119">
        <v>3</v>
      </c>
      <c r="L49" s="119">
        <v>2.652953429549175</v>
      </c>
      <c r="M49" s="55" t="e">
        <f>#REF!</f>
        <v>#REF!</v>
      </c>
      <c r="N49" s="31" t="e">
        <f>#REF!</f>
        <v>#REF!</v>
      </c>
      <c r="O49" s="31" t="e">
        <f t="shared" si="0"/>
        <v>#REF!</v>
      </c>
      <c r="P49" s="32" t="e">
        <f>#REF!</f>
        <v>#REF!</v>
      </c>
      <c r="Q49" s="32" t="e">
        <f>#REF!</f>
        <v>#REF!</v>
      </c>
      <c r="R49" s="32" t="e">
        <f>#REF!</f>
        <v>#REF!</v>
      </c>
      <c r="S49" s="32" t="e">
        <f>#REF!</f>
        <v>#REF!</v>
      </c>
      <c r="T49" s="32" t="e">
        <f>#REF!</f>
        <v>#REF!</v>
      </c>
    </row>
    <row r="50" spans="1:20" hidden="1" x14ac:dyDescent="0.25">
      <c r="A50" s="30">
        <v>13</v>
      </c>
      <c r="B50" s="30" t="s">
        <v>281</v>
      </c>
      <c r="C50" s="30" t="s">
        <v>94</v>
      </c>
      <c r="D50" s="30" t="s">
        <v>399</v>
      </c>
      <c r="E50" s="122" t="s">
        <v>394</v>
      </c>
      <c r="F50" s="54" t="s">
        <v>294</v>
      </c>
      <c r="G50" s="54">
        <v>2</v>
      </c>
      <c r="H50" s="118">
        <v>2.7223131478450635</v>
      </c>
      <c r="I50" s="118">
        <v>2</v>
      </c>
      <c r="J50" s="118">
        <v>2.8248772504091662</v>
      </c>
      <c r="K50" s="118">
        <v>2</v>
      </c>
      <c r="L50" s="118">
        <v>2.8120567375886529</v>
      </c>
      <c r="M50" s="55" t="e">
        <f>#REF!</f>
        <v>#REF!</v>
      </c>
      <c r="N50" s="31" t="e">
        <f>#REF!</f>
        <v>#REF!</v>
      </c>
      <c r="O50" s="31" t="e">
        <f t="shared" si="0"/>
        <v>#REF!</v>
      </c>
      <c r="P50" s="32" t="e">
        <f>#REF!</f>
        <v>#REF!</v>
      </c>
      <c r="Q50" s="32" t="e">
        <f>#REF!</f>
        <v>#REF!</v>
      </c>
      <c r="R50" s="32" t="e">
        <f>#REF!</f>
        <v>#REF!</v>
      </c>
      <c r="S50" s="32" t="e">
        <f>#REF!</f>
        <v>#REF!</v>
      </c>
      <c r="T50" s="32" t="e">
        <f>#REF!</f>
        <v>#REF!</v>
      </c>
    </row>
    <row r="51" spans="1:20" hidden="1" x14ac:dyDescent="0.25">
      <c r="A51" s="30">
        <v>14</v>
      </c>
      <c r="B51" s="30" t="s">
        <v>281</v>
      </c>
      <c r="C51" s="30" t="s">
        <v>94</v>
      </c>
      <c r="D51" s="30" t="s">
        <v>529</v>
      </c>
      <c r="E51" s="30" t="s">
        <v>319</v>
      </c>
      <c r="F51" s="120" t="s">
        <v>120</v>
      </c>
      <c r="G51" s="120">
        <v>2</v>
      </c>
      <c r="H51" s="121">
        <v>2.7735951991271151</v>
      </c>
      <c r="I51" s="121">
        <v>3</v>
      </c>
      <c r="J51" s="121">
        <v>2.9615384615384626</v>
      </c>
      <c r="K51" s="121">
        <v>2</v>
      </c>
      <c r="L51" s="121">
        <v>2.4915439170758322</v>
      </c>
      <c r="M51" s="55" t="e">
        <f>#REF!</f>
        <v>#REF!</v>
      </c>
      <c r="N51" s="31" t="e">
        <f>#REF!</f>
        <v>#REF!</v>
      </c>
      <c r="O51" s="31" t="e">
        <f t="shared" si="0"/>
        <v>#REF!</v>
      </c>
      <c r="P51" s="32" t="e">
        <f>#REF!</f>
        <v>#REF!</v>
      </c>
      <c r="Q51" s="32" t="e">
        <f>#REF!</f>
        <v>#REF!</v>
      </c>
      <c r="R51" s="32" t="e">
        <f>#REF!</f>
        <v>#REF!</v>
      </c>
      <c r="S51" s="32" t="e">
        <f>#REF!</f>
        <v>#REF!</v>
      </c>
      <c r="T51" s="32" t="e">
        <f>#REF!</f>
        <v>#REF!</v>
      </c>
    </row>
    <row r="52" spans="1:20" hidden="1" x14ac:dyDescent="0.25">
      <c r="A52" s="30">
        <v>15</v>
      </c>
      <c r="B52" s="30" t="s">
        <v>281</v>
      </c>
      <c r="C52" s="30" t="s">
        <v>619</v>
      </c>
      <c r="D52" s="30" t="s">
        <v>530</v>
      </c>
      <c r="E52" s="122" t="s">
        <v>375</v>
      </c>
      <c r="F52" s="52" t="s">
        <v>295</v>
      </c>
      <c r="G52" s="52">
        <v>2</v>
      </c>
      <c r="H52" s="119">
        <v>2.4693745970341721</v>
      </c>
      <c r="I52" s="119">
        <v>2</v>
      </c>
      <c r="J52" s="119">
        <v>2.4950156226751976</v>
      </c>
      <c r="K52" s="119">
        <v>2</v>
      </c>
      <c r="L52" s="119">
        <v>2.5078361354957104</v>
      </c>
      <c r="M52" s="55" t="e">
        <f>#REF!</f>
        <v>#REF!</v>
      </c>
      <c r="N52" s="31" t="e">
        <f>#REF!</f>
        <v>#REF!</v>
      </c>
      <c r="O52" s="31" t="e">
        <f t="shared" si="0"/>
        <v>#REF!</v>
      </c>
      <c r="P52" s="32" t="e">
        <f>#REF!</f>
        <v>#REF!</v>
      </c>
      <c r="Q52" s="32" t="e">
        <f>#REF!</f>
        <v>#REF!</v>
      </c>
      <c r="R52" s="32" t="e">
        <f>#REF!</f>
        <v>#REF!</v>
      </c>
      <c r="S52" s="32" t="e">
        <f>#REF!</f>
        <v>#REF!</v>
      </c>
      <c r="T52" s="32" t="e">
        <f>#REF!</f>
        <v>#REF!</v>
      </c>
    </row>
    <row r="53" spans="1:20" hidden="1" x14ac:dyDescent="0.25">
      <c r="A53" s="30">
        <v>16</v>
      </c>
      <c r="B53" s="30" t="s">
        <v>281</v>
      </c>
      <c r="C53" s="30" t="s">
        <v>619</v>
      </c>
      <c r="D53" s="30" t="s">
        <v>413</v>
      </c>
      <c r="E53" s="122" t="s">
        <v>391</v>
      </c>
      <c r="F53" s="54" t="s">
        <v>296</v>
      </c>
      <c r="G53" s="54">
        <v>2</v>
      </c>
      <c r="H53" s="118">
        <v>2.4309130585726337</v>
      </c>
      <c r="I53" s="118">
        <v>2</v>
      </c>
      <c r="J53" s="118">
        <v>2.6060358081634685</v>
      </c>
      <c r="K53" s="118">
        <v>2</v>
      </c>
      <c r="L53" s="118">
        <v>2.5932152953429557</v>
      </c>
      <c r="M53" s="55">
        <f>'Bich Do'!H67</f>
        <v>3.1024726450272024</v>
      </c>
      <c r="N53" s="31">
        <f>'Bich Do'!H65</f>
        <v>4.9624060150375938E-2</v>
      </c>
      <c r="O53" s="31">
        <f t="shared" si="0"/>
        <v>-2.5435912351925798</v>
      </c>
      <c r="P53" s="32">
        <f>'Bich Do'!C66</f>
        <v>0</v>
      </c>
      <c r="Q53" s="32">
        <f>'Bich Do'!D66</f>
        <v>0</v>
      </c>
      <c r="R53" s="32">
        <f>'Bich Do'!E66</f>
        <v>0</v>
      </c>
      <c r="S53" s="32" t="str">
        <f>'Bich Do'!F66</f>
        <v>x</v>
      </c>
      <c r="T53" s="32">
        <f>'Bich Do'!G66</f>
        <v>0</v>
      </c>
    </row>
    <row r="54" spans="1:20" x14ac:dyDescent="0.25">
      <c r="A54" s="30">
        <v>17</v>
      </c>
      <c r="B54" s="30" t="s">
        <v>281</v>
      </c>
      <c r="C54" s="30" t="s">
        <v>128</v>
      </c>
      <c r="D54" s="325" t="s">
        <v>409</v>
      </c>
      <c r="E54" s="122" t="s">
        <v>341</v>
      </c>
      <c r="F54" s="52" t="s">
        <v>297</v>
      </c>
      <c r="G54" s="52">
        <v>2</v>
      </c>
      <c r="H54" s="119">
        <v>2.3933442444080746</v>
      </c>
      <c r="I54" s="119">
        <v>2</v>
      </c>
      <c r="J54" s="119">
        <v>2.5984724495362799</v>
      </c>
      <c r="K54" s="119">
        <v>2</v>
      </c>
      <c r="L54" s="119">
        <v>2.6112929623567926</v>
      </c>
      <c r="M54" s="55" t="e">
        <f>#REF!</f>
        <v>#REF!</v>
      </c>
      <c r="N54" s="31" t="e">
        <f>#REF!</f>
        <v>#REF!</v>
      </c>
      <c r="O54" s="31" t="e">
        <f t="shared" si="0"/>
        <v>#REF!</v>
      </c>
      <c r="P54" s="32" t="e">
        <f>#REF!</f>
        <v>#REF!</v>
      </c>
      <c r="Q54" s="32" t="e">
        <f>#REF!</f>
        <v>#REF!</v>
      </c>
      <c r="R54" s="32" t="e">
        <f>#REF!</f>
        <v>#REF!</v>
      </c>
      <c r="S54" s="32" t="e">
        <f>#REF!</f>
        <v>#REF!</v>
      </c>
      <c r="T54" s="32" t="e">
        <f>#REF!</f>
        <v>#REF!</v>
      </c>
    </row>
    <row r="55" spans="1:20" hidden="1" x14ac:dyDescent="0.25">
      <c r="A55" s="30">
        <v>18</v>
      </c>
      <c r="B55" s="30" t="s">
        <v>281</v>
      </c>
      <c r="C55" s="30" t="s">
        <v>94</v>
      </c>
      <c r="D55" s="30" t="s">
        <v>402</v>
      </c>
      <c r="E55" s="122" t="s">
        <v>328</v>
      </c>
      <c r="F55" s="52" t="s">
        <v>298</v>
      </c>
      <c r="G55" s="52">
        <v>1</v>
      </c>
      <c r="H55" s="119">
        <v>2.521822149481725</v>
      </c>
      <c r="I55" s="119">
        <v>2</v>
      </c>
      <c r="J55" s="119">
        <v>2.8205128205128216</v>
      </c>
      <c r="K55" s="119">
        <v>2</v>
      </c>
      <c r="L55" s="119">
        <v>2.5474631751227506</v>
      </c>
      <c r="M55" s="55" t="e">
        <f>#REF!</f>
        <v>#REF!</v>
      </c>
      <c r="N55" s="31" t="e">
        <f>#REF!</f>
        <v>#REF!</v>
      </c>
      <c r="O55" s="31" t="e">
        <f t="shared" si="0"/>
        <v>#REF!</v>
      </c>
      <c r="P55" s="32" t="e">
        <f>#REF!</f>
        <v>#REF!</v>
      </c>
      <c r="Q55" s="32" t="e">
        <f>#REF!</f>
        <v>#REF!</v>
      </c>
      <c r="R55" s="32" t="e">
        <f>#REF!</f>
        <v>#REF!</v>
      </c>
      <c r="S55" s="32" t="e">
        <f>#REF!</f>
        <v>#REF!</v>
      </c>
      <c r="T55" s="32" t="e">
        <f>#REF!</f>
        <v>#REF!</v>
      </c>
    </row>
    <row r="56" spans="1:20" hidden="1" x14ac:dyDescent="0.25">
      <c r="A56" s="30">
        <v>19</v>
      </c>
      <c r="B56" s="30" t="s">
        <v>281</v>
      </c>
      <c r="C56" s="30" t="s">
        <v>94</v>
      </c>
      <c r="D56" s="30" t="s">
        <v>531</v>
      </c>
      <c r="E56" s="30" t="s">
        <v>322</v>
      </c>
      <c r="F56" s="120" t="s">
        <v>299</v>
      </c>
      <c r="G56" s="120">
        <v>2</v>
      </c>
      <c r="H56" s="121">
        <v>2.5641025641025652</v>
      </c>
      <c r="I56" s="121">
        <v>3</v>
      </c>
      <c r="J56" s="121">
        <v>2.9487179487179498</v>
      </c>
      <c r="K56" s="121">
        <v>3</v>
      </c>
      <c r="L56" s="121">
        <v>2.6794871794871802</v>
      </c>
      <c r="M56" s="55" t="e">
        <f>#REF!</f>
        <v>#REF!</v>
      </c>
      <c r="N56" s="31" t="e">
        <f>#REF!</f>
        <v>#REF!</v>
      </c>
      <c r="O56" s="31" t="e">
        <f t="shared" si="0"/>
        <v>#REF!</v>
      </c>
      <c r="P56" s="32" t="e">
        <f>#REF!</f>
        <v>#REF!</v>
      </c>
      <c r="Q56" s="32" t="e">
        <f>#REF!</f>
        <v>#REF!</v>
      </c>
      <c r="R56" s="32" t="e">
        <f>#REF!</f>
        <v>#REF!</v>
      </c>
      <c r="S56" s="32" t="e">
        <f>#REF!</f>
        <v>#REF!</v>
      </c>
      <c r="T56" s="32" t="e">
        <f>#REF!</f>
        <v>#REF!</v>
      </c>
    </row>
    <row r="57" spans="1:20" hidden="1" x14ac:dyDescent="0.25">
      <c r="A57" s="30">
        <v>20</v>
      </c>
      <c r="B57" s="30" t="s">
        <v>281</v>
      </c>
      <c r="C57" s="30" t="s">
        <v>94</v>
      </c>
      <c r="D57" s="30" t="s">
        <v>532</v>
      </c>
      <c r="E57" s="30" t="s">
        <v>323</v>
      </c>
      <c r="F57" s="120" t="s">
        <v>300</v>
      </c>
      <c r="G57" s="120">
        <v>2</v>
      </c>
      <c r="H57" s="121">
        <v>2.2351336606655754</v>
      </c>
      <c r="I57" s="121">
        <v>2</v>
      </c>
      <c r="J57" s="121">
        <v>2.8589743589743604</v>
      </c>
      <c r="K57" s="121">
        <v>2</v>
      </c>
      <c r="L57" s="121">
        <v>2.5769230769230775</v>
      </c>
      <c r="M57" s="55" t="e">
        <f>#REF!</f>
        <v>#REF!</v>
      </c>
      <c r="N57" s="31" t="e">
        <f>#REF!</f>
        <v>#REF!</v>
      </c>
      <c r="O57" s="31" t="e">
        <f t="shared" si="0"/>
        <v>#REF!</v>
      </c>
      <c r="P57" s="32" t="e">
        <f>#REF!</f>
        <v>#REF!</v>
      </c>
      <c r="Q57" s="32" t="e">
        <f>#REF!</f>
        <v>#REF!</v>
      </c>
      <c r="R57" s="32" t="e">
        <f>#REF!</f>
        <v>#REF!</v>
      </c>
      <c r="S57" s="32" t="e">
        <f>#REF!</f>
        <v>#REF!</v>
      </c>
      <c r="T57" s="32" t="e">
        <f>#REF!</f>
        <v>#REF!</v>
      </c>
    </row>
    <row r="58" spans="1:20" hidden="1" x14ac:dyDescent="0.25">
      <c r="A58" s="30">
        <v>21</v>
      </c>
      <c r="B58" s="30" t="s">
        <v>281</v>
      </c>
      <c r="C58" s="30" t="s">
        <v>94</v>
      </c>
      <c r="D58" s="30" t="s">
        <v>533</v>
      </c>
      <c r="E58" s="124" t="s">
        <v>379</v>
      </c>
      <c r="F58" s="52" t="s">
        <v>301</v>
      </c>
      <c r="G58" s="52">
        <v>1</v>
      </c>
      <c r="H58" s="119">
        <v>1.1000000000000001</v>
      </c>
      <c r="I58" s="119">
        <v>2</v>
      </c>
      <c r="J58" s="119">
        <v>2.910256410256411</v>
      </c>
      <c r="K58" s="119">
        <v>2</v>
      </c>
      <c r="L58" s="119">
        <v>2.6710310965630124</v>
      </c>
      <c r="M58" s="55" t="e">
        <f>#REF!</f>
        <v>#REF!</v>
      </c>
      <c r="N58" s="31" t="e">
        <f>#REF!</f>
        <v>#REF!</v>
      </c>
      <c r="O58" s="31" t="e">
        <f t="shared" si="0"/>
        <v>#REF!</v>
      </c>
      <c r="P58" s="32" t="e">
        <f>#REF!</f>
        <v>#REF!</v>
      </c>
      <c r="Q58" s="32" t="e">
        <f>#REF!</f>
        <v>#REF!</v>
      </c>
      <c r="R58" s="32" t="e">
        <f>#REF!</f>
        <v>#REF!</v>
      </c>
      <c r="S58" s="32" t="e">
        <f>#REF!</f>
        <v>#REF!</v>
      </c>
      <c r="T58" s="32" t="e">
        <f>#REF!</f>
        <v>#REF!</v>
      </c>
    </row>
    <row r="59" spans="1:20" x14ac:dyDescent="0.25">
      <c r="A59" s="30">
        <v>22</v>
      </c>
      <c r="B59" s="30" t="s">
        <v>281</v>
      </c>
      <c r="C59" s="30" t="s">
        <v>128</v>
      </c>
      <c r="D59" s="30" t="s">
        <v>401</v>
      </c>
      <c r="E59" s="122" t="s">
        <v>326</v>
      </c>
      <c r="F59" s="52" t="s">
        <v>302</v>
      </c>
      <c r="G59" s="52">
        <v>2</v>
      </c>
      <c r="H59" s="119">
        <v>2.4530823786142948</v>
      </c>
      <c r="I59" s="119">
        <v>2</v>
      </c>
      <c r="J59" s="119">
        <v>2.7820512820512828</v>
      </c>
      <c r="K59" s="119">
        <v>2</v>
      </c>
      <c r="L59" s="119">
        <v>2.4915439170758331</v>
      </c>
      <c r="M59" s="55" t="e">
        <f>#REF!</f>
        <v>#REF!</v>
      </c>
      <c r="N59" s="31" t="e">
        <f>#REF!</f>
        <v>#REF!</v>
      </c>
      <c r="O59" s="31" t="e">
        <f t="shared" si="0"/>
        <v>#REF!</v>
      </c>
      <c r="P59" s="32" t="e">
        <f>#REF!</f>
        <v>#REF!</v>
      </c>
      <c r="Q59" s="32" t="e">
        <f>#REF!</f>
        <v>#REF!</v>
      </c>
      <c r="R59" s="32" t="e">
        <f>#REF!</f>
        <v>#REF!</v>
      </c>
      <c r="S59" s="32" t="e">
        <f>#REF!</f>
        <v>#REF!</v>
      </c>
      <c r="T59" s="32" t="e">
        <f>#REF!</f>
        <v>#REF!</v>
      </c>
    </row>
    <row r="60" spans="1:20" hidden="1" x14ac:dyDescent="0.25">
      <c r="A60" s="30">
        <v>23</v>
      </c>
      <c r="B60" s="30" t="s">
        <v>281</v>
      </c>
      <c r="C60" s="30" t="s">
        <v>94</v>
      </c>
      <c r="D60" s="30" t="s">
        <v>534</v>
      </c>
      <c r="E60" s="30" t="s">
        <v>330</v>
      </c>
      <c r="F60" s="120" t="s">
        <v>303</v>
      </c>
      <c r="G60" s="120">
        <v>1</v>
      </c>
      <c r="H60" s="121">
        <v>2.4448990725586484</v>
      </c>
      <c r="I60" s="121">
        <v>2</v>
      </c>
      <c r="J60" s="121">
        <v>2.8333333333333344</v>
      </c>
      <c r="K60" s="121">
        <v>2</v>
      </c>
      <c r="L60" s="121">
        <v>2.6453900709219869</v>
      </c>
      <c r="M60" s="55" t="e">
        <f>#REF!</f>
        <v>#REF!</v>
      </c>
      <c r="N60" s="31" t="e">
        <f>#REF!</f>
        <v>#REF!</v>
      </c>
      <c r="O60" s="31" t="e">
        <f t="shared" si="0"/>
        <v>#REF!</v>
      </c>
      <c r="P60" s="32" t="e">
        <f>#REF!</f>
        <v>#REF!</v>
      </c>
      <c r="Q60" s="32" t="e">
        <f>#REF!</f>
        <v>#REF!</v>
      </c>
      <c r="R60" s="32" t="e">
        <f>#REF!</f>
        <v>#REF!</v>
      </c>
      <c r="S60" s="32" t="e">
        <f>#REF!</f>
        <v>#REF!</v>
      </c>
      <c r="T60" s="32" t="e">
        <f>#REF!</f>
        <v>#REF!</v>
      </c>
    </row>
    <row r="61" spans="1:20" hidden="1" x14ac:dyDescent="0.25">
      <c r="A61" s="30">
        <v>24</v>
      </c>
      <c r="B61" s="30" t="s">
        <v>281</v>
      </c>
      <c r="C61" s="30" t="s">
        <v>94</v>
      </c>
      <c r="D61" s="30" t="s">
        <v>400</v>
      </c>
      <c r="E61" s="122" t="s">
        <v>346</v>
      </c>
      <c r="F61" s="52" t="s">
        <v>304</v>
      </c>
      <c r="G61" s="52">
        <v>2</v>
      </c>
      <c r="H61" s="119">
        <v>2.2727024748301341</v>
      </c>
      <c r="I61" s="119">
        <v>2</v>
      </c>
      <c r="J61" s="119">
        <v>2.5803947825224425</v>
      </c>
      <c r="K61" s="119">
        <v>2</v>
      </c>
      <c r="L61" s="119">
        <v>2.2727024748301341</v>
      </c>
      <c r="M61" s="55">
        <f>'Tung Tran'!H67</f>
        <v>2.54349593495935</v>
      </c>
      <c r="N61" s="31" t="b">
        <f>'Tung Tran'!H65</f>
        <v>0</v>
      </c>
      <c r="O61" s="31">
        <f t="shared" si="0"/>
        <v>-2.2727024748301341</v>
      </c>
      <c r="P61" s="32">
        <f>'Tung Tran'!C66</f>
        <v>0</v>
      </c>
      <c r="Q61" s="32">
        <f>'Tung Tran'!D66</f>
        <v>0</v>
      </c>
      <c r="R61" s="32">
        <f>'Tung Tran'!E66</f>
        <v>0</v>
      </c>
      <c r="S61" s="32">
        <f>'Tung Tran'!F66</f>
        <v>0</v>
      </c>
      <c r="T61" s="32">
        <f>'Tung Tran'!G66</f>
        <v>0</v>
      </c>
    </row>
    <row r="62" spans="1:20" hidden="1" x14ac:dyDescent="0.25">
      <c r="A62" s="30">
        <v>25</v>
      </c>
      <c r="B62" s="30" t="s">
        <v>281</v>
      </c>
      <c r="C62" s="30" t="s">
        <v>94</v>
      </c>
      <c r="D62" s="30" t="s">
        <v>535</v>
      </c>
      <c r="E62" s="30" t="s">
        <v>318</v>
      </c>
      <c r="F62" s="120" t="s">
        <v>305</v>
      </c>
      <c r="G62" s="120">
        <v>2</v>
      </c>
      <c r="H62" s="121">
        <v>2.3889798145117305</v>
      </c>
      <c r="I62" s="121">
        <v>2</v>
      </c>
      <c r="J62" s="121">
        <v>2.7564102564102568</v>
      </c>
      <c r="K62" s="121">
        <v>2</v>
      </c>
      <c r="L62" s="121">
        <v>2.3889798145117305</v>
      </c>
      <c r="M62" s="55" t="e">
        <f>#REF!</f>
        <v>#REF!</v>
      </c>
      <c r="N62" s="31" t="e">
        <f>#REF!</f>
        <v>#REF!</v>
      </c>
      <c r="O62" s="31" t="e">
        <f t="shared" si="0"/>
        <v>#REF!</v>
      </c>
      <c r="P62" s="32" t="e">
        <f>#REF!</f>
        <v>#REF!</v>
      </c>
      <c r="Q62" s="32" t="e">
        <f>#REF!</f>
        <v>#REF!</v>
      </c>
      <c r="R62" s="32" t="e">
        <f>#REF!</f>
        <v>#REF!</v>
      </c>
      <c r="S62" s="32" t="e">
        <f>#REF!</f>
        <v>#REF!</v>
      </c>
      <c r="T62" s="32" t="e">
        <f>#REF!</f>
        <v>#REF!</v>
      </c>
    </row>
    <row r="63" spans="1:20" x14ac:dyDescent="0.25">
      <c r="A63" s="30">
        <v>26</v>
      </c>
      <c r="B63" s="30" t="s">
        <v>281</v>
      </c>
      <c r="C63" s="30" t="s">
        <v>128</v>
      </c>
      <c r="D63" s="30" t="s">
        <v>405</v>
      </c>
      <c r="E63" s="122" t="s">
        <v>345</v>
      </c>
      <c r="F63" s="54" t="s">
        <v>306</v>
      </c>
      <c r="G63" s="54">
        <v>2</v>
      </c>
      <c r="H63" s="118">
        <v>2.23949809056192</v>
      </c>
      <c r="I63" s="118">
        <v>2</v>
      </c>
      <c r="J63" s="118">
        <v>2.23949809056192</v>
      </c>
      <c r="K63" s="118">
        <v>2</v>
      </c>
      <c r="L63" s="118">
        <v>2.23949809056192</v>
      </c>
      <c r="M63" s="55" t="e">
        <f>#REF!</f>
        <v>#REF!</v>
      </c>
      <c r="N63" s="31" t="e">
        <f>#REF!</f>
        <v>#REF!</v>
      </c>
      <c r="O63" s="31" t="e">
        <f t="shared" si="0"/>
        <v>#REF!</v>
      </c>
      <c r="P63" s="32" t="e">
        <f>#REF!</f>
        <v>#REF!</v>
      </c>
      <c r="Q63" s="32" t="e">
        <f>#REF!</f>
        <v>#REF!</v>
      </c>
      <c r="R63" s="32" t="e">
        <f>#REF!</f>
        <v>#REF!</v>
      </c>
      <c r="S63" s="32" t="e">
        <f>#REF!</f>
        <v>#REF!</v>
      </c>
      <c r="T63" s="32" t="e">
        <f>#REF!</f>
        <v>#REF!</v>
      </c>
    </row>
    <row r="64" spans="1:20" hidden="1" x14ac:dyDescent="0.25">
      <c r="A64" s="30">
        <v>27</v>
      </c>
      <c r="B64" s="30" t="s">
        <v>281</v>
      </c>
      <c r="C64" s="30" t="s">
        <v>94</v>
      </c>
      <c r="D64" s="30" t="s">
        <v>536</v>
      </c>
      <c r="E64" s="30" t="s">
        <v>342</v>
      </c>
      <c r="F64" s="120" t="s">
        <v>307</v>
      </c>
      <c r="G64" s="120">
        <v>2</v>
      </c>
      <c r="H64" s="121">
        <v>2.2992362247681402</v>
      </c>
      <c r="I64" s="121">
        <v>2</v>
      </c>
      <c r="J64" s="121">
        <v>2.2992362247681402</v>
      </c>
      <c r="K64" s="121">
        <v>2</v>
      </c>
      <c r="L64" s="121">
        <v>2.29</v>
      </c>
      <c r="M64" s="55" t="e">
        <f>#REF!</f>
        <v>#REF!</v>
      </c>
      <c r="N64" s="31" t="e">
        <f>#REF!</f>
        <v>#REF!</v>
      </c>
      <c r="O64" s="31" t="e">
        <f t="shared" si="0"/>
        <v>#REF!</v>
      </c>
      <c r="P64" s="32" t="e">
        <f>#REF!</f>
        <v>#REF!</v>
      </c>
      <c r="Q64" s="32" t="e">
        <f>#REF!</f>
        <v>#REF!</v>
      </c>
      <c r="R64" s="32" t="e">
        <f>#REF!</f>
        <v>#REF!</v>
      </c>
      <c r="S64" s="32" t="e">
        <f>#REF!</f>
        <v>#REF!</v>
      </c>
      <c r="T64" s="32" t="e">
        <f>#REF!</f>
        <v>#REF!</v>
      </c>
    </row>
    <row r="65" spans="1:20" x14ac:dyDescent="0.25">
      <c r="A65" s="30">
        <v>28</v>
      </c>
      <c r="B65" s="30" t="s">
        <v>281</v>
      </c>
      <c r="C65" s="30" t="s">
        <v>128</v>
      </c>
      <c r="D65" s="30" t="s">
        <v>404</v>
      </c>
      <c r="E65" s="122" t="s">
        <v>396</v>
      </c>
      <c r="F65" s="52" t="s">
        <v>308</v>
      </c>
      <c r="G65" s="52">
        <v>2</v>
      </c>
      <c r="H65" s="119">
        <v>1.9778306799583398</v>
      </c>
      <c r="I65" s="119">
        <v>2</v>
      </c>
      <c r="J65" s="119">
        <v>1.9991072757030206</v>
      </c>
      <c r="K65" s="119">
        <v>2</v>
      </c>
      <c r="L65" s="119">
        <v>1.9778306799583398</v>
      </c>
      <c r="M65" s="55" t="e">
        <f>#REF!</f>
        <v>#REF!</v>
      </c>
      <c r="N65" s="31" t="e">
        <f>#REF!</f>
        <v>#REF!</v>
      </c>
      <c r="O65" s="31" t="e">
        <f t="shared" si="0"/>
        <v>#REF!</v>
      </c>
      <c r="P65" s="32" t="e">
        <f>#REF!</f>
        <v>#REF!</v>
      </c>
      <c r="Q65" s="32" t="e">
        <f>#REF!</f>
        <v>#REF!</v>
      </c>
      <c r="R65" s="32" t="e">
        <f>#REF!</f>
        <v>#REF!</v>
      </c>
      <c r="S65" s="32" t="e">
        <f>#REF!</f>
        <v>#REF!</v>
      </c>
      <c r="T65" s="32" t="e">
        <f>#REF!</f>
        <v>#REF!</v>
      </c>
    </row>
    <row r="66" spans="1:20" hidden="1" x14ac:dyDescent="0.25">
      <c r="A66" s="30">
        <v>29</v>
      </c>
      <c r="B66" s="30" t="s">
        <v>281</v>
      </c>
      <c r="C66" s="30" t="s">
        <v>94</v>
      </c>
      <c r="D66" s="30" t="s">
        <v>537</v>
      </c>
      <c r="E66" s="30" t="s">
        <v>325</v>
      </c>
      <c r="F66" s="120" t="s">
        <v>309</v>
      </c>
      <c r="G66" s="120">
        <v>1</v>
      </c>
      <c r="H66" s="121">
        <v>1.7659574468085106</v>
      </c>
      <c r="I66" s="121">
        <v>2</v>
      </c>
      <c r="J66" s="121">
        <v>2.6625750136388442</v>
      </c>
      <c r="K66" s="121">
        <v>2</v>
      </c>
      <c r="L66" s="121">
        <v>2.0905619203491548</v>
      </c>
      <c r="M66" s="55" t="e">
        <f>#REF!</f>
        <v>#REF!</v>
      </c>
      <c r="N66" s="31" t="e">
        <f>#REF!</f>
        <v>#REF!</v>
      </c>
      <c r="O66" s="31" t="e">
        <f t="shared" si="0"/>
        <v>#REF!</v>
      </c>
      <c r="P66" s="32" t="e">
        <f>#REF!</f>
        <v>#REF!</v>
      </c>
      <c r="Q66" s="32" t="e">
        <f>#REF!</f>
        <v>#REF!</v>
      </c>
      <c r="R66" s="32" t="e">
        <f>#REF!</f>
        <v>#REF!</v>
      </c>
      <c r="S66" s="32" t="e">
        <f>#REF!</f>
        <v>#REF!</v>
      </c>
      <c r="T66" s="32" t="e">
        <f>#REF!</f>
        <v>#REF!</v>
      </c>
    </row>
    <row r="67" spans="1:20" hidden="1" x14ac:dyDescent="0.25">
      <c r="A67" s="30">
        <v>30</v>
      </c>
      <c r="B67" s="30" t="s">
        <v>281</v>
      </c>
      <c r="C67" s="30" t="s">
        <v>619</v>
      </c>
      <c r="D67" s="30" t="s">
        <v>538</v>
      </c>
      <c r="E67" s="30" t="s">
        <v>324</v>
      </c>
      <c r="F67" s="120" t="s">
        <v>310</v>
      </c>
      <c r="G67" s="120">
        <v>1</v>
      </c>
      <c r="H67" s="121">
        <v>1.504835589941973</v>
      </c>
      <c r="I67" s="121">
        <v>2</v>
      </c>
      <c r="J67" s="121">
        <v>2.7607746863066023</v>
      </c>
      <c r="K67" s="121">
        <v>2</v>
      </c>
      <c r="L67" s="121">
        <v>2.132495164410058</v>
      </c>
      <c r="M67" s="55" t="e">
        <f>#REF!</f>
        <v>#REF!</v>
      </c>
      <c r="N67" s="31" t="e">
        <f>#REF!</f>
        <v>#REF!</v>
      </c>
      <c r="O67" s="31" t="e">
        <f t="shared" si="0"/>
        <v>#REF!</v>
      </c>
      <c r="P67" s="32" t="e">
        <f>#REF!</f>
        <v>#REF!</v>
      </c>
      <c r="Q67" s="32" t="e">
        <f>#REF!</f>
        <v>#REF!</v>
      </c>
      <c r="R67" s="32" t="e">
        <f>#REF!</f>
        <v>#REF!</v>
      </c>
      <c r="S67" s="32" t="e">
        <f>#REF!</f>
        <v>#REF!</v>
      </c>
      <c r="T67" s="32" t="e">
        <f>#REF!</f>
        <v>#REF!</v>
      </c>
    </row>
    <row r="68" spans="1:20" ht="14.4" x14ac:dyDescent="0.3">
      <c r="A68" s="30">
        <v>31</v>
      </c>
      <c r="B68" s="30" t="s">
        <v>281</v>
      </c>
      <c r="C68" s="30" t="s">
        <v>128</v>
      </c>
      <c r="D68" s="30" t="s">
        <v>539</v>
      </c>
      <c r="E68" s="167" t="s">
        <v>329</v>
      </c>
      <c r="F68" s="120" t="s">
        <v>311</v>
      </c>
      <c r="G68" s="120">
        <v>1</v>
      </c>
      <c r="H68" s="121">
        <v>1.6382978723404258</v>
      </c>
      <c r="I68" s="121">
        <v>2</v>
      </c>
      <c r="J68" s="121">
        <v>2.5471903982542292</v>
      </c>
      <c r="K68" s="121">
        <v>2</v>
      </c>
      <c r="L68" s="121">
        <v>1.6382978723404258</v>
      </c>
      <c r="M68" s="55" t="e">
        <f>#REF!</f>
        <v>#REF!</v>
      </c>
      <c r="N68" s="31" t="e">
        <f>#REF!</f>
        <v>#REF!</v>
      </c>
      <c r="O68" s="31" t="e">
        <f>N68-L68</f>
        <v>#REF!</v>
      </c>
      <c r="P68" s="32" t="e">
        <f>#REF!</f>
        <v>#REF!</v>
      </c>
      <c r="Q68" s="32" t="e">
        <f>#REF!</f>
        <v>#REF!</v>
      </c>
      <c r="R68" s="32" t="e">
        <f>#REF!</f>
        <v>#REF!</v>
      </c>
      <c r="S68" s="32" t="e">
        <f>#REF!</f>
        <v>#REF!</v>
      </c>
      <c r="T68" s="32" t="e">
        <f>#REF!</f>
        <v>#REF!</v>
      </c>
    </row>
    <row r="69" spans="1:20" hidden="1" x14ac:dyDescent="0.25">
      <c r="A69" s="30">
        <v>32</v>
      </c>
      <c r="B69" s="30" t="s">
        <v>281</v>
      </c>
      <c r="C69" s="30" t="s">
        <v>94</v>
      </c>
      <c r="D69" s="30" t="s">
        <v>540</v>
      </c>
      <c r="E69" s="30" t="s">
        <v>347</v>
      </c>
      <c r="F69" s="120" t="s">
        <v>312</v>
      </c>
      <c r="G69" s="120">
        <v>0</v>
      </c>
      <c r="H69" s="121">
        <v>0.36363636363636365</v>
      </c>
      <c r="I69" s="121">
        <v>1</v>
      </c>
      <c r="J69" s="121">
        <v>1.7388781431334621</v>
      </c>
      <c r="K69" s="121">
        <v>1</v>
      </c>
      <c r="L69" s="121">
        <v>0.75241779497098638</v>
      </c>
      <c r="M69" s="55" t="e">
        <f>#REF!</f>
        <v>#REF!</v>
      </c>
      <c r="N69" s="31" t="e">
        <f>#REF!</f>
        <v>#REF!</v>
      </c>
      <c r="O69" s="31" t="e">
        <f>N69-L69</f>
        <v>#REF!</v>
      </c>
      <c r="P69" s="32" t="e">
        <f>#REF!</f>
        <v>#REF!</v>
      </c>
      <c r="Q69" s="32" t="e">
        <f>#REF!</f>
        <v>#REF!</v>
      </c>
      <c r="R69" s="32" t="e">
        <f>#REF!</f>
        <v>#REF!</v>
      </c>
      <c r="S69" s="32" t="e">
        <f>#REF!</f>
        <v>#REF!</v>
      </c>
      <c r="T69" s="32" t="e">
        <f>#REF!</f>
        <v>#REF!</v>
      </c>
    </row>
    <row r="70" spans="1:20" hidden="1" x14ac:dyDescent="0.25">
      <c r="A70" s="30">
        <v>33</v>
      </c>
      <c r="B70" s="30" t="s">
        <v>281</v>
      </c>
      <c r="C70" s="30" t="s">
        <v>94</v>
      </c>
      <c r="D70" s="319" t="s">
        <v>541</v>
      </c>
      <c r="E70" s="320" t="s">
        <v>476</v>
      </c>
      <c r="F70" s="321" t="s">
        <v>376</v>
      </c>
      <c r="G70" s="321">
        <v>0</v>
      </c>
      <c r="H70" s="119">
        <v>0</v>
      </c>
      <c r="I70" s="119">
        <v>1</v>
      </c>
      <c r="J70" s="119">
        <v>1.5048355899419728</v>
      </c>
      <c r="K70" s="119">
        <v>1</v>
      </c>
      <c r="L70" s="119">
        <v>0.94003868471953589</v>
      </c>
      <c r="M70" s="55" t="e">
        <f>#REF!</f>
        <v>#REF!</v>
      </c>
      <c r="N70" s="31" t="e">
        <f>#REF!</f>
        <v>#REF!</v>
      </c>
      <c r="O70" s="31" t="e">
        <f>N70-L70</f>
        <v>#REF!</v>
      </c>
      <c r="P70" s="32" t="e">
        <f>#REF!</f>
        <v>#REF!</v>
      </c>
      <c r="Q70" s="32" t="e">
        <f>#REF!</f>
        <v>#REF!</v>
      </c>
      <c r="R70" s="32" t="e">
        <f>#REF!</f>
        <v>#REF!</v>
      </c>
      <c r="S70" s="32" t="e">
        <f>#REF!</f>
        <v>#REF!</v>
      </c>
      <c r="T70" s="32" t="e">
        <f>#REF!</f>
        <v>#REF!</v>
      </c>
    </row>
    <row r="71" spans="1:20" ht="14.4" x14ac:dyDescent="0.25">
      <c r="A71" s="30">
        <v>34</v>
      </c>
      <c r="B71" s="30" t="s">
        <v>281</v>
      </c>
      <c r="C71" s="30" t="s">
        <v>128</v>
      </c>
      <c r="D71" s="30" t="s">
        <v>622</v>
      </c>
      <c r="E71" s="322" t="s">
        <v>621</v>
      </c>
      <c r="F71" s="52" t="s">
        <v>620</v>
      </c>
      <c r="G71" s="52"/>
      <c r="H71" s="119"/>
      <c r="I71" s="119"/>
      <c r="J71" s="119"/>
      <c r="K71" s="119"/>
      <c r="L71" s="119"/>
      <c r="M71" s="55"/>
      <c r="N71" s="31"/>
      <c r="O71" s="31"/>
      <c r="P71" s="32"/>
      <c r="Q71" s="32"/>
      <c r="R71" s="32"/>
      <c r="S71" s="32"/>
      <c r="T71" s="32"/>
    </row>
    <row r="72" spans="1:20" s="184" customFormat="1" ht="14.4" x14ac:dyDescent="0.25">
      <c r="A72" s="30">
        <v>35</v>
      </c>
      <c r="B72" s="30" t="s">
        <v>281</v>
      </c>
      <c r="C72" s="30" t="s">
        <v>128</v>
      </c>
      <c r="D72" s="30"/>
      <c r="E72" s="322" t="s">
        <v>562</v>
      </c>
      <c r="F72" s="52" t="s">
        <v>719</v>
      </c>
      <c r="G72" s="52"/>
      <c r="H72" s="119"/>
      <c r="I72" s="119"/>
      <c r="J72" s="119"/>
      <c r="K72" s="119"/>
      <c r="L72" s="119"/>
      <c r="M72" s="55"/>
      <c r="N72" s="31"/>
      <c r="O72" s="31"/>
      <c r="P72" s="32"/>
      <c r="Q72" s="32"/>
      <c r="R72" s="32"/>
      <c r="S72" s="32"/>
      <c r="T72" s="32"/>
    </row>
    <row r="73" spans="1:20" s="184" customFormat="1" ht="14.4" x14ac:dyDescent="0.25">
      <c r="A73" s="30">
        <v>36</v>
      </c>
      <c r="B73" s="30" t="s">
        <v>281</v>
      </c>
      <c r="C73" s="30" t="s">
        <v>128</v>
      </c>
      <c r="D73" s="30"/>
      <c r="E73" s="322" t="s">
        <v>579</v>
      </c>
      <c r="F73" s="52" t="s">
        <v>720</v>
      </c>
      <c r="G73" s="52"/>
      <c r="H73" s="119"/>
      <c r="I73" s="119"/>
      <c r="J73" s="119"/>
      <c r="K73" s="119"/>
      <c r="L73" s="119"/>
      <c r="M73" s="55"/>
      <c r="N73" s="31"/>
      <c r="O73" s="31"/>
      <c r="P73" s="32"/>
      <c r="Q73" s="32"/>
      <c r="R73" s="32"/>
      <c r="S73" s="32"/>
      <c r="T73" s="32"/>
    </row>
    <row r="74" spans="1:20" s="184" customFormat="1" ht="14.4" x14ac:dyDescent="0.25">
      <c r="A74" s="30">
        <v>37</v>
      </c>
      <c r="B74" s="30" t="s">
        <v>281</v>
      </c>
      <c r="C74" s="30" t="s">
        <v>128</v>
      </c>
      <c r="D74" s="30"/>
      <c r="E74" s="322" t="s">
        <v>636</v>
      </c>
      <c r="F74" s="52" t="s">
        <v>302</v>
      </c>
      <c r="G74" s="52"/>
      <c r="H74" s="119"/>
      <c r="I74" s="119"/>
      <c r="J74" s="119"/>
      <c r="K74" s="119"/>
      <c r="L74" s="119"/>
      <c r="M74" s="55"/>
      <c r="N74" s="31"/>
      <c r="O74" s="31"/>
      <c r="P74" s="32"/>
      <c r="Q74" s="32"/>
      <c r="R74" s="32"/>
      <c r="S74" s="32"/>
      <c r="T74" s="32"/>
    </row>
    <row r="75" spans="1:20" s="184" customFormat="1" ht="14.4" x14ac:dyDescent="0.25">
      <c r="A75" s="30">
        <v>38</v>
      </c>
      <c r="B75" s="30" t="s">
        <v>281</v>
      </c>
      <c r="C75" s="30" t="s">
        <v>128</v>
      </c>
      <c r="D75" s="30"/>
      <c r="E75" s="322" t="s">
        <v>626</v>
      </c>
      <c r="F75" s="52" t="s">
        <v>721</v>
      </c>
      <c r="G75" s="52"/>
      <c r="H75" s="119"/>
      <c r="I75" s="119"/>
      <c r="J75" s="119"/>
      <c r="K75" s="119"/>
      <c r="L75" s="119"/>
      <c r="M75" s="55"/>
      <c r="N75" s="31"/>
      <c r="O75" s="31"/>
      <c r="P75" s="32"/>
      <c r="Q75" s="32"/>
      <c r="R75" s="32"/>
      <c r="S75" s="32"/>
      <c r="T75" s="32"/>
    </row>
    <row r="76" spans="1:20" s="184" customFormat="1" ht="14.4" x14ac:dyDescent="0.25">
      <c r="A76" s="30">
        <v>39</v>
      </c>
      <c r="B76" s="30" t="s">
        <v>281</v>
      </c>
      <c r="C76" s="30" t="s">
        <v>128</v>
      </c>
      <c r="D76" s="30"/>
      <c r="E76" s="322" t="s">
        <v>722</v>
      </c>
      <c r="F76" s="25" t="s">
        <v>723</v>
      </c>
      <c r="G76" s="52"/>
      <c r="H76" s="119"/>
      <c r="I76" s="119"/>
      <c r="J76" s="119"/>
      <c r="K76" s="119"/>
      <c r="L76" s="119"/>
      <c r="M76" s="55"/>
      <c r="N76" s="31"/>
      <c r="O76" s="31"/>
      <c r="P76" s="32"/>
      <c r="Q76" s="32"/>
      <c r="R76" s="32"/>
      <c r="S76" s="32"/>
      <c r="T76" s="32"/>
    </row>
    <row r="77" spans="1:20" s="184" customFormat="1" ht="14.4" x14ac:dyDescent="0.25">
      <c r="A77" s="30">
        <v>40</v>
      </c>
      <c r="B77" s="30" t="s">
        <v>281</v>
      </c>
      <c r="C77" s="30" t="s">
        <v>128</v>
      </c>
      <c r="D77" s="30"/>
      <c r="E77" s="322" t="s">
        <v>724</v>
      </c>
      <c r="F77" s="25" t="s">
        <v>725</v>
      </c>
      <c r="G77" s="25"/>
      <c r="H77" s="119"/>
      <c r="I77" s="119"/>
      <c r="J77" s="119"/>
      <c r="K77" s="119"/>
      <c r="L77" s="119"/>
      <c r="M77" s="55"/>
      <c r="N77" s="31"/>
      <c r="O77" s="31"/>
      <c r="P77" s="32"/>
      <c r="Q77" s="32"/>
      <c r="R77" s="32"/>
      <c r="S77" s="32"/>
      <c r="T77" s="32"/>
    </row>
    <row r="78" spans="1:20" s="184" customFormat="1" ht="14.4" x14ac:dyDescent="0.25">
      <c r="A78" s="30">
        <v>41</v>
      </c>
      <c r="B78" s="30" t="s">
        <v>281</v>
      </c>
      <c r="C78" s="30" t="s">
        <v>128</v>
      </c>
      <c r="D78" s="30"/>
      <c r="E78" s="322" t="s">
        <v>726</v>
      </c>
      <c r="F78" s="25" t="s">
        <v>727</v>
      </c>
      <c r="G78" s="52"/>
      <c r="H78" s="119"/>
      <c r="I78" s="119"/>
      <c r="J78" s="119"/>
      <c r="K78" s="119"/>
      <c r="L78" s="119"/>
      <c r="M78" s="55"/>
      <c r="N78" s="31"/>
      <c r="O78" s="31"/>
      <c r="P78" s="32"/>
      <c r="Q78" s="32"/>
      <c r="R78" s="32"/>
      <c r="S78" s="32"/>
      <c r="T78" s="32"/>
    </row>
    <row r="79" spans="1:20" s="184" customFormat="1" ht="14.4" x14ac:dyDescent="0.25">
      <c r="A79" s="30">
        <v>42</v>
      </c>
      <c r="B79" s="30" t="s">
        <v>281</v>
      </c>
      <c r="C79" s="30" t="s">
        <v>128</v>
      </c>
      <c r="D79" s="30"/>
      <c r="E79" s="322" t="s">
        <v>728</v>
      </c>
      <c r="F79" s="25" t="s">
        <v>729</v>
      </c>
      <c r="G79" s="52"/>
      <c r="H79" s="119"/>
      <c r="I79" s="119"/>
      <c r="J79" s="119"/>
      <c r="K79" s="119"/>
      <c r="L79" s="119"/>
      <c r="M79" s="55"/>
      <c r="N79" s="31"/>
      <c r="O79" s="31"/>
      <c r="P79" s="32"/>
      <c r="Q79" s="32"/>
      <c r="R79" s="32"/>
      <c r="S79" s="32"/>
      <c r="T79" s="32"/>
    </row>
    <row r="80" spans="1:20" s="184" customFormat="1" ht="14.4" x14ac:dyDescent="0.25">
      <c r="A80" s="30">
        <v>43</v>
      </c>
      <c r="B80" s="30" t="s">
        <v>281</v>
      </c>
      <c r="C80" s="30" t="s">
        <v>128</v>
      </c>
      <c r="D80" s="30"/>
      <c r="E80" s="322" t="s">
        <v>730</v>
      </c>
      <c r="F80" s="52" t="s">
        <v>731</v>
      </c>
      <c r="G80" s="52"/>
      <c r="H80" s="119"/>
      <c r="I80" s="119"/>
      <c r="J80" s="119"/>
      <c r="K80" s="119"/>
      <c r="L80" s="119"/>
      <c r="M80" s="55"/>
      <c r="N80" s="31"/>
      <c r="O80" s="31"/>
      <c r="P80" s="32"/>
      <c r="Q80" s="32"/>
      <c r="R80" s="32"/>
      <c r="S80" s="32"/>
      <c r="T80" s="32"/>
    </row>
    <row r="81" spans="1:20" s="184" customFormat="1" ht="14.4" x14ac:dyDescent="0.25">
      <c r="A81" s="30">
        <v>44</v>
      </c>
      <c r="B81" s="30" t="s">
        <v>281</v>
      </c>
      <c r="C81" s="30" t="s">
        <v>128</v>
      </c>
      <c r="D81" s="30"/>
      <c r="E81" s="322" t="s">
        <v>732</v>
      </c>
      <c r="F81" s="52" t="s">
        <v>733</v>
      </c>
      <c r="G81" s="52"/>
      <c r="H81" s="119"/>
      <c r="I81" s="119"/>
      <c r="J81" s="119"/>
      <c r="K81" s="119"/>
      <c r="L81" s="119"/>
      <c r="M81" s="55"/>
      <c r="N81" s="31"/>
      <c r="O81" s="31"/>
      <c r="P81" s="32"/>
      <c r="Q81" s="32"/>
      <c r="R81" s="32"/>
      <c r="S81" s="32"/>
      <c r="T81" s="32"/>
    </row>
    <row r="82" spans="1:20" s="184" customFormat="1" ht="14.4" x14ac:dyDescent="0.25">
      <c r="A82" s="30">
        <v>45</v>
      </c>
      <c r="B82" s="30" t="s">
        <v>281</v>
      </c>
      <c r="C82" s="30" t="s">
        <v>128</v>
      </c>
      <c r="D82" s="30"/>
      <c r="E82" s="322" t="s">
        <v>734</v>
      </c>
      <c r="F82" s="52" t="s">
        <v>735</v>
      </c>
      <c r="G82" s="52"/>
      <c r="H82" s="119"/>
      <c r="I82" s="119"/>
      <c r="J82" s="119"/>
      <c r="K82" s="119"/>
      <c r="L82" s="119"/>
      <c r="M82" s="55"/>
      <c r="N82" s="31"/>
      <c r="O82" s="31"/>
      <c r="P82" s="32"/>
      <c r="Q82" s="32"/>
      <c r="R82" s="32"/>
      <c r="S82" s="32"/>
      <c r="T82" s="32"/>
    </row>
    <row r="83" spans="1:20" ht="14.4" x14ac:dyDescent="0.25">
      <c r="A83" s="30">
        <v>46</v>
      </c>
      <c r="B83" s="30" t="s">
        <v>281</v>
      </c>
      <c r="C83" s="30" t="s">
        <v>128</v>
      </c>
      <c r="D83" s="325" t="s">
        <v>623</v>
      </c>
      <c r="E83" s="322" t="s">
        <v>624</v>
      </c>
      <c r="F83" s="52" t="s">
        <v>625</v>
      </c>
      <c r="G83" s="52"/>
      <c r="H83" s="119"/>
      <c r="I83" s="119"/>
      <c r="J83" s="119"/>
      <c r="K83" s="119"/>
      <c r="L83" s="119"/>
      <c r="M83" s="55"/>
      <c r="N83" s="31"/>
      <c r="O83" s="31"/>
      <c r="P83" s="32"/>
      <c r="Q83" s="32"/>
      <c r="R83" s="32"/>
      <c r="S83" s="32"/>
      <c r="T83" s="32"/>
    </row>
    <row r="84" spans="1:20" s="317" customFormat="1" hidden="1" x14ac:dyDescent="0.25">
      <c r="A84" s="30">
        <v>47</v>
      </c>
      <c r="B84" s="310" t="s">
        <v>281</v>
      </c>
      <c r="C84" s="318" t="s">
        <v>94</v>
      </c>
      <c r="D84" s="310" t="s">
        <v>411</v>
      </c>
      <c r="E84" s="311" t="s">
        <v>392</v>
      </c>
      <c r="F84" s="312" t="s">
        <v>310</v>
      </c>
      <c r="G84" s="312">
        <v>0</v>
      </c>
      <c r="H84" s="313">
        <v>0</v>
      </c>
      <c r="I84" s="313"/>
      <c r="J84" s="313"/>
      <c r="K84" s="313"/>
      <c r="L84" s="313"/>
      <c r="M84" s="314" t="e">
        <f>#REF!</f>
        <v>#REF!</v>
      </c>
      <c r="N84" s="315" t="e">
        <f>#REF!</f>
        <v>#REF!</v>
      </c>
      <c r="O84" s="315"/>
      <c r="P84" s="316" t="e">
        <f>#REF!</f>
        <v>#REF!</v>
      </c>
      <c r="Q84" s="316" t="e">
        <f>#REF!</f>
        <v>#REF!</v>
      </c>
      <c r="R84" s="316" t="e">
        <f>#REF!</f>
        <v>#REF!</v>
      </c>
      <c r="S84" s="316" t="e">
        <f>#REF!</f>
        <v>#REF!</v>
      </c>
      <c r="T84" s="316" t="e">
        <f>#REF!</f>
        <v>#REF!</v>
      </c>
    </row>
    <row r="85" spans="1:20" x14ac:dyDescent="0.25">
      <c r="H85" s="89">
        <f>AVERAGE(H3:H70)</f>
        <v>2.4441914143673698</v>
      </c>
      <c r="L85" s="89">
        <f>AVERAGE(L3:L70)</f>
        <v>2.5961481653760607</v>
      </c>
      <c r="N85" s="89" t="e">
        <f>AVERAGE(N3:N70)</f>
        <v>#REF!</v>
      </c>
      <c r="O85" s="89"/>
    </row>
  </sheetData>
  <autoFilter ref="A2:AX85">
    <filterColumn colId="1">
      <filters>
        <filter val="VT2"/>
      </filters>
    </filterColumn>
    <filterColumn colId="2">
      <filters>
        <filter val="Part 1"/>
      </filters>
    </filterColumn>
  </autoFilter>
  <sortState ref="A1:W39">
    <sortCondition descending="1" ref="N1:N39"/>
  </sortState>
  <customSheetViews>
    <customSheetView guid="{6D9FC8F7-6352-4BF1-890A-27BF36FADC03}" scale="80" showGridLines="0" showAutoFilter="1" topLeftCell="A43">
      <selection activeCell="E72" sqref="E72"/>
      <pageMargins left="0.7" right="0.7" top="0.75" bottom="0.75" header="0.3" footer="0.3"/>
      <pageSetup paperSize="9" orientation="portrait" r:id="rId1"/>
      <autoFilter ref="A2:AX76"/>
    </customSheetView>
    <customSheetView guid="{040B64FF-F135-4C7F-9498-A8399C10673D}" scale="70" showGridLines="0" topLeftCell="A61">
      <selection activeCell="K80" sqref="K80"/>
      <pageMargins left="0.7" right="0.7" top="0.75" bottom="0.75" header="0.3" footer="0.3"/>
      <pageSetup paperSize="9" orientation="portrait" r:id="rId2"/>
    </customSheetView>
    <customSheetView guid="{3F51B73C-8999-4BDD-B7BB-CFA8C5D5F118}" scale="80" showGridLines="0" filter="1" showAutoFilter="1">
      <selection activeCell="E53" sqref="E53"/>
      <pageMargins left="0.7" right="0.7" top="0.75" bottom="0.75" header="0.3" footer="0.3"/>
      <pageSetup paperSize="9" orientation="portrait" r:id="rId3"/>
      <autoFilter ref="A2:AX74">
        <filterColumn colId="1">
          <filters>
            <filter val="VT2"/>
          </filters>
        </filterColumn>
        <filterColumn colId="2">
          <filters>
            <filter val="Part 1"/>
          </filters>
        </filterColumn>
      </autoFilter>
    </customSheetView>
    <customSheetView guid="{61959E49-C4BC-41CB-B0BE-7EDA73DE356A}" scale="115" showGridLines="0" showAutoFilter="1" topLeftCell="A40">
      <selection activeCell="F72" sqref="F72"/>
      <pageMargins left="0.7" right="0.7" top="0.75" bottom="0.75" header="0.3" footer="0.3"/>
      <pageSetup paperSize="9" orientation="portrait" r:id="rId4"/>
      <autoFilter ref="A2:AP71"/>
    </customSheetView>
    <customSheetView guid="{9F775BAE-2403-40FE-95E3-B0411D9A7170}" scale="115" showGridLines="0" showAutoFilter="1">
      <selection activeCell="W1" sqref="W1:X1048576"/>
      <pageMargins left="0.7" right="0.7" top="0.75" bottom="0.75" header="0.3" footer="0.3"/>
      <pageSetup paperSize="9" orientation="portrait" r:id="rId5"/>
      <autoFilter ref="A2:AP71"/>
    </customSheetView>
    <customSheetView guid="{B9E7682A-072E-4CF9-AE10-B3ED27CB27F8}" scale="115" showGridLines="0" showAutoFilter="1">
      <selection activeCell="W1" sqref="W1:X1048576"/>
      <pageMargins left="0.7" right="0.7" top="0.75" bottom="0.75" header="0.3" footer="0.3"/>
      <pageSetup paperSize="9" orientation="portrait" r:id="rId6"/>
      <autoFilter ref="A2:AP71"/>
    </customSheetView>
    <customSheetView guid="{3BEDB203-29A8-4A82-B140-5CE8D0753F8B}" scale="70" showGridLines="0" topLeftCell="A2">
      <selection activeCell="E34" sqref="E34"/>
      <pageMargins left="0.7" right="0.7" top="0.75" bottom="0.75" header="0.3" footer="0.3"/>
      <pageSetup paperSize="9" orientation="portrait" r:id="rId7"/>
    </customSheetView>
  </customSheetViews>
  <mergeCells count="8">
    <mergeCell ref="N1:N2"/>
    <mergeCell ref="I1:I2"/>
    <mergeCell ref="J1:J2"/>
    <mergeCell ref="G1:G2"/>
    <mergeCell ref="H1:H2"/>
    <mergeCell ref="K1:K2"/>
    <mergeCell ref="L1:L2"/>
    <mergeCell ref="M1:M2"/>
  </mergeCells>
  <conditionalFormatting sqref="A2:XFD2">
    <cfRule type="duplicateValues" dxfId="426" priority="2"/>
  </conditionalFormatting>
  <conditionalFormatting sqref="F1:F1048576">
    <cfRule type="duplicateValues" dxfId="425" priority="1"/>
  </conditionalFormatting>
  <dataValidations count="2">
    <dataValidation type="list" allowBlank="1" showInputMessage="1" showErrorMessage="1" sqref="B2:B3 B5:B1048576">
      <formula1>"VT1, VT2"</formula1>
    </dataValidation>
    <dataValidation type="list" allowBlank="1" showInputMessage="1" showErrorMessage="1" sqref="C2:C3 D2:E2 D85:E1048576 C5:C1048576">
      <formula1>"Part 1, Part 2, Part 3"</formula1>
    </dataValidation>
  </dataValidations>
  <hyperlinks>
    <hyperlink ref="E39" location="'Oanh Nguyen'!A1" display="kimoanh.nguyen"/>
    <hyperlink ref="E42" location="Trang2.Le!A1" display="trang2.le"/>
    <hyperlink ref="E43" location="'Thuy Pham'!A1" display="thuy2.pham"/>
    <hyperlink ref="E44" location="'Phong Nguyen'!A1" display="hoangphong.nguyen"/>
    <hyperlink ref="E48" location="'Trang 1 Tran'!A1" display="trang1.tran"/>
    <hyperlink ref="E49" location="'Hue Do'!A1" display="hue.do"/>
    <hyperlink ref="E50" location="'Ha To'!A1" display="ha.to"/>
    <hyperlink ref="E53" location="'Bich Do'!A1" display="bich2.do"/>
    <hyperlink ref="E54" location="'Lan Hoang'!A1" display="lan.hoang"/>
    <hyperlink ref="E59" location="'Hang Vu'!A1" display="hang1.vu"/>
    <hyperlink ref="E61" location="'Tung Tran'!A1" display="tung.tran"/>
    <hyperlink ref="E63" location="'Thuy Le MIB'!A1" display="thuy1.le"/>
    <hyperlink ref="E65" location="'Men Than'!A1" display="men2.than"/>
    <hyperlink ref="E52" location="'Phuong Nguyen'!A1" display="phuong1.nguyen"/>
    <hyperlink ref="E55" location="'Nhung2 Nguyen'!A1" display="nhung2.nguyen"/>
    <hyperlink ref="E84" location="Huyen2.Nguyen!A1" display="huyen2.nguyen"/>
    <hyperlink ref="F38" location="'Quyen Nguyen'!A1" display="QUYEN NGUYEN"/>
    <hyperlink ref="F40" location="'Thuy Le'!A1" display="THUY LE"/>
    <hyperlink ref="F41" location="'Phuc Truong'!A1" display="PHUC TRUONG"/>
    <hyperlink ref="F45" location="'Anh To'!A1" display="ANH TO"/>
    <hyperlink ref="F46" location="'Nhung Hoang'!A1" display="NHUNG HOANG"/>
    <hyperlink ref="F47" location="Chinh.Tran!A1" display="CHINH TRAN"/>
    <hyperlink ref="F51" location="'Lan Nguyen 89'!A1" display="LAN NGUYEN"/>
    <hyperlink ref="F56" location="Nguyet2.Nguyen!A1" display="NGUYET NGUYEN"/>
    <hyperlink ref="F57" location="'Hien Dinh'!A1" display="HIEN DINH"/>
    <hyperlink ref="F60" location="'Thuy Dang'!A1" display="THUY DANG"/>
    <hyperlink ref="F62" location="'Cuong Tran'!A1" display="CUONG TRAN"/>
    <hyperlink ref="F64" location="'Vinh Nguyen'!A1" display="VINH NGUYEN"/>
    <hyperlink ref="F66" location="'Y Vu'!A1" display="Y VU"/>
    <hyperlink ref="F67" location="'Huyen Nguyen'!A1" display="HUYEN NGUYEN"/>
    <hyperlink ref="F68" location="'Phuong 2 Le'!A1" display="PHUONG LE"/>
    <hyperlink ref="F69" location="'Thang Vu'!A1" display="THANG VU"/>
    <hyperlink ref="E68" location="'Phuong 2 Le'!A1" display="phuong2.le"/>
    <hyperlink ref="E71" location="Duy.Doan!A1" display="duy.doan"/>
    <hyperlink ref="E83" location="Thoa.Dien!A1" display="thoa.dien"/>
    <hyperlink ref="E46" location="'Nhung Hoang'!A1" display="nhung2.hoang"/>
    <hyperlink ref="E72" location="'Hai Trinh'!A1" display="hai.trinh"/>
    <hyperlink ref="E73" location="'Phuong Ngo'!A1" display="phuong.ngo"/>
    <hyperlink ref="E74" location="'Hang2 Vu'!A1" display="hang2.vu"/>
    <hyperlink ref="E75" location="'Duyen Tran'!A1" display="duyen.tran"/>
    <hyperlink ref="E76" location="thuy2.tran!A1" display="thuy2.tran"/>
    <hyperlink ref="E77" location="tam.trinh!A1" display="tam.trinh"/>
    <hyperlink ref="E78" location="nga.dang!A1" display="nga.dang"/>
    <hyperlink ref="E79" location="hung2.nguyen!A1" display="hung2.nguyen"/>
    <hyperlink ref="E80" location="hang.pham!A1" display="hang.pham"/>
    <hyperlink ref="E81" location="phuong2.ha!A1" display="phuong2.ha"/>
    <hyperlink ref="E82" location="tuyen.do!A1" display="tuyen.do"/>
    <hyperlink ref="E40" location="'Thuy Le'!A1" display="thuy.le"/>
  </hyperlinks>
  <pageMargins left="0.7" right="0.7" top="0.75" bottom="0.75" header="0.3" footer="0.3"/>
  <pageSetup paperSize="9" orientation="portrait" r:id="rId8"/>
  <drawing r:id="rId9"/>
  <legacyDrawing r:id="rId10"/>
  <controls>
    <mc:AlternateContent xmlns:mc="http://schemas.openxmlformats.org/markup-compatibility/2006">
      <mc:Choice Requires="x14">
        <control shapeId="28710" r:id="rId11" name="CommandButton8">
          <controlPr defaultSize="0" autoLine="0" autoPict="0" r:id="rId12">
            <anchor moveWithCells="1">
              <from>
                <xdr:col>9</xdr:col>
                <xdr:colOff>883920</xdr:colOff>
                <xdr:row>99</xdr:row>
                <xdr:rowOff>175260</xdr:rowOff>
              </from>
              <to>
                <xdr:col>11</xdr:col>
                <xdr:colOff>297180</xdr:colOff>
                <xdr:row>102</xdr:row>
                <xdr:rowOff>38100</xdr:rowOff>
              </to>
            </anchor>
          </controlPr>
        </control>
      </mc:Choice>
      <mc:Fallback>
        <control shapeId="28710" r:id="rId11" name="CommandButton8"/>
      </mc:Fallback>
    </mc:AlternateContent>
    <mc:AlternateContent xmlns:mc="http://schemas.openxmlformats.org/markup-compatibility/2006">
      <mc:Choice Requires="x14">
        <control shapeId="28709" r:id="rId13" name="CommandButton7">
          <controlPr defaultSize="0" autoLine="0" r:id="rId14">
            <anchor moveWithCells="1">
              <from>
                <xdr:col>8</xdr:col>
                <xdr:colOff>190500</xdr:colOff>
                <xdr:row>100</xdr:row>
                <xdr:rowOff>0</xdr:rowOff>
              </from>
              <to>
                <xdr:col>9</xdr:col>
                <xdr:colOff>739140</xdr:colOff>
                <xdr:row>102</xdr:row>
                <xdr:rowOff>38100</xdr:rowOff>
              </to>
            </anchor>
          </controlPr>
        </control>
      </mc:Choice>
      <mc:Fallback>
        <control shapeId="28709" r:id="rId13" name="CommandButton7"/>
      </mc:Fallback>
    </mc:AlternateContent>
    <mc:AlternateContent xmlns:mc="http://schemas.openxmlformats.org/markup-compatibility/2006">
      <mc:Choice Requires="x14">
        <control shapeId="28708" r:id="rId15" name="CBL_member_folder">
          <controlPr defaultSize="0" autoLine="0" r:id="rId16">
            <anchor moveWithCells="1">
              <from>
                <xdr:col>3</xdr:col>
                <xdr:colOff>822960</xdr:colOff>
                <xdr:row>99</xdr:row>
                <xdr:rowOff>144780</xdr:rowOff>
              </from>
              <to>
                <xdr:col>8</xdr:col>
                <xdr:colOff>76200</xdr:colOff>
                <xdr:row>102</xdr:row>
                <xdr:rowOff>38100</xdr:rowOff>
              </to>
            </anchor>
          </controlPr>
        </control>
      </mc:Choice>
      <mc:Fallback>
        <control shapeId="28708" r:id="rId15" name="CBL_member_folder"/>
      </mc:Fallback>
    </mc:AlternateContent>
    <mc:AlternateContent xmlns:mc="http://schemas.openxmlformats.org/markup-compatibility/2006">
      <mc:Choice Requires="x14">
        <control shapeId="28690" r:id="rId17" name="CommandButton3">
          <controlPr defaultSize="0" autoLine="0" r:id="rId18">
            <anchor moveWithCells="1">
              <from>
                <xdr:col>6</xdr:col>
                <xdr:colOff>121920</xdr:colOff>
                <xdr:row>91</xdr:row>
                <xdr:rowOff>99060</xdr:rowOff>
              </from>
              <to>
                <xdr:col>7</xdr:col>
                <xdr:colOff>1203960</xdr:colOff>
                <xdr:row>93</xdr:row>
                <xdr:rowOff>144780</xdr:rowOff>
              </to>
            </anchor>
          </controlPr>
        </control>
      </mc:Choice>
      <mc:Fallback>
        <control shapeId="28690" r:id="rId17" name="CommandButton3"/>
      </mc:Fallback>
    </mc:AlternateContent>
    <mc:AlternateContent xmlns:mc="http://schemas.openxmlformats.org/markup-compatibility/2006">
      <mc:Choice Requires="x14">
        <control shapeId="28687" r:id="rId19" name="CommandButton1">
          <controlPr defaultSize="0" autoLine="0" r:id="rId20">
            <anchor moveWithCells="1">
              <from>
                <xdr:col>8</xdr:col>
                <xdr:colOff>198120</xdr:colOff>
                <xdr:row>88</xdr:row>
                <xdr:rowOff>152400</xdr:rowOff>
              </from>
              <to>
                <xdr:col>9</xdr:col>
                <xdr:colOff>792480</xdr:colOff>
                <xdr:row>91</xdr:row>
                <xdr:rowOff>38100</xdr:rowOff>
              </to>
            </anchor>
          </controlPr>
        </control>
      </mc:Choice>
      <mc:Fallback>
        <control shapeId="28687" r:id="rId19" name="CommandButton1"/>
      </mc:Fallback>
    </mc:AlternateContent>
    <mc:AlternateContent xmlns:mc="http://schemas.openxmlformats.org/markup-compatibility/2006">
      <mc:Choice Requires="x14">
        <control shapeId="28688" r:id="rId21" name="Member_CBL_folder">
          <controlPr defaultSize="0" autoLine="0" r:id="rId22">
            <anchor moveWithCells="1">
              <from>
                <xdr:col>4</xdr:col>
                <xdr:colOff>0</xdr:colOff>
                <xdr:row>88</xdr:row>
                <xdr:rowOff>152400</xdr:rowOff>
              </from>
              <to>
                <xdr:col>8</xdr:col>
                <xdr:colOff>91440</xdr:colOff>
                <xdr:row>91</xdr:row>
                <xdr:rowOff>38100</xdr:rowOff>
              </to>
            </anchor>
          </controlPr>
        </control>
      </mc:Choice>
      <mc:Fallback>
        <control shapeId="28688" r:id="rId21" name="Member_CBL_folder"/>
      </mc:Fallback>
    </mc:AlternateContent>
    <mc:AlternateContent xmlns:mc="http://schemas.openxmlformats.org/markup-compatibility/2006">
      <mc:Choice Requires="x14">
        <control shapeId="28689" r:id="rId23" name="CommandButton2">
          <controlPr defaultSize="0" autoLine="0" r:id="rId24">
            <anchor moveWithCells="1">
              <from>
                <xdr:col>4</xdr:col>
                <xdr:colOff>563880</xdr:colOff>
                <xdr:row>91</xdr:row>
                <xdr:rowOff>137160</xdr:rowOff>
              </from>
              <to>
                <xdr:col>5</xdr:col>
                <xdr:colOff>1135380</xdr:colOff>
                <xdr:row>94</xdr:row>
                <xdr:rowOff>7620</xdr:rowOff>
              </to>
            </anchor>
          </controlPr>
        </control>
      </mc:Choice>
      <mc:Fallback>
        <control shapeId="28689" r:id="rId23" name="CommandButton2"/>
      </mc:Fallback>
    </mc:AlternateContent>
    <mc:AlternateContent xmlns:mc="http://schemas.openxmlformats.org/markup-compatibility/2006">
      <mc:Choice Requires="x14">
        <control shapeId="28691" r:id="rId25" name="Mail_List_n_Attachments">
          <controlPr defaultSize="0" autoLine="0" r:id="rId26">
            <anchor moveWithCells="1">
              <from>
                <xdr:col>4</xdr:col>
                <xdr:colOff>0</xdr:colOff>
                <xdr:row>85</xdr:row>
                <xdr:rowOff>152400</xdr:rowOff>
              </from>
              <to>
                <xdr:col>8</xdr:col>
                <xdr:colOff>99060</xdr:colOff>
                <xdr:row>88</xdr:row>
                <xdr:rowOff>38100</xdr:rowOff>
              </to>
            </anchor>
          </controlPr>
        </control>
      </mc:Choice>
      <mc:Fallback>
        <control shapeId="28691" r:id="rId25" name="Mail_List_n_Attachments"/>
      </mc:Fallback>
    </mc:AlternateContent>
    <mc:AlternateContent xmlns:mc="http://schemas.openxmlformats.org/markup-compatibility/2006">
      <mc:Choice Requires="x14">
        <control shapeId="28692" r:id="rId27" name="CommandButton4">
          <controlPr defaultSize="0" autoLine="0" r:id="rId28">
            <anchor moveWithCells="1">
              <from>
                <xdr:col>8</xdr:col>
                <xdr:colOff>228600</xdr:colOff>
                <xdr:row>85</xdr:row>
                <xdr:rowOff>144780</xdr:rowOff>
              </from>
              <to>
                <xdr:col>9</xdr:col>
                <xdr:colOff>800100</xdr:colOff>
                <xdr:row>88</xdr:row>
                <xdr:rowOff>15240</xdr:rowOff>
              </to>
            </anchor>
          </controlPr>
        </control>
      </mc:Choice>
      <mc:Fallback>
        <control shapeId="28692" r:id="rId27" name="CommandButton4"/>
      </mc:Fallback>
    </mc:AlternateContent>
    <mc:AlternateContent xmlns:mc="http://schemas.openxmlformats.org/markup-compatibility/2006">
      <mc:Choice Requires="x14">
        <control shapeId="28693" r:id="rId29" name="CommandButton5">
          <controlPr defaultSize="0" autoLine="0" r:id="rId30">
            <anchor moveWithCells="1">
              <from>
                <xdr:col>9</xdr:col>
                <xdr:colOff>883920</xdr:colOff>
                <xdr:row>95</xdr:row>
                <xdr:rowOff>99060</xdr:rowOff>
              </from>
              <to>
                <xdr:col>11</xdr:col>
                <xdr:colOff>182880</xdr:colOff>
                <xdr:row>97</xdr:row>
                <xdr:rowOff>144780</xdr:rowOff>
              </to>
            </anchor>
          </controlPr>
        </control>
      </mc:Choice>
      <mc:Fallback>
        <control shapeId="28693" r:id="rId29" name="CommandButton5"/>
      </mc:Fallback>
    </mc:AlternateContent>
    <mc:AlternateContent xmlns:mc="http://schemas.openxmlformats.org/markup-compatibility/2006">
      <mc:Choice Requires="x14">
        <control shapeId="28694" r:id="rId31" name="CommandButton6">
          <controlPr defaultSize="0" autoLine="0" r:id="rId32">
            <anchor moveWithCells="1">
              <from>
                <xdr:col>8</xdr:col>
                <xdr:colOff>182880</xdr:colOff>
                <xdr:row>95</xdr:row>
                <xdr:rowOff>106680</xdr:rowOff>
              </from>
              <to>
                <xdr:col>9</xdr:col>
                <xdr:colOff>731520</xdr:colOff>
                <xdr:row>97</xdr:row>
                <xdr:rowOff>152400</xdr:rowOff>
              </to>
            </anchor>
          </controlPr>
        </control>
      </mc:Choice>
      <mc:Fallback>
        <control shapeId="28694" r:id="rId31" name="CommandButton6"/>
      </mc:Fallback>
    </mc:AlternateContent>
    <mc:AlternateContent xmlns:mc="http://schemas.openxmlformats.org/markup-compatibility/2006">
      <mc:Choice Requires="x14">
        <control shapeId="28695" r:id="rId33" name="Result_Folder">
          <controlPr defaultSize="0" autoLine="0" r:id="rId34">
            <anchor moveWithCells="1">
              <from>
                <xdr:col>3</xdr:col>
                <xdr:colOff>830580</xdr:colOff>
                <xdr:row>95</xdr:row>
                <xdr:rowOff>106680</xdr:rowOff>
              </from>
              <to>
                <xdr:col>8</xdr:col>
                <xdr:colOff>83820</xdr:colOff>
                <xdr:row>98</xdr:row>
                <xdr:rowOff>0</xdr:rowOff>
              </to>
            </anchor>
          </controlPr>
        </control>
      </mc:Choice>
      <mc:Fallback>
        <control shapeId="28695" r:id="rId33" name="Result_Folder"/>
      </mc:Fallback>
    </mc:AlternateContent>
    <mc:AlternateContent xmlns:mc="http://schemas.openxmlformats.org/markup-compatibility/2006">
      <mc:Choice Requires="x14">
        <control shapeId="28704" r:id="rId35" name="Label 32">
          <controlPr defaultSize="0" autoFill="0" autoLine="0" autoPict="0">
            <anchor moveWithCells="1" sizeWithCells="1">
              <from>
                <xdr:col>1</xdr:col>
                <xdr:colOff>274320</xdr:colOff>
                <xdr:row>86</xdr:row>
                <xdr:rowOff>22860</xdr:rowOff>
              </from>
              <to>
                <xdr:col>4</xdr:col>
                <xdr:colOff>7620</xdr:colOff>
                <xdr:row>88</xdr:row>
                <xdr:rowOff>30480</xdr:rowOff>
              </to>
            </anchor>
          </controlPr>
        </control>
      </mc:Choice>
    </mc:AlternateContent>
    <mc:AlternateContent xmlns:mc="http://schemas.openxmlformats.org/markup-compatibility/2006">
      <mc:Choice Requires="x14">
        <control shapeId="28705" r:id="rId36" name="Label 33">
          <controlPr defaultSize="0" autoFill="0" autoLine="0" autoPict="0">
            <anchor moveWithCells="1" sizeWithCells="1">
              <from>
                <xdr:col>0</xdr:col>
                <xdr:colOff>83820</xdr:colOff>
                <xdr:row>88</xdr:row>
                <xdr:rowOff>175260</xdr:rowOff>
              </from>
              <to>
                <xdr:col>3</xdr:col>
                <xdr:colOff>807720</xdr:colOff>
                <xdr:row>91</xdr:row>
                <xdr:rowOff>22860</xdr:rowOff>
              </to>
            </anchor>
          </controlPr>
        </control>
      </mc:Choice>
    </mc:AlternateContent>
    <mc:AlternateContent xmlns:mc="http://schemas.openxmlformats.org/markup-compatibility/2006">
      <mc:Choice Requires="x14">
        <control shapeId="28707" r:id="rId37" name="Label 35">
          <controlPr defaultSize="0" autoFill="0" autoLine="0" autoPict="0">
            <anchor moveWithCells="1" sizeWithCells="1">
              <from>
                <xdr:col>0</xdr:col>
                <xdr:colOff>137160</xdr:colOff>
                <xdr:row>95</xdr:row>
                <xdr:rowOff>45720</xdr:rowOff>
              </from>
              <to>
                <xdr:col>3</xdr:col>
                <xdr:colOff>822960</xdr:colOff>
                <xdr:row>98</xdr:row>
                <xdr:rowOff>68580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66"/>
  <sheetViews>
    <sheetView zoomScale="85" zoomScaleNormal="100" workbookViewId="0">
      <pane xSplit="5" ySplit="2" topLeftCell="H6" activePane="bottomRight" state="frozen"/>
      <selection pane="topRight" activeCell="F1" sqref="F1"/>
      <selection pane="bottomLeft" activeCell="A3" sqref="A3"/>
      <selection pane="bottomRight" activeCell="E11" sqref="E11"/>
    </sheetView>
  </sheetViews>
  <sheetFormatPr defaultColWidth="8.88671875" defaultRowHeight="14.4" x14ac:dyDescent="0.3"/>
  <cols>
    <col min="1" max="1" width="8.5546875" style="296" bestFit="1" customWidth="1"/>
    <col min="2" max="2" width="6.44140625" style="296" bestFit="1" customWidth="1"/>
    <col min="3" max="3" width="7.88671875" style="296" bestFit="1" customWidth="1"/>
    <col min="4" max="4" width="18.44140625" style="296" bestFit="1" customWidth="1"/>
    <col min="5" max="5" width="46.5546875" style="296" customWidth="1"/>
    <col min="6" max="6" width="27.5546875" style="296" customWidth="1"/>
    <col min="7" max="7" width="24.88671875" style="296" customWidth="1"/>
    <col min="8" max="8" width="26.109375" style="296" customWidth="1"/>
    <col min="9" max="9" width="32.109375" style="296" customWidth="1"/>
    <col min="10" max="10" width="15.5546875" style="296" bestFit="1" customWidth="1"/>
    <col min="11" max="15" width="15.5546875" style="296" customWidth="1"/>
    <col min="16" max="16" width="36.5546875" style="205" bestFit="1" customWidth="1"/>
    <col min="17" max="17" width="16.5546875" style="296" customWidth="1"/>
    <col min="18" max="16384" width="8.88671875" style="296"/>
  </cols>
  <sheetData>
    <row r="1" spans="1:17" ht="23.4" x14ac:dyDescent="0.45">
      <c r="A1" s="295" t="s">
        <v>681</v>
      </c>
      <c r="B1" s="295"/>
      <c r="C1" s="295"/>
      <c r="D1" s="295"/>
      <c r="E1" s="295"/>
      <c r="F1" s="295"/>
      <c r="G1" s="295"/>
      <c r="H1" s="295"/>
      <c r="I1" s="295"/>
      <c r="J1" s="295"/>
      <c r="K1" s="295"/>
      <c r="L1" s="295"/>
      <c r="M1" s="295"/>
      <c r="N1" s="295"/>
      <c r="O1" s="295"/>
      <c r="P1" s="295"/>
    </row>
    <row r="2" spans="1:17" ht="27.6" x14ac:dyDescent="0.3">
      <c r="A2" s="293" t="s">
        <v>132</v>
      </c>
      <c r="B2" s="293" t="s">
        <v>91</v>
      </c>
      <c r="C2" s="335" t="s">
        <v>75</v>
      </c>
      <c r="D2" s="336" t="s">
        <v>133</v>
      </c>
      <c r="E2" s="293" t="s">
        <v>134</v>
      </c>
      <c r="F2" s="293" t="s">
        <v>135</v>
      </c>
      <c r="G2" s="293" t="s">
        <v>136</v>
      </c>
      <c r="H2" s="293" t="s">
        <v>137</v>
      </c>
      <c r="I2" s="334" t="s">
        <v>138</v>
      </c>
      <c r="J2" s="334" t="s">
        <v>246</v>
      </c>
      <c r="K2" s="297" t="s">
        <v>334</v>
      </c>
      <c r="L2" s="297" t="s">
        <v>332</v>
      </c>
      <c r="M2" s="297" t="s">
        <v>333</v>
      </c>
      <c r="N2" s="297" t="s">
        <v>365</v>
      </c>
      <c r="O2" s="297" t="s">
        <v>366</v>
      </c>
      <c r="P2" s="293" t="s">
        <v>139</v>
      </c>
      <c r="Q2" s="333" t="s">
        <v>417</v>
      </c>
    </row>
    <row r="3" spans="1:17" x14ac:dyDescent="0.3">
      <c r="A3" s="293"/>
      <c r="B3" s="293"/>
      <c r="C3" s="335"/>
      <c r="D3" s="336"/>
      <c r="E3" s="293"/>
      <c r="F3" s="298" t="s">
        <v>140</v>
      </c>
      <c r="G3" s="293"/>
      <c r="H3" s="293"/>
      <c r="I3" s="334"/>
      <c r="J3" s="334"/>
      <c r="K3" s="299"/>
      <c r="L3" s="299"/>
      <c r="M3" s="299"/>
      <c r="N3" s="299"/>
      <c r="O3" s="299"/>
      <c r="P3" s="293"/>
      <c r="Q3" s="333"/>
    </row>
    <row r="4" spans="1:17" ht="179.4" x14ac:dyDescent="0.3">
      <c r="A4" s="107" t="s">
        <v>141</v>
      </c>
      <c r="B4" s="107" t="s">
        <v>142</v>
      </c>
      <c r="C4" s="254" t="s">
        <v>5</v>
      </c>
      <c r="D4" s="255" t="s">
        <v>143</v>
      </c>
      <c r="E4" s="256" t="s">
        <v>362</v>
      </c>
      <c r="F4" s="258"/>
      <c r="G4" s="261" t="s">
        <v>145</v>
      </c>
      <c r="H4" s="261" t="s">
        <v>211</v>
      </c>
      <c r="I4" s="237" t="s">
        <v>682</v>
      </c>
      <c r="J4" s="107">
        <v>13</v>
      </c>
      <c r="K4" s="107"/>
      <c r="L4" s="307"/>
      <c r="M4" s="107"/>
      <c r="N4" s="107"/>
      <c r="O4" s="107"/>
      <c r="P4" s="300"/>
      <c r="Q4" s="169" t="s">
        <v>418</v>
      </c>
    </row>
    <row r="5" spans="1:17" ht="27.6" x14ac:dyDescent="0.3">
      <c r="A5" s="107"/>
      <c r="B5" s="107"/>
      <c r="C5" s="254" t="s">
        <v>5</v>
      </c>
      <c r="D5" s="255" t="s">
        <v>143</v>
      </c>
      <c r="E5" s="256" t="s">
        <v>363</v>
      </c>
      <c r="F5" s="259" t="s">
        <v>144</v>
      </c>
      <c r="G5" s="259" t="s">
        <v>149</v>
      </c>
      <c r="H5" s="259" t="s">
        <v>150</v>
      </c>
      <c r="I5" s="237" t="s">
        <v>683</v>
      </c>
      <c r="J5" s="107">
        <v>2</v>
      </c>
      <c r="K5" s="107"/>
      <c r="L5" s="308"/>
      <c r="M5" s="107"/>
      <c r="N5" s="107"/>
      <c r="O5" s="107"/>
      <c r="P5" s="300"/>
      <c r="Q5" s="169" t="s">
        <v>419</v>
      </c>
    </row>
    <row r="6" spans="1:17" ht="27" customHeight="1" x14ac:dyDescent="0.3">
      <c r="A6" s="107"/>
      <c r="B6" s="107"/>
      <c r="C6" s="254" t="s">
        <v>5</v>
      </c>
      <c r="D6" s="255" t="s">
        <v>148</v>
      </c>
      <c r="E6" s="256" t="s">
        <v>148</v>
      </c>
      <c r="F6" s="259" t="s">
        <v>144</v>
      </c>
      <c r="G6" s="259" t="s">
        <v>149</v>
      </c>
      <c r="H6" s="259" t="s">
        <v>150</v>
      </c>
      <c r="I6" s="237" t="s">
        <v>684</v>
      </c>
      <c r="J6" s="107">
        <v>6</v>
      </c>
      <c r="K6" s="107"/>
      <c r="L6" s="308"/>
      <c r="M6" s="107"/>
      <c r="N6" s="107"/>
      <c r="O6" s="107"/>
      <c r="P6" s="107"/>
      <c r="Q6" s="169" t="s">
        <v>420</v>
      </c>
    </row>
    <row r="7" spans="1:17" ht="248.4" x14ac:dyDescent="0.3">
      <c r="A7" s="107"/>
      <c r="B7" s="107"/>
      <c r="C7" s="254" t="s">
        <v>5</v>
      </c>
      <c r="D7" s="255" t="s">
        <v>678</v>
      </c>
      <c r="E7" s="256" t="s">
        <v>414</v>
      </c>
      <c r="F7" s="259" t="s">
        <v>144</v>
      </c>
      <c r="G7" s="259" t="s">
        <v>152</v>
      </c>
      <c r="H7" s="259" t="s">
        <v>154</v>
      </c>
      <c r="I7" s="237" t="s">
        <v>685</v>
      </c>
      <c r="J7" s="107">
        <v>18</v>
      </c>
      <c r="K7" s="107"/>
      <c r="L7" s="308"/>
      <c r="M7" s="107"/>
      <c r="N7" s="237"/>
      <c r="O7" s="107"/>
      <c r="P7" s="300"/>
      <c r="Q7" s="169" t="s">
        <v>421</v>
      </c>
    </row>
    <row r="8" spans="1:17" x14ac:dyDescent="0.3">
      <c r="A8" s="107"/>
      <c r="B8" s="107"/>
      <c r="C8" s="254" t="s">
        <v>5</v>
      </c>
      <c r="D8" s="255" t="s">
        <v>678</v>
      </c>
      <c r="E8" s="257" t="s">
        <v>645</v>
      </c>
      <c r="F8" s="259" t="s">
        <v>144</v>
      </c>
      <c r="G8" s="259" t="s">
        <v>152</v>
      </c>
      <c r="H8" s="259" t="s">
        <v>154</v>
      </c>
      <c r="I8" s="237"/>
      <c r="J8" s="107"/>
      <c r="K8" s="107"/>
      <c r="L8" s="107"/>
      <c r="M8" s="107"/>
      <c r="N8" s="107"/>
      <c r="O8" s="107"/>
      <c r="P8" s="300"/>
      <c r="Q8" s="169" t="s">
        <v>422</v>
      </c>
    </row>
    <row r="9" spans="1:17" ht="96.6" x14ac:dyDescent="0.3">
      <c r="A9" s="107"/>
      <c r="B9" s="107"/>
      <c r="C9" s="254" t="s">
        <v>5</v>
      </c>
      <c r="D9" s="255" t="s">
        <v>678</v>
      </c>
      <c r="E9" s="257" t="s">
        <v>592</v>
      </c>
      <c r="F9" s="259" t="s">
        <v>144</v>
      </c>
      <c r="G9" s="259" t="s">
        <v>153</v>
      </c>
      <c r="H9" s="259" t="s">
        <v>263</v>
      </c>
      <c r="I9" s="237" t="s">
        <v>686</v>
      </c>
      <c r="J9" s="107">
        <v>7</v>
      </c>
      <c r="K9" s="107"/>
      <c r="L9" s="308"/>
      <c r="M9" s="107"/>
      <c r="N9" s="107"/>
      <c r="O9" s="107"/>
      <c r="P9" s="107"/>
      <c r="Q9" s="169" t="s">
        <v>423</v>
      </c>
    </row>
    <row r="10" spans="1:17" ht="110.4" x14ac:dyDescent="0.3">
      <c r="A10" s="107"/>
      <c r="B10" s="107"/>
      <c r="C10" s="254" t="s">
        <v>5</v>
      </c>
      <c r="D10" s="255" t="s">
        <v>678</v>
      </c>
      <c r="E10" s="257" t="s">
        <v>593</v>
      </c>
      <c r="F10" s="259" t="s">
        <v>144</v>
      </c>
      <c r="G10" s="259" t="s">
        <v>590</v>
      </c>
      <c r="H10" s="259" t="s">
        <v>274</v>
      </c>
      <c r="I10" s="237" t="s">
        <v>687</v>
      </c>
      <c r="J10" s="107">
        <v>8</v>
      </c>
      <c r="K10" s="107"/>
      <c r="L10" s="308"/>
      <c r="M10" s="107"/>
      <c r="N10" s="107"/>
      <c r="O10" s="107"/>
      <c r="P10" s="301"/>
      <c r="Q10" s="169" t="s">
        <v>424</v>
      </c>
    </row>
    <row r="11" spans="1:17" x14ac:dyDescent="0.3">
      <c r="A11" s="107"/>
      <c r="B11" s="107"/>
      <c r="C11" s="254" t="s">
        <v>5</v>
      </c>
      <c r="D11" s="255" t="s">
        <v>678</v>
      </c>
      <c r="E11" s="252" t="s">
        <v>640</v>
      </c>
      <c r="F11" s="259" t="s">
        <v>144</v>
      </c>
      <c r="G11" s="262" t="s">
        <v>648</v>
      </c>
      <c r="H11" s="262" t="s">
        <v>329</v>
      </c>
      <c r="I11" s="237"/>
      <c r="J11" s="107"/>
      <c r="K11" s="107"/>
      <c r="L11" s="107"/>
      <c r="M11" s="107"/>
      <c r="N11" s="107"/>
      <c r="O11" s="107"/>
      <c r="P11" s="301"/>
      <c r="Q11" s="169" t="s">
        <v>425</v>
      </c>
    </row>
    <row r="12" spans="1:17" x14ac:dyDescent="0.3">
      <c r="A12" s="107"/>
      <c r="B12" s="107"/>
      <c r="C12" s="254" t="s">
        <v>5</v>
      </c>
      <c r="D12" s="255" t="s">
        <v>678</v>
      </c>
      <c r="E12" s="252" t="s">
        <v>641</v>
      </c>
      <c r="F12" s="259" t="s">
        <v>144</v>
      </c>
      <c r="G12" s="262" t="s">
        <v>371</v>
      </c>
      <c r="H12" s="262" t="s">
        <v>372</v>
      </c>
      <c r="I12" s="237"/>
      <c r="J12" s="107"/>
      <c r="K12" s="107"/>
      <c r="L12" s="107"/>
      <c r="M12" s="107"/>
      <c r="N12" s="107"/>
      <c r="O12" s="107"/>
      <c r="P12" s="301"/>
      <c r="Q12" s="169" t="s">
        <v>426</v>
      </c>
    </row>
    <row r="13" spans="1:17" ht="96.6" x14ac:dyDescent="0.3">
      <c r="A13" s="107"/>
      <c r="B13" s="107"/>
      <c r="C13" s="254" t="s">
        <v>5</v>
      </c>
      <c r="D13" s="255" t="s">
        <v>31</v>
      </c>
      <c r="E13" s="257" t="s">
        <v>173</v>
      </c>
      <c r="F13" s="260"/>
      <c r="G13" s="263" t="s">
        <v>170</v>
      </c>
      <c r="H13" s="264" t="s">
        <v>170</v>
      </c>
      <c r="I13" s="237" t="s">
        <v>688</v>
      </c>
      <c r="J13" s="107">
        <v>7</v>
      </c>
      <c r="K13" s="107"/>
      <c r="L13" s="308"/>
      <c r="M13" s="107"/>
      <c r="N13" s="107"/>
      <c r="O13" s="107"/>
      <c r="P13" s="107"/>
      <c r="Q13" s="169" t="s">
        <v>427</v>
      </c>
    </row>
    <row r="14" spans="1:17" x14ac:dyDescent="0.3">
      <c r="A14" s="107"/>
      <c r="B14" s="107"/>
      <c r="C14" s="254" t="s">
        <v>5</v>
      </c>
      <c r="D14" s="255" t="s">
        <v>31</v>
      </c>
      <c r="E14" s="257" t="s">
        <v>646</v>
      </c>
      <c r="F14" s="260"/>
      <c r="G14" s="265" t="s">
        <v>149</v>
      </c>
      <c r="H14" s="264" t="s">
        <v>150</v>
      </c>
      <c r="I14" s="107"/>
      <c r="J14" s="107"/>
      <c r="K14" s="107"/>
      <c r="L14" s="107"/>
      <c r="M14" s="107"/>
      <c r="N14" s="107"/>
      <c r="O14" s="107"/>
      <c r="P14" s="107"/>
      <c r="Q14" s="169" t="s">
        <v>428</v>
      </c>
    </row>
    <row r="15" spans="1:17" ht="55.2" x14ac:dyDescent="0.3">
      <c r="A15" s="107"/>
      <c r="B15" s="107"/>
      <c r="C15" s="254" t="s">
        <v>5</v>
      </c>
      <c r="D15" s="255" t="s">
        <v>54</v>
      </c>
      <c r="E15" s="257" t="s">
        <v>388</v>
      </c>
      <c r="F15" s="259"/>
      <c r="G15" s="259" t="s">
        <v>215</v>
      </c>
      <c r="H15" s="259" t="s">
        <v>216</v>
      </c>
      <c r="I15" s="237" t="s">
        <v>689</v>
      </c>
      <c r="J15" s="107">
        <v>4</v>
      </c>
      <c r="K15" s="107"/>
      <c r="L15" s="308"/>
      <c r="M15" s="107"/>
      <c r="N15" s="107"/>
      <c r="O15" s="107"/>
      <c r="P15" s="107"/>
      <c r="Q15" s="169" t="s">
        <v>429</v>
      </c>
    </row>
    <row r="16" spans="1:17" x14ac:dyDescent="0.3">
      <c r="A16" s="107"/>
      <c r="B16" s="107"/>
      <c r="C16" s="254" t="s">
        <v>5</v>
      </c>
      <c r="D16" s="255" t="s">
        <v>41</v>
      </c>
      <c r="E16" s="257" t="s">
        <v>412</v>
      </c>
      <c r="F16" s="260"/>
      <c r="G16" s="259" t="s">
        <v>371</v>
      </c>
      <c r="H16" s="259" t="s">
        <v>372</v>
      </c>
      <c r="I16" s="107" t="s">
        <v>563</v>
      </c>
      <c r="J16" s="107">
        <v>1</v>
      </c>
      <c r="K16" s="107"/>
      <c r="L16" s="308"/>
      <c r="M16" s="107"/>
      <c r="N16" s="107"/>
      <c r="O16" s="107"/>
      <c r="P16" s="107"/>
      <c r="Q16" s="169" t="s">
        <v>649</v>
      </c>
    </row>
    <row r="17" spans="1:17" x14ac:dyDescent="0.3">
      <c r="A17" s="107"/>
      <c r="B17" s="107"/>
      <c r="C17" s="254" t="s">
        <v>5</v>
      </c>
      <c r="D17" s="255" t="s">
        <v>143</v>
      </c>
      <c r="E17" s="252" t="s">
        <v>647</v>
      </c>
      <c r="F17" s="260"/>
      <c r="G17" s="262" t="s">
        <v>590</v>
      </c>
      <c r="H17" s="262" t="s">
        <v>274</v>
      </c>
      <c r="I17" s="107"/>
      <c r="J17" s="107"/>
      <c r="K17" s="107"/>
      <c r="L17" s="107"/>
      <c r="M17" s="107"/>
      <c r="N17" s="107"/>
      <c r="O17" s="107"/>
      <c r="P17" s="107"/>
      <c r="Q17" s="169" t="s">
        <v>650</v>
      </c>
    </row>
    <row r="18" spans="1:17" ht="69" x14ac:dyDescent="0.3">
      <c r="A18" s="107"/>
      <c r="B18" s="107"/>
      <c r="C18" s="254" t="s">
        <v>5</v>
      </c>
      <c r="D18" s="255" t="s">
        <v>46</v>
      </c>
      <c r="E18" s="252" t="s">
        <v>169</v>
      </c>
      <c r="F18" s="260"/>
      <c r="G18" s="262" t="s">
        <v>170</v>
      </c>
      <c r="H18" s="262" t="s">
        <v>651</v>
      </c>
      <c r="I18" s="237" t="s">
        <v>690</v>
      </c>
      <c r="J18" s="107">
        <v>5</v>
      </c>
      <c r="K18" s="107"/>
      <c r="L18" s="308"/>
      <c r="M18" s="107"/>
      <c r="N18" s="107"/>
      <c r="O18" s="107"/>
      <c r="P18" s="107"/>
      <c r="Q18" s="169" t="s">
        <v>677</v>
      </c>
    </row>
    <row r="19" spans="1:17" ht="100.8" x14ac:dyDescent="0.3">
      <c r="A19" s="107" t="s">
        <v>141</v>
      </c>
      <c r="B19" s="107" t="s">
        <v>142</v>
      </c>
      <c r="C19" s="266" t="s">
        <v>6</v>
      </c>
      <c r="D19" s="267" t="s">
        <v>41</v>
      </c>
      <c r="E19" s="268" t="s">
        <v>176</v>
      </c>
      <c r="F19" s="272"/>
      <c r="G19" s="269" t="s">
        <v>177</v>
      </c>
      <c r="H19" s="269" t="s">
        <v>344</v>
      </c>
      <c r="I19" s="302" t="s">
        <v>691</v>
      </c>
      <c r="J19" s="296">
        <v>7</v>
      </c>
      <c r="L19" s="309"/>
      <c r="Q19" s="169" t="s">
        <v>430</v>
      </c>
    </row>
    <row r="20" spans="1:17" ht="409.6" x14ac:dyDescent="0.3">
      <c r="A20" s="107"/>
      <c r="B20" s="107"/>
      <c r="C20" s="266" t="s">
        <v>6</v>
      </c>
      <c r="D20" s="267" t="s">
        <v>56</v>
      </c>
      <c r="E20" s="270" t="s">
        <v>180</v>
      </c>
      <c r="F20" s="272"/>
      <c r="G20" s="269" t="s">
        <v>170</v>
      </c>
      <c r="H20" s="269" t="s">
        <v>651</v>
      </c>
      <c r="I20" s="237" t="s">
        <v>692</v>
      </c>
      <c r="J20" s="107">
        <v>31</v>
      </c>
      <c r="K20" s="107"/>
      <c r="L20" s="308"/>
      <c r="M20" s="107"/>
      <c r="N20" s="107"/>
      <c r="O20" s="107"/>
      <c r="P20" s="300"/>
      <c r="Q20" s="169" t="s">
        <v>431</v>
      </c>
    </row>
    <row r="21" spans="1:17" ht="69" x14ac:dyDescent="0.3">
      <c r="A21" s="107"/>
      <c r="B21" s="107"/>
      <c r="C21" s="266" t="s">
        <v>6</v>
      </c>
      <c r="D21" s="267" t="s">
        <v>678</v>
      </c>
      <c r="E21" s="252" t="s">
        <v>680</v>
      </c>
      <c r="F21" s="273"/>
      <c r="G21" s="269" t="s">
        <v>152</v>
      </c>
      <c r="H21" s="269" t="s">
        <v>154</v>
      </c>
      <c r="I21" s="237" t="s">
        <v>693</v>
      </c>
      <c r="J21" s="107">
        <v>5</v>
      </c>
      <c r="K21" s="107"/>
      <c r="L21" s="308"/>
      <c r="M21" s="107"/>
      <c r="N21" s="107"/>
      <c r="O21" s="107"/>
      <c r="P21" s="300"/>
      <c r="Q21" s="169" t="s">
        <v>432</v>
      </c>
    </row>
    <row r="22" spans="1:17" ht="220.8" x14ac:dyDescent="0.3">
      <c r="A22" s="107"/>
      <c r="B22" s="107"/>
      <c r="C22" s="266" t="s">
        <v>6</v>
      </c>
      <c r="D22" s="267" t="s">
        <v>678</v>
      </c>
      <c r="E22" s="270" t="s">
        <v>186</v>
      </c>
      <c r="F22" s="274">
        <v>44392</v>
      </c>
      <c r="G22" s="269" t="s">
        <v>153</v>
      </c>
      <c r="H22" s="269" t="s">
        <v>263</v>
      </c>
      <c r="I22" s="237" t="s">
        <v>694</v>
      </c>
      <c r="J22" s="107">
        <v>16</v>
      </c>
      <c r="K22" s="107"/>
      <c r="L22" s="308"/>
      <c r="M22" s="107"/>
      <c r="N22" s="107"/>
      <c r="O22" s="107"/>
      <c r="P22" s="303"/>
      <c r="Q22" s="169" t="s">
        <v>433</v>
      </c>
    </row>
    <row r="23" spans="1:17" ht="82.8" x14ac:dyDescent="0.3">
      <c r="A23" s="107"/>
      <c r="B23" s="107"/>
      <c r="C23" s="266" t="s">
        <v>6</v>
      </c>
      <c r="D23" s="267" t="s">
        <v>678</v>
      </c>
      <c r="E23" s="252" t="s">
        <v>652</v>
      </c>
      <c r="F23" s="273">
        <v>44378</v>
      </c>
      <c r="G23" s="269" t="s">
        <v>590</v>
      </c>
      <c r="H23" s="269" t="s">
        <v>274</v>
      </c>
      <c r="I23" s="237" t="s">
        <v>695</v>
      </c>
      <c r="J23" s="107">
        <v>6</v>
      </c>
      <c r="K23" s="107"/>
      <c r="L23" s="308"/>
      <c r="M23" s="107"/>
      <c r="N23" s="107"/>
      <c r="O23" s="107"/>
      <c r="P23" s="300"/>
      <c r="Q23" s="169" t="s">
        <v>434</v>
      </c>
    </row>
    <row r="24" spans="1:17" ht="96.6" x14ac:dyDescent="0.3">
      <c r="A24" s="107"/>
      <c r="B24" s="107"/>
      <c r="C24" s="266" t="s">
        <v>6</v>
      </c>
      <c r="D24" s="267" t="s">
        <v>678</v>
      </c>
      <c r="E24" s="270" t="s">
        <v>189</v>
      </c>
      <c r="F24" s="274"/>
      <c r="G24" s="269" t="s">
        <v>225</v>
      </c>
      <c r="H24" s="269" t="s">
        <v>340</v>
      </c>
      <c r="I24" s="237" t="s">
        <v>696</v>
      </c>
      <c r="J24" s="107">
        <v>7</v>
      </c>
      <c r="K24" s="107"/>
      <c r="L24" s="308"/>
      <c r="M24" s="107"/>
      <c r="N24" s="107"/>
      <c r="O24" s="107"/>
      <c r="P24" s="301"/>
      <c r="Q24" s="169" t="s">
        <v>435</v>
      </c>
    </row>
    <row r="25" spans="1:17" ht="55.2" x14ac:dyDescent="0.3">
      <c r="A25" s="107"/>
      <c r="B25" s="107"/>
      <c r="C25" s="266" t="s">
        <v>6</v>
      </c>
      <c r="D25" s="267" t="s">
        <v>55</v>
      </c>
      <c r="E25" s="270" t="s">
        <v>190</v>
      </c>
      <c r="F25" s="272"/>
      <c r="G25" s="269" t="s">
        <v>373</v>
      </c>
      <c r="H25" s="269" t="s">
        <v>331</v>
      </c>
      <c r="I25" s="237" t="s">
        <v>697</v>
      </c>
      <c r="J25" s="107">
        <v>4</v>
      </c>
      <c r="K25" s="107"/>
      <c r="L25" s="308"/>
      <c r="M25" s="107"/>
      <c r="N25" s="107"/>
      <c r="O25" s="107"/>
      <c r="P25" s="303"/>
      <c r="Q25" s="169" t="s">
        <v>436</v>
      </c>
    </row>
    <row r="26" spans="1:17" ht="27.6" x14ac:dyDescent="0.3">
      <c r="A26" s="107"/>
      <c r="B26" s="107"/>
      <c r="C26" s="266" t="s">
        <v>6</v>
      </c>
      <c r="D26" s="267" t="s">
        <v>55</v>
      </c>
      <c r="E26" s="270" t="s">
        <v>192</v>
      </c>
      <c r="F26" s="272"/>
      <c r="G26" s="271" t="s">
        <v>653</v>
      </c>
      <c r="H26" s="269" t="s">
        <v>275</v>
      </c>
      <c r="I26" s="237"/>
      <c r="J26" s="107"/>
      <c r="K26" s="107"/>
      <c r="L26" s="308"/>
      <c r="M26" s="107"/>
      <c r="N26" s="107"/>
      <c r="O26" s="107"/>
      <c r="P26" s="300"/>
      <c r="Q26" s="169" t="s">
        <v>437</v>
      </c>
    </row>
    <row r="27" spans="1:17" ht="55.2" x14ac:dyDescent="0.3">
      <c r="A27" s="107"/>
      <c r="B27" s="107"/>
      <c r="C27" s="266" t="s">
        <v>6</v>
      </c>
      <c r="D27" s="267" t="s">
        <v>55</v>
      </c>
      <c r="E27" s="270" t="s">
        <v>194</v>
      </c>
      <c r="F27" s="272"/>
      <c r="G27" s="271" t="s">
        <v>654</v>
      </c>
      <c r="H27" s="271" t="s">
        <v>655</v>
      </c>
      <c r="I27" s="237" t="s">
        <v>698</v>
      </c>
      <c r="J27" s="107">
        <v>4</v>
      </c>
      <c r="K27" s="107"/>
      <c r="L27" s="308"/>
      <c r="M27" s="107"/>
      <c r="N27" s="107"/>
      <c r="O27" s="107"/>
      <c r="P27" s="107"/>
      <c r="Q27" s="169" t="s">
        <v>438</v>
      </c>
    </row>
    <row r="28" spans="1:17" ht="82.8" x14ac:dyDescent="0.3">
      <c r="A28" s="107"/>
      <c r="B28" s="107"/>
      <c r="C28" s="266" t="s">
        <v>6</v>
      </c>
      <c r="D28" s="267" t="s">
        <v>55</v>
      </c>
      <c r="E28" s="270" t="s">
        <v>196</v>
      </c>
      <c r="F28" s="272"/>
      <c r="G28" s="269" t="s">
        <v>197</v>
      </c>
      <c r="H28" s="269" t="s">
        <v>256</v>
      </c>
      <c r="I28" s="237" t="s">
        <v>699</v>
      </c>
      <c r="J28" s="107">
        <v>6</v>
      </c>
      <c r="K28" s="107"/>
      <c r="L28" s="308"/>
      <c r="M28" s="107"/>
      <c r="N28" s="107"/>
      <c r="O28" s="107"/>
      <c r="P28" s="301"/>
      <c r="Q28" s="169" t="s">
        <v>439</v>
      </c>
    </row>
    <row r="29" spans="1:17" ht="124.2" x14ac:dyDescent="0.3">
      <c r="A29" s="107"/>
      <c r="B29" s="107"/>
      <c r="C29" s="266" t="s">
        <v>6</v>
      </c>
      <c r="D29" s="267" t="s">
        <v>55</v>
      </c>
      <c r="E29" s="270" t="s">
        <v>200</v>
      </c>
      <c r="F29" s="272"/>
      <c r="G29" s="269" t="s">
        <v>374</v>
      </c>
      <c r="H29" s="269" t="s">
        <v>375</v>
      </c>
      <c r="I29" s="237" t="s">
        <v>700</v>
      </c>
      <c r="J29" s="107">
        <v>9</v>
      </c>
      <c r="K29" s="107"/>
      <c r="L29" s="308"/>
      <c r="M29" s="107"/>
      <c r="N29" s="107"/>
      <c r="O29" s="107"/>
      <c r="P29" s="301"/>
      <c r="Q29" s="169" t="s">
        <v>440</v>
      </c>
    </row>
    <row r="30" spans="1:17" ht="207" x14ac:dyDescent="0.3">
      <c r="A30" s="107"/>
      <c r="B30" s="107"/>
      <c r="C30" s="266" t="s">
        <v>6</v>
      </c>
      <c r="D30" s="267" t="s">
        <v>56</v>
      </c>
      <c r="E30" s="270" t="s">
        <v>390</v>
      </c>
      <c r="F30" s="272"/>
      <c r="G30" s="269" t="s">
        <v>165</v>
      </c>
      <c r="H30" s="269" t="s">
        <v>339</v>
      </c>
      <c r="I30" s="237" t="s">
        <v>701</v>
      </c>
      <c r="J30" s="107">
        <v>15</v>
      </c>
      <c r="K30" s="107"/>
      <c r="L30" s="308"/>
      <c r="M30" s="107"/>
      <c r="N30" s="107"/>
      <c r="O30" s="107"/>
      <c r="P30" s="301"/>
      <c r="Q30" s="169" t="s">
        <v>441</v>
      </c>
    </row>
    <row r="31" spans="1:17" ht="69" x14ac:dyDescent="0.3">
      <c r="A31" s="107"/>
      <c r="B31" s="107"/>
      <c r="C31" s="266" t="s">
        <v>6</v>
      </c>
      <c r="D31" s="267" t="s">
        <v>53</v>
      </c>
      <c r="E31" s="270" t="s">
        <v>361</v>
      </c>
      <c r="F31" s="272"/>
      <c r="G31" s="269"/>
      <c r="H31" s="269"/>
      <c r="I31" s="237" t="s">
        <v>702</v>
      </c>
      <c r="J31" s="107">
        <v>5</v>
      </c>
      <c r="K31" s="107"/>
      <c r="L31" s="308"/>
      <c r="M31" s="107"/>
      <c r="N31" s="107"/>
      <c r="O31" s="107"/>
      <c r="P31" s="301"/>
      <c r="Q31" s="169" t="s">
        <v>442</v>
      </c>
    </row>
    <row r="32" spans="1:17" ht="41.4" x14ac:dyDescent="0.3">
      <c r="A32" s="107"/>
      <c r="B32" s="107"/>
      <c r="C32" s="266" t="s">
        <v>6</v>
      </c>
      <c r="D32" s="267" t="s">
        <v>54</v>
      </c>
      <c r="E32" s="270" t="s">
        <v>335</v>
      </c>
      <c r="F32" s="272"/>
      <c r="G32" s="269" t="s">
        <v>207</v>
      </c>
      <c r="H32" s="269" t="s">
        <v>319</v>
      </c>
      <c r="I32" s="237" t="s">
        <v>703</v>
      </c>
      <c r="J32" s="107">
        <v>3</v>
      </c>
      <c r="K32" s="107"/>
      <c r="L32" s="308"/>
      <c r="M32" s="107"/>
      <c r="N32" s="107"/>
      <c r="O32" s="107"/>
      <c r="P32" s="301"/>
      <c r="Q32" s="169" t="s">
        <v>443</v>
      </c>
    </row>
    <row r="33" spans="1:17" ht="55.2" x14ac:dyDescent="0.3">
      <c r="A33" s="107" t="s">
        <v>141</v>
      </c>
      <c r="B33" s="107" t="s">
        <v>142</v>
      </c>
      <c r="C33" s="275" t="s">
        <v>7</v>
      </c>
      <c r="D33" s="276" t="s">
        <v>55</v>
      </c>
      <c r="E33" s="277" t="s">
        <v>183</v>
      </c>
      <c r="F33" s="283">
        <v>44266</v>
      </c>
      <c r="G33" s="280" t="s">
        <v>218</v>
      </c>
      <c r="H33" s="280" t="s">
        <v>266</v>
      </c>
      <c r="I33" s="237" t="s">
        <v>704</v>
      </c>
      <c r="J33" s="107">
        <v>4</v>
      </c>
      <c r="K33" s="107"/>
      <c r="L33" s="308"/>
      <c r="M33" s="107"/>
      <c r="N33" s="107"/>
      <c r="O33" s="107"/>
      <c r="P33" s="301"/>
      <c r="Q33" s="169" t="s">
        <v>444</v>
      </c>
    </row>
    <row r="34" spans="1:17" ht="207" x14ac:dyDescent="0.3">
      <c r="A34" s="107"/>
      <c r="B34" s="107"/>
      <c r="C34" s="275" t="s">
        <v>7</v>
      </c>
      <c r="D34" s="276" t="s">
        <v>56</v>
      </c>
      <c r="E34" s="277" t="s">
        <v>213</v>
      </c>
      <c r="F34" s="280"/>
      <c r="G34" s="280" t="s">
        <v>162</v>
      </c>
      <c r="H34" s="280" t="s">
        <v>317</v>
      </c>
      <c r="I34" s="237" t="s">
        <v>705</v>
      </c>
      <c r="J34" s="107">
        <v>15</v>
      </c>
      <c r="K34" s="107"/>
      <c r="L34" s="308"/>
      <c r="M34" s="107"/>
      <c r="N34" s="107"/>
      <c r="O34" s="107"/>
      <c r="P34" s="303"/>
      <c r="Q34" s="169" t="s">
        <v>445</v>
      </c>
    </row>
    <row r="35" spans="1:17" ht="82.8" x14ac:dyDescent="0.3">
      <c r="A35" s="107"/>
      <c r="B35" s="107"/>
      <c r="C35" s="275" t="s">
        <v>7</v>
      </c>
      <c r="D35" s="276" t="s">
        <v>55</v>
      </c>
      <c r="E35" s="277" t="s">
        <v>595</v>
      </c>
      <c r="F35" s="283"/>
      <c r="G35" s="281" t="s">
        <v>387</v>
      </c>
      <c r="H35" s="282" t="s">
        <v>386</v>
      </c>
      <c r="I35" s="237" t="s">
        <v>706</v>
      </c>
      <c r="J35" s="107">
        <v>6</v>
      </c>
      <c r="K35" s="107"/>
      <c r="L35" s="308"/>
      <c r="M35" s="107"/>
      <c r="N35" s="237"/>
      <c r="O35" s="107"/>
      <c r="P35" s="303"/>
      <c r="Q35" s="169" t="s">
        <v>446</v>
      </c>
    </row>
    <row r="36" spans="1:17" ht="41.4" x14ac:dyDescent="0.3">
      <c r="A36" s="107"/>
      <c r="B36" s="107"/>
      <c r="C36" s="275" t="s">
        <v>7</v>
      </c>
      <c r="D36" s="276" t="s">
        <v>55</v>
      </c>
      <c r="E36" s="277" t="s">
        <v>410</v>
      </c>
      <c r="F36" s="280"/>
      <c r="G36" s="282" t="s">
        <v>661</v>
      </c>
      <c r="H36" s="280" t="s">
        <v>662</v>
      </c>
      <c r="I36" s="237" t="s">
        <v>707</v>
      </c>
      <c r="J36" s="107">
        <v>3</v>
      </c>
      <c r="K36" s="107"/>
      <c r="L36" s="308"/>
      <c r="M36" s="107"/>
      <c r="N36" s="107"/>
      <c r="O36" s="107"/>
      <c r="P36" s="303"/>
      <c r="Q36" s="169" t="s">
        <v>447</v>
      </c>
    </row>
    <row r="37" spans="1:17" ht="41.4" x14ac:dyDescent="0.3">
      <c r="A37" s="107"/>
      <c r="B37" s="107"/>
      <c r="C37" s="275" t="s">
        <v>7</v>
      </c>
      <c r="D37" s="276" t="s">
        <v>55</v>
      </c>
      <c r="E37" s="277" t="s">
        <v>656</v>
      </c>
      <c r="F37" s="283">
        <v>43985</v>
      </c>
      <c r="G37" s="282" t="s">
        <v>663</v>
      </c>
      <c r="H37" s="282" t="s">
        <v>664</v>
      </c>
      <c r="I37" s="237"/>
      <c r="J37" s="107"/>
      <c r="K37" s="107"/>
      <c r="L37" s="107"/>
      <c r="M37" s="107"/>
      <c r="N37" s="107"/>
      <c r="O37" s="107"/>
      <c r="P37" s="303"/>
      <c r="Q37" s="169" t="s">
        <v>448</v>
      </c>
    </row>
    <row r="38" spans="1:17" x14ac:dyDescent="0.3">
      <c r="A38" s="107"/>
      <c r="B38" s="107"/>
      <c r="C38" s="275" t="s">
        <v>7</v>
      </c>
      <c r="D38" s="276" t="s">
        <v>55</v>
      </c>
      <c r="E38" s="277" t="s">
        <v>657</v>
      </c>
      <c r="F38" s="283"/>
      <c r="G38" s="280" t="s">
        <v>219</v>
      </c>
      <c r="H38" s="280" t="s">
        <v>256</v>
      </c>
      <c r="I38" s="237"/>
      <c r="J38" s="107"/>
      <c r="K38" s="107"/>
      <c r="L38" s="107"/>
      <c r="M38" s="107"/>
      <c r="N38" s="107"/>
      <c r="O38" s="107"/>
      <c r="P38" s="303"/>
      <c r="Q38" s="169" t="s">
        <v>449</v>
      </c>
    </row>
    <row r="39" spans="1:17" ht="41.4" x14ac:dyDescent="0.3">
      <c r="A39" s="107"/>
      <c r="B39" s="107"/>
      <c r="C39" s="275" t="s">
        <v>7</v>
      </c>
      <c r="D39" s="276" t="s">
        <v>53</v>
      </c>
      <c r="E39" s="277" t="s">
        <v>221</v>
      </c>
      <c r="F39" s="283"/>
      <c r="G39" s="280" t="s">
        <v>222</v>
      </c>
      <c r="H39" s="280" t="s">
        <v>344</v>
      </c>
      <c r="I39" s="237" t="s">
        <v>708</v>
      </c>
      <c r="J39" s="107">
        <v>3</v>
      </c>
      <c r="K39" s="107"/>
      <c r="L39" s="308"/>
      <c r="M39" s="107"/>
      <c r="N39" s="107"/>
      <c r="O39" s="107"/>
      <c r="P39" s="301"/>
      <c r="Q39" s="169" t="s">
        <v>450</v>
      </c>
    </row>
    <row r="40" spans="1:17" x14ac:dyDescent="0.3">
      <c r="A40" s="107"/>
      <c r="B40" s="107"/>
      <c r="C40" s="275" t="s">
        <v>7</v>
      </c>
      <c r="D40" s="276" t="s">
        <v>53</v>
      </c>
      <c r="E40" s="277" t="s">
        <v>224</v>
      </c>
      <c r="F40" s="283"/>
      <c r="G40" s="280" t="s">
        <v>225</v>
      </c>
      <c r="H40" s="280" t="s">
        <v>340</v>
      </c>
      <c r="I40" s="237" t="s">
        <v>317</v>
      </c>
      <c r="J40" s="107">
        <v>1</v>
      </c>
      <c r="K40" s="107"/>
      <c r="L40" s="308"/>
      <c r="M40" s="107"/>
      <c r="N40" s="107"/>
      <c r="O40" s="107"/>
      <c r="P40" s="304"/>
      <c r="Q40" s="169" t="s">
        <v>451</v>
      </c>
    </row>
    <row r="41" spans="1:17" ht="110.4" x14ac:dyDescent="0.3">
      <c r="A41" s="107"/>
      <c r="B41" s="107"/>
      <c r="C41" s="275" t="s">
        <v>7</v>
      </c>
      <c r="D41" s="276" t="s">
        <v>658</v>
      </c>
      <c r="E41" s="278" t="s">
        <v>614</v>
      </c>
      <c r="F41" s="283"/>
      <c r="G41" s="280" t="s">
        <v>152</v>
      </c>
      <c r="H41" s="280" t="s">
        <v>154</v>
      </c>
      <c r="I41" s="237" t="s">
        <v>709</v>
      </c>
      <c r="J41" s="107">
        <v>8</v>
      </c>
      <c r="K41" s="107"/>
      <c r="L41" s="308"/>
      <c r="M41" s="107"/>
      <c r="N41" s="107"/>
      <c r="O41" s="107"/>
      <c r="P41" s="304"/>
      <c r="Q41" s="169" t="s">
        <v>452</v>
      </c>
    </row>
    <row r="42" spans="1:17" ht="220.8" x14ac:dyDescent="0.3">
      <c r="A42" s="107"/>
      <c r="B42" s="107"/>
      <c r="C42" s="275" t="s">
        <v>7</v>
      </c>
      <c r="D42" s="276" t="s">
        <v>658</v>
      </c>
      <c r="E42" s="278" t="s">
        <v>613</v>
      </c>
      <c r="F42" s="283"/>
      <c r="G42" s="280" t="s">
        <v>152</v>
      </c>
      <c r="H42" s="280" t="s">
        <v>154</v>
      </c>
      <c r="I42" s="237" t="s">
        <v>710</v>
      </c>
      <c r="J42" s="107">
        <v>16</v>
      </c>
      <c r="K42" s="107"/>
      <c r="L42" s="308"/>
      <c r="M42" s="107"/>
      <c r="N42" s="107"/>
      <c r="O42" s="107"/>
      <c r="P42" s="304"/>
      <c r="Q42" s="169" t="s">
        <v>453</v>
      </c>
    </row>
    <row r="43" spans="1:17" x14ac:dyDescent="0.3">
      <c r="A43" s="107"/>
      <c r="B43" s="107"/>
      <c r="C43" s="275" t="s">
        <v>7</v>
      </c>
      <c r="D43" s="276" t="s">
        <v>56</v>
      </c>
      <c r="E43" s="278" t="s">
        <v>659</v>
      </c>
      <c r="F43" s="283"/>
      <c r="G43" s="280" t="s">
        <v>575</v>
      </c>
      <c r="H43" s="280" t="s">
        <v>265</v>
      </c>
      <c r="I43" s="237"/>
      <c r="J43" s="107"/>
      <c r="K43" s="107"/>
      <c r="L43" s="107"/>
      <c r="M43" s="107"/>
      <c r="N43" s="107"/>
      <c r="O43" s="107"/>
      <c r="P43" s="304"/>
      <c r="Q43" s="169" t="s">
        <v>454</v>
      </c>
    </row>
    <row r="44" spans="1:17" ht="69" x14ac:dyDescent="0.3">
      <c r="A44" s="107"/>
      <c r="B44" s="107"/>
      <c r="C44" s="275" t="s">
        <v>7</v>
      </c>
      <c r="D44" s="276" t="s">
        <v>55</v>
      </c>
      <c r="E44" s="278" t="s">
        <v>1</v>
      </c>
      <c r="F44" s="283"/>
      <c r="G44" s="280" t="s">
        <v>577</v>
      </c>
      <c r="H44" s="280" t="s">
        <v>477</v>
      </c>
      <c r="I44" s="237" t="s">
        <v>711</v>
      </c>
      <c r="J44" s="107">
        <v>5</v>
      </c>
      <c r="K44" s="107"/>
      <c r="L44" s="308"/>
      <c r="M44" s="107"/>
      <c r="N44" s="107"/>
      <c r="O44" s="107"/>
      <c r="P44" s="304"/>
      <c r="Q44" s="169" t="s">
        <v>455</v>
      </c>
    </row>
    <row r="45" spans="1:17" ht="262.2" x14ac:dyDescent="0.3">
      <c r="A45" s="107"/>
      <c r="B45" s="107"/>
      <c r="C45" s="275" t="s">
        <v>7</v>
      </c>
      <c r="D45" s="276" t="s">
        <v>56</v>
      </c>
      <c r="E45" s="278" t="s">
        <v>383</v>
      </c>
      <c r="F45" s="283"/>
      <c r="G45" s="280" t="s">
        <v>384</v>
      </c>
      <c r="H45" s="280"/>
      <c r="I45" s="237" t="s">
        <v>712</v>
      </c>
      <c r="J45" s="107">
        <v>19</v>
      </c>
      <c r="K45" s="107"/>
      <c r="L45" s="308"/>
      <c r="M45" s="107"/>
      <c r="N45" s="107"/>
      <c r="O45" s="107"/>
      <c r="P45" s="248"/>
      <c r="Q45" s="169" t="s">
        <v>456</v>
      </c>
    </row>
    <row r="46" spans="1:17" x14ac:dyDescent="0.3">
      <c r="A46" s="107"/>
      <c r="B46" s="107"/>
      <c r="C46" s="275" t="s">
        <v>7</v>
      </c>
      <c r="D46" s="276" t="s">
        <v>56</v>
      </c>
      <c r="E46" s="278" t="s">
        <v>385</v>
      </c>
      <c r="F46" s="280"/>
      <c r="G46" s="280" t="s">
        <v>387</v>
      </c>
      <c r="H46" s="280" t="s">
        <v>386</v>
      </c>
      <c r="I46" s="237" t="s">
        <v>266</v>
      </c>
      <c r="J46" s="107">
        <v>1</v>
      </c>
      <c r="K46" s="107"/>
      <c r="L46" s="308"/>
      <c r="M46" s="107"/>
      <c r="N46" s="107"/>
      <c r="O46" s="107"/>
      <c r="P46" s="248"/>
      <c r="Q46" s="169" t="s">
        <v>457</v>
      </c>
    </row>
    <row r="47" spans="1:17" ht="165.6" x14ac:dyDescent="0.3">
      <c r="A47" s="107"/>
      <c r="B47" s="107"/>
      <c r="C47" s="275" t="s">
        <v>7</v>
      </c>
      <c r="D47" s="276" t="s">
        <v>54</v>
      </c>
      <c r="E47" s="278" t="s">
        <v>229</v>
      </c>
      <c r="F47" s="283"/>
      <c r="G47" s="280" t="s">
        <v>665</v>
      </c>
      <c r="H47" s="280" t="s">
        <v>574</v>
      </c>
      <c r="I47" s="237" t="s">
        <v>713</v>
      </c>
      <c r="J47" s="107">
        <v>12</v>
      </c>
      <c r="K47" s="107"/>
      <c r="L47" s="308"/>
      <c r="M47" s="107"/>
      <c r="N47" s="107"/>
      <c r="O47" s="107"/>
      <c r="P47" s="301"/>
      <c r="Q47" s="169" t="s">
        <v>458</v>
      </c>
    </row>
    <row r="48" spans="1:17" x14ac:dyDescent="0.3">
      <c r="A48" s="107"/>
      <c r="B48" s="107"/>
      <c r="C48" s="275" t="s">
        <v>7</v>
      </c>
      <c r="D48" s="276" t="s">
        <v>148</v>
      </c>
      <c r="E48" s="279" t="s">
        <v>639</v>
      </c>
      <c r="F48" s="283" t="s">
        <v>228</v>
      </c>
      <c r="G48" s="280" t="s">
        <v>666</v>
      </c>
      <c r="H48" s="280"/>
      <c r="I48" s="107"/>
      <c r="J48" s="107"/>
      <c r="K48" s="107"/>
      <c r="L48" s="107"/>
      <c r="M48" s="107"/>
      <c r="N48" s="107"/>
      <c r="O48" s="107"/>
      <c r="P48" s="301"/>
      <c r="Q48" s="169" t="s">
        <v>459</v>
      </c>
    </row>
    <row r="49" spans="1:17" x14ac:dyDescent="0.3">
      <c r="A49" s="107"/>
      <c r="B49" s="107"/>
      <c r="C49" s="275" t="s">
        <v>7</v>
      </c>
      <c r="D49" s="276" t="s">
        <v>55</v>
      </c>
      <c r="E49" s="277" t="s">
        <v>660</v>
      </c>
      <c r="F49" s="283"/>
      <c r="G49" s="280" t="s">
        <v>667</v>
      </c>
      <c r="H49" s="280" t="s">
        <v>316</v>
      </c>
      <c r="I49" s="107"/>
      <c r="J49" s="107"/>
      <c r="K49" s="107"/>
      <c r="L49" s="107"/>
      <c r="M49" s="107"/>
      <c r="N49" s="107"/>
      <c r="O49" s="107"/>
      <c r="P49" s="301"/>
      <c r="Q49" s="169" t="s">
        <v>460</v>
      </c>
    </row>
    <row r="50" spans="1:17" x14ac:dyDescent="0.3">
      <c r="A50" s="107"/>
      <c r="B50" s="107"/>
      <c r="C50" s="275" t="s">
        <v>7</v>
      </c>
      <c r="D50" s="276" t="s">
        <v>658</v>
      </c>
      <c r="E50" s="252" t="s">
        <v>638</v>
      </c>
      <c r="F50" s="283" t="s">
        <v>228</v>
      </c>
      <c r="G50" s="280" t="s">
        <v>666</v>
      </c>
      <c r="H50" s="280"/>
      <c r="I50" s="107"/>
      <c r="J50" s="107"/>
      <c r="K50" s="107"/>
      <c r="L50" s="107"/>
      <c r="M50" s="107"/>
      <c r="N50" s="107"/>
      <c r="O50" s="107"/>
      <c r="P50" s="301"/>
      <c r="Q50" s="169" t="s">
        <v>668</v>
      </c>
    </row>
    <row r="51" spans="1:17" ht="151.80000000000001" x14ac:dyDescent="0.3">
      <c r="A51" s="107" t="s">
        <v>141</v>
      </c>
      <c r="B51" s="107" t="s">
        <v>142</v>
      </c>
      <c r="C51" s="284" t="s">
        <v>8</v>
      </c>
      <c r="D51" s="285" t="s">
        <v>2</v>
      </c>
      <c r="E51" s="279" t="s">
        <v>232</v>
      </c>
      <c r="F51" s="286" t="s">
        <v>228</v>
      </c>
      <c r="G51" s="286" t="s">
        <v>671</v>
      </c>
      <c r="H51" s="286"/>
      <c r="I51" s="237" t="s">
        <v>714</v>
      </c>
      <c r="J51" s="107">
        <v>11</v>
      </c>
      <c r="K51" s="107"/>
      <c r="L51" s="308"/>
      <c r="M51" s="107"/>
      <c r="N51" s="107"/>
      <c r="O51" s="107"/>
      <c r="P51" s="304"/>
      <c r="Q51" s="169" t="s">
        <v>461</v>
      </c>
    </row>
    <row r="52" spans="1:17" ht="179.4" x14ac:dyDescent="0.3">
      <c r="A52" s="107"/>
      <c r="B52" s="107"/>
      <c r="C52" s="284" t="s">
        <v>8</v>
      </c>
      <c r="D52" s="285" t="s">
        <v>63</v>
      </c>
      <c r="E52" s="279" t="s">
        <v>234</v>
      </c>
      <c r="F52" s="286" t="s">
        <v>228</v>
      </c>
      <c r="G52" s="286" t="s">
        <v>672</v>
      </c>
      <c r="H52" s="286"/>
      <c r="I52" s="237" t="s">
        <v>715</v>
      </c>
      <c r="J52" s="107">
        <v>13</v>
      </c>
      <c r="K52" s="107"/>
      <c r="L52" s="107"/>
      <c r="M52" s="107"/>
      <c r="N52" s="107"/>
      <c r="O52" s="107"/>
      <c r="P52" s="304"/>
      <c r="Q52" s="169" t="s">
        <v>462</v>
      </c>
    </row>
    <row r="53" spans="1:17" x14ac:dyDescent="0.3">
      <c r="A53" s="107"/>
      <c r="B53" s="107"/>
      <c r="C53" s="284" t="s">
        <v>8</v>
      </c>
      <c r="D53" s="285" t="s">
        <v>56</v>
      </c>
      <c r="E53" s="279" t="s">
        <v>669</v>
      </c>
      <c r="F53" s="286" t="s">
        <v>228</v>
      </c>
      <c r="G53" s="286" t="s">
        <v>666</v>
      </c>
      <c r="H53" s="286"/>
      <c r="I53" s="107"/>
      <c r="J53" s="107"/>
      <c r="K53" s="107"/>
      <c r="L53" s="107"/>
      <c r="M53" s="107"/>
      <c r="N53" s="107"/>
      <c r="O53" s="107"/>
      <c r="P53" s="304"/>
      <c r="Q53" s="169" t="s">
        <v>463</v>
      </c>
    </row>
    <row r="54" spans="1:17" ht="110.4" x14ac:dyDescent="0.3">
      <c r="A54" s="107"/>
      <c r="B54" s="107"/>
      <c r="C54" s="284" t="s">
        <v>8</v>
      </c>
      <c r="D54" s="285" t="s">
        <v>55</v>
      </c>
      <c r="E54" s="279" t="s">
        <v>236</v>
      </c>
      <c r="F54" s="286" t="s">
        <v>228</v>
      </c>
      <c r="G54" s="286" t="s">
        <v>673</v>
      </c>
      <c r="H54" s="286"/>
      <c r="I54" s="237" t="s">
        <v>716</v>
      </c>
      <c r="J54" s="107">
        <v>8</v>
      </c>
      <c r="K54" s="107"/>
      <c r="L54" s="107"/>
      <c r="M54" s="107"/>
      <c r="N54" s="107"/>
      <c r="O54" s="107"/>
      <c r="P54" s="304"/>
      <c r="Q54" s="169" t="s">
        <v>464</v>
      </c>
    </row>
    <row r="55" spans="1:17" x14ac:dyDescent="0.3">
      <c r="A55" s="107"/>
      <c r="B55" s="107"/>
      <c r="C55" s="284" t="s">
        <v>8</v>
      </c>
      <c r="D55" s="285" t="s">
        <v>53</v>
      </c>
      <c r="E55" s="279" t="s">
        <v>670</v>
      </c>
      <c r="F55" s="286" t="s">
        <v>228</v>
      </c>
      <c r="G55" s="286" t="s">
        <v>674</v>
      </c>
      <c r="H55" s="286"/>
      <c r="I55" s="107"/>
      <c r="J55" s="107"/>
      <c r="K55" s="107"/>
      <c r="L55" s="107"/>
      <c r="M55" s="107"/>
      <c r="N55" s="107"/>
      <c r="O55" s="107"/>
      <c r="P55" s="304"/>
      <c r="Q55" s="169" t="s">
        <v>465</v>
      </c>
    </row>
    <row r="56" spans="1:17" ht="41.4" x14ac:dyDescent="0.3">
      <c r="A56" s="107"/>
      <c r="B56" s="107"/>
      <c r="C56" s="284" t="s">
        <v>8</v>
      </c>
      <c r="D56" s="285" t="s">
        <v>59</v>
      </c>
      <c r="E56" s="279" t="s">
        <v>237</v>
      </c>
      <c r="F56" s="286" t="s">
        <v>228</v>
      </c>
      <c r="G56" s="286" t="s">
        <v>675</v>
      </c>
      <c r="H56" s="286"/>
      <c r="I56" s="237" t="s">
        <v>717</v>
      </c>
      <c r="J56" s="107">
        <v>3</v>
      </c>
      <c r="K56" s="107"/>
      <c r="L56" s="307"/>
      <c r="M56" s="107"/>
      <c r="N56" s="107"/>
      <c r="O56" s="107"/>
      <c r="P56" s="304"/>
      <c r="Q56" s="169" t="s">
        <v>466</v>
      </c>
    </row>
    <row r="57" spans="1:17" x14ac:dyDescent="0.3">
      <c r="A57" s="107"/>
      <c r="B57" s="107"/>
      <c r="C57" s="284" t="s">
        <v>8</v>
      </c>
      <c r="D57" s="285" t="s">
        <v>55</v>
      </c>
      <c r="E57" s="279" t="s">
        <v>473</v>
      </c>
      <c r="F57" s="286" t="s">
        <v>228</v>
      </c>
      <c r="G57" s="286" t="s">
        <v>672</v>
      </c>
      <c r="H57" s="286"/>
      <c r="I57" s="107" t="s">
        <v>274</v>
      </c>
      <c r="J57" s="107">
        <v>1</v>
      </c>
      <c r="K57" s="107"/>
      <c r="L57" s="307"/>
      <c r="M57" s="107"/>
      <c r="N57" s="107"/>
      <c r="O57" s="107"/>
      <c r="P57" s="304"/>
      <c r="Q57" s="169" t="s">
        <v>467</v>
      </c>
    </row>
    <row r="58" spans="1:17" ht="96.6" x14ac:dyDescent="0.3">
      <c r="A58" s="107"/>
      <c r="B58" s="107"/>
      <c r="C58" s="284" t="s">
        <v>8</v>
      </c>
      <c r="D58" s="285" t="s">
        <v>148</v>
      </c>
      <c r="E58" s="279" t="s">
        <v>360</v>
      </c>
      <c r="F58" s="286" t="s">
        <v>228</v>
      </c>
      <c r="G58" s="286" t="s">
        <v>676</v>
      </c>
      <c r="H58" s="286" t="s">
        <v>216</v>
      </c>
      <c r="I58" s="237" t="s">
        <v>718</v>
      </c>
      <c r="J58" s="107">
        <v>7</v>
      </c>
      <c r="K58" s="107"/>
      <c r="L58" s="308"/>
      <c r="M58" s="107"/>
      <c r="N58" s="107"/>
      <c r="O58" s="107"/>
      <c r="P58" s="301"/>
      <c r="Q58" s="169" t="s">
        <v>468</v>
      </c>
    </row>
    <row r="59" spans="1:17" x14ac:dyDescent="0.3">
      <c r="A59" s="107" t="s">
        <v>141</v>
      </c>
      <c r="B59" s="107" t="s">
        <v>142</v>
      </c>
      <c r="C59" s="287" t="s">
        <v>9</v>
      </c>
      <c r="D59" s="288" t="s">
        <v>233</v>
      </c>
      <c r="E59" s="289" t="s">
        <v>241</v>
      </c>
      <c r="F59" s="305"/>
      <c r="G59" s="26"/>
      <c r="H59" s="26"/>
      <c r="I59" s="107"/>
      <c r="J59" s="107"/>
      <c r="K59" s="107"/>
      <c r="L59" s="107"/>
      <c r="M59" s="107"/>
      <c r="N59" s="107"/>
      <c r="O59" s="107"/>
      <c r="P59" s="26"/>
      <c r="Q59" s="169" t="s">
        <v>469</v>
      </c>
    </row>
    <row r="60" spans="1:17" x14ac:dyDescent="0.3">
      <c r="A60" s="107"/>
      <c r="B60" s="107"/>
      <c r="C60" s="287" t="s">
        <v>9</v>
      </c>
      <c r="D60" s="288" t="s">
        <v>227</v>
      </c>
      <c r="E60" s="289" t="s">
        <v>242</v>
      </c>
      <c r="F60" s="305"/>
      <c r="G60" s="26"/>
      <c r="H60" s="26"/>
      <c r="I60" s="107"/>
      <c r="J60" s="107"/>
      <c r="K60" s="107"/>
      <c r="L60" s="107"/>
      <c r="M60" s="107"/>
      <c r="N60" s="107"/>
      <c r="O60" s="107"/>
      <c r="P60" s="26"/>
      <c r="Q60" s="169" t="s">
        <v>470</v>
      </c>
    </row>
    <row r="61" spans="1:17" x14ac:dyDescent="0.3">
      <c r="A61" s="107"/>
      <c r="B61" s="107"/>
      <c r="C61" s="287" t="s">
        <v>9</v>
      </c>
      <c r="D61" s="288" t="s">
        <v>3</v>
      </c>
      <c r="E61" s="289" t="s">
        <v>474</v>
      </c>
      <c r="F61" s="305"/>
      <c r="G61" s="26"/>
      <c r="H61" s="26"/>
      <c r="I61" s="107"/>
      <c r="J61" s="107"/>
      <c r="K61" s="107"/>
      <c r="L61" s="107"/>
      <c r="M61" s="107"/>
      <c r="N61" s="107"/>
      <c r="O61" s="107"/>
      <c r="P61" s="26"/>
      <c r="Q61" s="169" t="s">
        <v>471</v>
      </c>
    </row>
    <row r="62" spans="1:17" x14ac:dyDescent="0.3">
      <c r="A62" s="107"/>
      <c r="B62" s="107"/>
      <c r="C62" s="287" t="s">
        <v>9</v>
      </c>
      <c r="D62" s="288" t="s">
        <v>3</v>
      </c>
      <c r="E62" s="289" t="s">
        <v>243</v>
      </c>
      <c r="F62" s="305"/>
      <c r="G62" s="26"/>
      <c r="H62" s="26"/>
      <c r="I62" s="107"/>
      <c r="J62" s="107"/>
      <c r="K62" s="107"/>
      <c r="L62" s="107"/>
      <c r="M62" s="107"/>
      <c r="N62" s="107"/>
      <c r="O62" s="107"/>
      <c r="P62" s="26"/>
      <c r="Q62" s="169" t="s">
        <v>472</v>
      </c>
    </row>
    <row r="63" spans="1:17" x14ac:dyDescent="0.3">
      <c r="A63" s="205"/>
      <c r="B63" s="205"/>
      <c r="C63" s="205"/>
      <c r="D63" s="306"/>
      <c r="E63" s="205"/>
      <c r="F63" s="205"/>
      <c r="G63" s="205"/>
      <c r="H63" s="205"/>
    </row>
    <row r="64" spans="1:17" x14ac:dyDescent="0.3">
      <c r="A64" s="205"/>
      <c r="B64" s="205"/>
      <c r="C64" s="205"/>
      <c r="D64" s="306"/>
      <c r="E64" s="205"/>
      <c r="F64" s="205"/>
      <c r="G64" s="205"/>
      <c r="H64" s="205"/>
    </row>
    <row r="65" spans="1:8" x14ac:dyDescent="0.3">
      <c r="A65" s="205"/>
      <c r="B65" s="205"/>
      <c r="C65" s="205"/>
      <c r="D65" s="306"/>
      <c r="E65" s="205"/>
      <c r="F65" s="205"/>
      <c r="G65" s="205"/>
      <c r="H65" s="205"/>
    </row>
    <row r="66" spans="1:8" x14ac:dyDescent="0.3">
      <c r="A66" s="205"/>
      <c r="B66" s="205"/>
      <c r="C66" s="205"/>
      <c r="D66" s="306"/>
      <c r="E66" s="205"/>
      <c r="F66" s="205"/>
      <c r="G66" s="205"/>
      <c r="H66" s="205"/>
    </row>
  </sheetData>
  <customSheetViews>
    <customSheetView guid="{6D9FC8F7-6352-4BF1-890A-27BF36FADC03}" scale="85">
      <pane xSplit="5" ySplit="2" topLeftCell="H6" activePane="bottomRight" state="frozen"/>
      <selection pane="bottomRight" activeCell="E11" sqref="E11"/>
      <pageMargins left="0.7" right="0.7" top="0.75" bottom="0.75" header="0.3" footer="0.3"/>
      <pageSetup orientation="portrait" r:id="rId1"/>
    </customSheetView>
    <customSheetView guid="{040B64FF-F135-4C7F-9498-A8399C10673D}">
      <pane xSplit="5" ySplit="1" topLeftCell="I2" activePane="bottomRight" state="frozen"/>
      <selection pane="bottomRight" activeCell="I84" sqref="I84"/>
      <pageMargins left="0.7" right="0.7" top="0.75" bottom="0.75" header="0.3" footer="0.3"/>
      <pageSetup orientation="portrait" r:id="rId2"/>
    </customSheetView>
    <customSheetView guid="{3F51B73C-8999-4BDD-B7BB-CFA8C5D5F118}" scale="85">
      <pane xSplit="5" ySplit="2" topLeftCell="H6" activePane="bottomRight" state="frozen"/>
      <selection pane="bottomRight" activeCell="E11" sqref="E11"/>
      <pageMargins left="0.7" right="0.7" top="0.75" bottom="0.75" header="0.3" footer="0.3"/>
      <pageSetup orientation="portrait" r:id="rId3"/>
    </customSheetView>
    <customSheetView guid="{61959E49-C4BC-41CB-B0BE-7EDA73DE356A}" topLeftCell="C37">
      <selection activeCell="W1" sqref="W1:X1048576"/>
      <pageMargins left="0.7" right="0.7" top="0.75" bottom="0.75" header="0.3" footer="0.3"/>
    </customSheetView>
    <customSheetView guid="{9F775BAE-2403-40FE-95E3-B0411D9A7170}" topLeftCell="C61">
      <selection activeCell="I66" sqref="I66"/>
      <pageMargins left="0.7" right="0.7" top="0.75" bottom="0.75" header="0.3" footer="0.3"/>
    </customSheetView>
    <customSheetView guid="{B9E7682A-072E-4CF9-AE10-B3ED27CB27F8}" topLeftCell="C37">
      <selection activeCell="W1" sqref="W1:X1048576"/>
      <pageMargins left="0.7" right="0.7" top="0.75" bottom="0.75" header="0.3" footer="0.3"/>
    </customSheetView>
    <customSheetView guid="{3BEDB203-29A8-4A82-B140-5CE8D0753F8B}">
      <pane xSplit="4.0276073619631898" ySplit="1" topLeftCell="I2" activePane="bottomRight" state="frozen"/>
      <selection pane="bottomRight" activeCell="I84" sqref="I84"/>
      <pageMargins left="0.7" right="0.7" top="0.75" bottom="0.75" header="0.3" footer="0.3"/>
      <pageSetup orientation="portrait" r:id="rId4"/>
    </customSheetView>
  </customSheetViews>
  <mergeCells count="5">
    <mergeCell ref="Q2:Q3"/>
    <mergeCell ref="I2:I3"/>
    <mergeCell ref="J2:J3"/>
    <mergeCell ref="C2:C3"/>
    <mergeCell ref="D2:D3"/>
  </mergeCells>
  <conditionalFormatting sqref="E4:E9 E12:E18">
    <cfRule type="duplicateValues" dxfId="424" priority="8"/>
  </conditionalFormatting>
  <conditionalFormatting sqref="E10">
    <cfRule type="duplicateValues" dxfId="423" priority="7"/>
  </conditionalFormatting>
  <conditionalFormatting sqref="E11">
    <cfRule type="duplicateValues" dxfId="422" priority="6"/>
  </conditionalFormatting>
  <conditionalFormatting sqref="E19:E32">
    <cfRule type="duplicateValues" dxfId="421" priority="5"/>
  </conditionalFormatting>
  <conditionalFormatting sqref="E34:E50">
    <cfRule type="duplicateValues" dxfId="420" priority="4"/>
  </conditionalFormatting>
  <conditionalFormatting sqref="E33">
    <cfRule type="duplicateValues" dxfId="419" priority="3"/>
  </conditionalFormatting>
  <conditionalFormatting sqref="E51:E58">
    <cfRule type="duplicateValues" dxfId="418" priority="2"/>
  </conditionalFormatting>
  <conditionalFormatting sqref="E59:E62">
    <cfRule type="duplicateValues" dxfId="417" priority="1"/>
  </conditionalFormatting>
  <dataValidations count="3">
    <dataValidation type="list" allowBlank="1" showInputMessage="1" showErrorMessage="1" sqref="J67:O1048576 J1:J18 K1:O1 K3:O18 K2 J20:O62">
      <formula1>"M, O, N/A"</formula1>
    </dataValidation>
    <dataValidation type="list" allowBlank="1" showInputMessage="1" showErrorMessage="1" sqref="N2">
      <formula1>"Y, N"</formula1>
    </dataValidation>
    <dataValidation type="list" allowBlank="1" showInputMessage="1" showErrorMessage="1" sqref="M2">
      <formula1>"Passed, Failed, N/A"</formula1>
    </dataValidation>
  </dataValidations>
  <pageMargins left="0.7" right="0.7" top="0.75" bottom="0.75" header="0.3" footer="0.3"/>
  <pageSetup orientation="portrait" r:id="rId5"/>
  <drawing r:id="rId6"/>
  <legacyDrawing r:id="rId7"/>
  <controls>
    <mc:AlternateContent xmlns:mc="http://schemas.openxmlformats.org/markup-compatibility/2006">
      <mc:Choice Requires="x14">
        <control shapeId="2" r:id="rId8" name="CommandButton1">
          <controlPr defaultSize="0" autoLine="0" r:id="rId9">
            <anchor moveWithCells="1">
              <from>
                <xdr:col>17</xdr:col>
                <xdr:colOff>259080</xdr:colOff>
                <xdr:row>0</xdr:row>
                <xdr:rowOff>99060</xdr:rowOff>
              </from>
              <to>
                <xdr:col>19</xdr:col>
                <xdr:colOff>266700</xdr:colOff>
                <xdr:row>2</xdr:row>
                <xdr:rowOff>38100</xdr:rowOff>
              </to>
            </anchor>
          </controlPr>
        </control>
      </mc:Choice>
      <mc:Fallback>
        <control shapeId="82955" r:id="rId8" name="CommandButton1"/>
      </mc:Fallback>
    </mc:AlternateContent>
    <mc:AlternateContent xmlns:mc="http://schemas.openxmlformats.org/markup-compatibility/2006">
      <mc:Choice Requires="x14">
        <control shapeId="82956" r:id="rId10" name="CommandButton2">
          <controlPr defaultSize="0" autoLine="0" autoPict="0" r:id="rId11">
            <anchor moveWithCells="1">
              <from>
                <xdr:col>17</xdr:col>
                <xdr:colOff>312420</xdr:colOff>
                <xdr:row>3</xdr:row>
                <xdr:rowOff>419100</xdr:rowOff>
              </from>
              <to>
                <xdr:col>19</xdr:col>
                <xdr:colOff>335280</xdr:colOff>
                <xdr:row>3</xdr:row>
                <xdr:rowOff>960120</xdr:rowOff>
              </to>
            </anchor>
          </controlPr>
        </control>
      </mc:Choice>
      <mc:Fallback>
        <control shapeId="82956" r:id="rId10" name="CommandButton2"/>
      </mc:Fallback>
    </mc:AlternateContent>
    <mc:AlternateContent xmlns:mc="http://schemas.openxmlformats.org/markup-compatibility/2006">
      <mc:Choice Requires="x14">
        <control shapeId="82959" r:id="rId12" name="CommandButton5">
          <controlPr defaultSize="0" autoLine="0" r:id="rId13">
            <anchor moveWithCells="1">
              <from>
                <xdr:col>17</xdr:col>
                <xdr:colOff>274320</xdr:colOff>
                <xdr:row>11</xdr:row>
                <xdr:rowOff>68580</xdr:rowOff>
              </from>
              <to>
                <xdr:col>20</xdr:col>
                <xdr:colOff>152400</xdr:colOff>
                <xdr:row>12</xdr:row>
                <xdr:rowOff>327660</xdr:rowOff>
              </to>
            </anchor>
          </controlPr>
        </control>
      </mc:Choice>
      <mc:Fallback>
        <control shapeId="82959" r:id="rId12" name="CommandButton5"/>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G22"/>
  <sheetViews>
    <sheetView showGridLines="0" topLeftCell="B34" zoomScale="85" zoomScaleNormal="100" workbookViewId="0">
      <selection activeCell="C62" sqref="C62"/>
    </sheetView>
  </sheetViews>
  <sheetFormatPr defaultColWidth="9.109375" defaultRowHeight="13.2" x14ac:dyDescent="0.3"/>
  <cols>
    <col min="1" max="1" width="2.88671875" style="3" customWidth="1"/>
    <col min="2" max="2" width="48.5546875" style="3" bestFit="1" customWidth="1"/>
    <col min="3" max="3" width="30.44140625" style="4" bestFit="1" customWidth="1"/>
    <col min="4" max="4" width="30.109375" style="4" bestFit="1" customWidth="1"/>
    <col min="5" max="5" width="40.44140625" style="4" customWidth="1"/>
    <col min="6" max="6" width="64.44140625" style="4" bestFit="1" customWidth="1"/>
    <col min="7" max="7" width="54.5546875" style="4" bestFit="1" customWidth="1"/>
    <col min="8" max="16384" width="9.109375" style="3"/>
  </cols>
  <sheetData>
    <row r="1" spans="2:7" ht="13.8" thickBot="1" x14ac:dyDescent="0.35"/>
    <row r="2" spans="2:7" x14ac:dyDescent="0.3">
      <c r="B2" s="337" t="s">
        <v>71</v>
      </c>
      <c r="C2" s="338"/>
      <c r="D2" s="338"/>
      <c r="E2" s="338"/>
      <c r="F2" s="338"/>
      <c r="G2" s="339"/>
    </row>
    <row r="3" spans="2:7" ht="13.8" thickBot="1" x14ac:dyDescent="0.35">
      <c r="B3" s="340"/>
      <c r="C3" s="341"/>
      <c r="D3" s="341"/>
      <c r="E3" s="341"/>
      <c r="F3" s="341"/>
      <c r="G3" s="342"/>
    </row>
    <row r="4" spans="2:7" ht="13.8" thickBot="1" x14ac:dyDescent="0.35"/>
    <row r="5" spans="2:7" ht="16.2" thickBot="1" x14ac:dyDescent="0.35">
      <c r="B5" s="343" t="s">
        <v>4</v>
      </c>
      <c r="C5" s="20" t="s">
        <v>5</v>
      </c>
      <c r="D5" s="20" t="s">
        <v>6</v>
      </c>
      <c r="E5" s="20" t="s">
        <v>7</v>
      </c>
      <c r="F5" s="20" t="s">
        <v>8</v>
      </c>
      <c r="G5" s="21" t="s">
        <v>9</v>
      </c>
    </row>
    <row r="6" spans="2:7" ht="31.8" thickBot="1" x14ac:dyDescent="0.35">
      <c r="B6" s="344"/>
      <c r="C6" s="20" t="s">
        <v>84</v>
      </c>
      <c r="D6" s="20" t="s">
        <v>85</v>
      </c>
      <c r="E6" s="20" t="s">
        <v>348</v>
      </c>
      <c r="F6" s="20" t="s">
        <v>86</v>
      </c>
      <c r="G6" s="21" t="s">
        <v>87</v>
      </c>
    </row>
    <row r="7" spans="2:7" ht="26.4" x14ac:dyDescent="0.3">
      <c r="B7" s="17" t="s">
        <v>143</v>
      </c>
      <c r="C7" s="18" t="s">
        <v>11</v>
      </c>
      <c r="D7" s="18"/>
      <c r="E7" s="18"/>
      <c r="F7" s="18"/>
      <c r="G7" s="19"/>
    </row>
    <row r="8" spans="2:7" ht="33" customHeight="1" x14ac:dyDescent="0.3">
      <c r="B8" s="11" t="s">
        <v>148</v>
      </c>
      <c r="C8" s="1" t="s">
        <v>12</v>
      </c>
      <c r="D8" s="1"/>
      <c r="E8" s="1"/>
      <c r="F8" s="1" t="s">
        <v>13</v>
      </c>
      <c r="G8" s="12" t="s">
        <v>29</v>
      </c>
    </row>
    <row r="9" spans="2:7" ht="26.4" x14ac:dyDescent="0.3">
      <c r="B9" s="11" t="s">
        <v>2</v>
      </c>
      <c r="C9" s="2"/>
      <c r="D9" s="2"/>
      <c r="E9" s="2"/>
      <c r="F9" s="1" t="s">
        <v>23</v>
      </c>
      <c r="G9" s="12" t="s">
        <v>22</v>
      </c>
    </row>
    <row r="10" spans="2:7" ht="39.6" x14ac:dyDescent="0.3">
      <c r="B10" s="11" t="s">
        <v>41</v>
      </c>
      <c r="C10" s="1" t="s">
        <v>42</v>
      </c>
      <c r="D10" s="1" t="s">
        <v>43</v>
      </c>
      <c r="E10" s="1" t="s">
        <v>44</v>
      </c>
      <c r="F10" s="1" t="s">
        <v>45</v>
      </c>
      <c r="G10" s="12"/>
    </row>
    <row r="11" spans="2:7" ht="49.5" customHeight="1" x14ac:dyDescent="0.3">
      <c r="B11" s="11" t="s">
        <v>46</v>
      </c>
      <c r="C11" s="1" t="s">
        <v>47</v>
      </c>
      <c r="D11" s="1" t="s">
        <v>18</v>
      </c>
      <c r="E11" s="1" t="s">
        <v>49</v>
      </c>
      <c r="F11" s="1" t="s">
        <v>48</v>
      </c>
      <c r="G11" s="12"/>
    </row>
    <row r="12" spans="2:7" ht="79.2" x14ac:dyDescent="0.3">
      <c r="B12" s="11" t="s">
        <v>56</v>
      </c>
      <c r="C12" s="2"/>
      <c r="D12" s="1" t="s">
        <v>14</v>
      </c>
      <c r="E12" s="1" t="s">
        <v>38</v>
      </c>
      <c r="F12" s="1" t="s">
        <v>39</v>
      </c>
      <c r="G12" s="12" t="s">
        <v>40</v>
      </c>
    </row>
    <row r="13" spans="2:7" ht="26.4" x14ac:dyDescent="0.3">
      <c r="B13" s="11" t="s">
        <v>67</v>
      </c>
      <c r="C13" s="2"/>
      <c r="D13" s="2"/>
      <c r="E13" s="1" t="s">
        <v>68</v>
      </c>
      <c r="F13" s="1" t="s">
        <v>69</v>
      </c>
      <c r="G13" s="12"/>
    </row>
    <row r="14" spans="2:7" ht="39.6" x14ac:dyDescent="0.3">
      <c r="B14" s="11" t="s">
        <v>0</v>
      </c>
      <c r="C14" s="1" t="s">
        <v>50</v>
      </c>
      <c r="D14" s="1" t="s">
        <v>51</v>
      </c>
      <c r="E14" s="1" t="s">
        <v>34</v>
      </c>
      <c r="F14" s="1" t="s">
        <v>26</v>
      </c>
      <c r="G14" s="12" t="s">
        <v>52</v>
      </c>
    </row>
    <row r="15" spans="2:7" ht="66" x14ac:dyDescent="0.3">
      <c r="B15" s="11" t="s">
        <v>55</v>
      </c>
      <c r="C15" s="1" t="s">
        <v>28</v>
      </c>
      <c r="D15" s="1" t="s">
        <v>30</v>
      </c>
      <c r="E15" s="1" t="s">
        <v>618</v>
      </c>
      <c r="F15" s="1" t="s">
        <v>74</v>
      </c>
      <c r="G15" s="12"/>
    </row>
    <row r="16" spans="2:7" ht="39.6" x14ac:dyDescent="0.3">
      <c r="B16" s="11" t="s">
        <v>1</v>
      </c>
      <c r="C16" s="2"/>
      <c r="D16" s="2"/>
      <c r="E16" s="1" t="s">
        <v>21</v>
      </c>
      <c r="F16" s="1" t="s">
        <v>70</v>
      </c>
      <c r="G16" s="12"/>
    </row>
    <row r="17" spans="2:7" ht="39.6" x14ac:dyDescent="0.3">
      <c r="B17" s="11" t="s">
        <v>31</v>
      </c>
      <c r="C17" s="1" t="s">
        <v>10</v>
      </c>
      <c r="D17" s="1" t="s">
        <v>32</v>
      </c>
      <c r="E17" s="1" t="s">
        <v>33</v>
      </c>
      <c r="F17" s="1" t="s">
        <v>36</v>
      </c>
      <c r="G17" s="12" t="s">
        <v>35</v>
      </c>
    </row>
    <row r="18" spans="2:7" ht="26.4" x14ac:dyDescent="0.3">
      <c r="B18" s="11" t="s">
        <v>54</v>
      </c>
      <c r="C18" s="1" t="s">
        <v>15</v>
      </c>
      <c r="D18" s="1" t="s">
        <v>16</v>
      </c>
      <c r="E18" s="1" t="s">
        <v>17</v>
      </c>
      <c r="F18" s="1" t="s">
        <v>37</v>
      </c>
      <c r="G18" s="12"/>
    </row>
    <row r="19" spans="2:7" ht="26.4" x14ac:dyDescent="0.3">
      <c r="B19" s="11" t="s">
        <v>53</v>
      </c>
      <c r="C19" s="2"/>
      <c r="D19" s="2"/>
      <c r="E19" s="1" t="s">
        <v>19</v>
      </c>
      <c r="F19" s="1" t="s">
        <v>57</v>
      </c>
      <c r="G19" s="12" t="s">
        <v>58</v>
      </c>
    </row>
    <row r="20" spans="2:7" ht="39.6" x14ac:dyDescent="0.3">
      <c r="B20" s="11" t="s">
        <v>59</v>
      </c>
      <c r="C20" s="1" t="s">
        <v>27</v>
      </c>
      <c r="D20" s="1" t="s">
        <v>20</v>
      </c>
      <c r="E20" s="1" t="s">
        <v>60</v>
      </c>
      <c r="F20" s="1" t="s">
        <v>61</v>
      </c>
      <c r="G20" s="12" t="s">
        <v>62</v>
      </c>
    </row>
    <row r="21" spans="2:7" ht="39.6" x14ac:dyDescent="0.3">
      <c r="B21" s="11" t="s">
        <v>63</v>
      </c>
      <c r="C21" s="2"/>
      <c r="D21" s="2"/>
      <c r="E21" s="1" t="s">
        <v>64</v>
      </c>
      <c r="F21" s="1" t="s">
        <v>65</v>
      </c>
      <c r="G21" s="12" t="s">
        <v>66</v>
      </c>
    </row>
    <row r="22" spans="2:7" ht="13.8" thickBot="1" x14ac:dyDescent="0.35">
      <c r="B22" s="13" t="s">
        <v>3</v>
      </c>
      <c r="C22" s="14"/>
      <c r="D22" s="14"/>
      <c r="E22" s="14"/>
      <c r="F22" s="15" t="s">
        <v>24</v>
      </c>
      <c r="G22" s="16" t="s">
        <v>25</v>
      </c>
    </row>
  </sheetData>
  <customSheetViews>
    <customSheetView guid="{6D9FC8F7-6352-4BF1-890A-27BF36FADC03}" scale="85" showGridLines="0" topLeftCell="B7">
      <selection activeCell="F14" sqref="F14"/>
      <pageMargins left="0.7" right="0.7" top="0.75" bottom="0.75" header="0.3" footer="0.3"/>
      <pageSetup orientation="portrait" r:id="rId1"/>
    </customSheetView>
    <customSheetView guid="{040B64FF-F135-4C7F-9498-A8399C10673D}" showGridLines="0" topLeftCell="D6">
      <selection activeCell="F11" sqref="F11"/>
      <pageMargins left="0.7" right="0.7" top="0.75" bottom="0.75" header="0.3" footer="0.3"/>
      <pageSetup orientation="portrait" r:id="rId2"/>
    </customSheetView>
    <customSheetView guid="{3F51B73C-8999-4BDD-B7BB-CFA8C5D5F118}" scale="85" showGridLines="0" topLeftCell="B7">
      <selection activeCell="F14" sqref="F14"/>
      <pageMargins left="0.7" right="0.7" top="0.75" bottom="0.75" header="0.3" footer="0.3"/>
      <pageSetup orientation="portrait" r:id="rId3"/>
    </customSheetView>
    <customSheetView guid="{61959E49-C4BC-41CB-B0BE-7EDA73DE356A}" scale="85" showGridLines="0">
      <selection activeCell="W1" sqref="W1:X1048576"/>
      <pageMargins left="0.7" right="0.7" top="0.75" bottom="0.75" header="0.3" footer="0.3"/>
      <pageSetup orientation="portrait" r:id="rId4"/>
    </customSheetView>
    <customSheetView guid="{9F775BAE-2403-40FE-95E3-B0411D9A7170}" scale="85" showGridLines="0">
      <selection activeCell="W1" sqref="W1:X1048576"/>
      <pageMargins left="0.7" right="0.7" top="0.75" bottom="0.75" header="0.3" footer="0.3"/>
      <pageSetup orientation="portrait" r:id="rId5"/>
    </customSheetView>
    <customSheetView guid="{B9E7682A-072E-4CF9-AE10-B3ED27CB27F8}" scale="85" showGridLines="0">
      <selection activeCell="W1" sqref="W1:X1048576"/>
      <pageMargins left="0.7" right="0.7" top="0.75" bottom="0.75" header="0.3" footer="0.3"/>
      <pageSetup orientation="portrait" r:id="rId6"/>
    </customSheetView>
    <customSheetView guid="{3BEDB203-29A8-4A82-B140-5CE8D0753F8B}" showGridLines="0" topLeftCell="D6">
      <selection activeCell="F11" sqref="F11"/>
      <pageMargins left="0.7" right="0.7" top="0.75" bottom="0.75" header="0.3" footer="0.3"/>
      <pageSetup orientation="portrait" r:id="rId7"/>
    </customSheetView>
  </customSheetViews>
  <mergeCells count="2">
    <mergeCell ref="B2:G3"/>
    <mergeCell ref="B5:B6"/>
  </mergeCells>
  <conditionalFormatting sqref="C7:G22">
    <cfRule type="containsText" dxfId="416" priority="1" operator="containsText" text="N/A">
      <formula>NOT(ISERROR(SEARCH("N/A",C7)))</formula>
    </cfRule>
  </conditionalFormatting>
  <pageMargins left="0.7" right="0.7" top="0.75" bottom="0.75" header="0.3" footer="0.3"/>
  <pageSetup orientation="portrait" r:id="rId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S124"/>
  <sheetViews>
    <sheetView showGridLines="0" zoomScaleNormal="85" workbookViewId="0">
      <selection activeCell="C4" sqref="C4"/>
    </sheetView>
  </sheetViews>
  <sheetFormatPr defaultColWidth="9.109375" defaultRowHeight="13.2" x14ac:dyDescent="0.25"/>
  <cols>
    <col min="1" max="1" width="2.5546875" style="29" customWidth="1"/>
    <col min="2" max="2" width="46.109375" style="66" customWidth="1"/>
    <col min="3" max="3" width="46.5546875" style="66" customWidth="1"/>
    <col min="4" max="8" width="7.5546875" style="56" customWidth="1"/>
    <col min="9" max="9" width="3.44140625" style="3" bestFit="1" customWidth="1"/>
    <col min="10" max="10" width="9.5546875" style="3" bestFit="1" customWidth="1"/>
    <col min="11" max="11" width="9.109375" style="56"/>
    <col min="12" max="16" width="9.109375" style="3"/>
    <col min="17" max="17" width="9.109375" style="29"/>
    <col min="18" max="18" width="12.6640625" style="29" bestFit="1" customWidth="1"/>
    <col min="19" max="19" width="14.6640625" style="29" bestFit="1" customWidth="1"/>
    <col min="20" max="16384" width="9.109375" style="29"/>
  </cols>
  <sheetData>
    <row r="1" spans="1:16" s="10" customFormat="1" x14ac:dyDescent="0.3">
      <c r="B1" s="347" t="s">
        <v>78</v>
      </c>
      <c r="C1" s="347"/>
      <c r="D1" s="347"/>
      <c r="E1" s="347"/>
      <c r="F1" s="347"/>
      <c r="G1" s="347"/>
      <c r="H1" s="347"/>
      <c r="I1" s="10">
        <v>9</v>
      </c>
      <c r="J1" s="10">
        <v>10</v>
      </c>
      <c r="K1" s="10">
        <v>11</v>
      </c>
      <c r="L1" s="10">
        <v>12</v>
      </c>
      <c r="M1" s="10">
        <v>13</v>
      </c>
      <c r="N1" s="10">
        <v>14</v>
      </c>
      <c r="O1" s="10">
        <v>15</v>
      </c>
      <c r="P1" s="10">
        <v>16</v>
      </c>
    </row>
    <row r="2" spans="1:16" ht="12.75" customHeight="1" x14ac:dyDescent="0.25">
      <c r="A2" s="93">
        <v>1</v>
      </c>
      <c r="B2" s="94">
        <v>2</v>
      </c>
      <c r="C2" s="93">
        <v>3</v>
      </c>
      <c r="D2" s="94">
        <v>4</v>
      </c>
      <c r="E2" s="93">
        <v>5</v>
      </c>
      <c r="F2" s="94">
        <v>6</v>
      </c>
      <c r="G2" s="93">
        <v>7</v>
      </c>
      <c r="H2" s="94">
        <v>8</v>
      </c>
      <c r="I2" s="93">
        <v>9</v>
      </c>
      <c r="J2" s="94">
        <v>10</v>
      </c>
      <c r="K2" s="93">
        <v>11</v>
      </c>
      <c r="L2" s="94">
        <v>12</v>
      </c>
      <c r="M2" s="93">
        <v>13</v>
      </c>
      <c r="N2" s="94">
        <v>14</v>
      </c>
      <c r="O2" s="93">
        <v>15</v>
      </c>
      <c r="P2" s="94">
        <v>16</v>
      </c>
    </row>
    <row r="3" spans="1:16" ht="12.75" customHeight="1" x14ac:dyDescent="0.25">
      <c r="B3" s="69" t="s">
        <v>4</v>
      </c>
      <c r="C3" s="88" t="s">
        <v>134</v>
      </c>
      <c r="D3" s="5" t="s">
        <v>5</v>
      </c>
      <c r="E3" s="5" t="s">
        <v>6</v>
      </c>
      <c r="F3" s="5" t="s">
        <v>7</v>
      </c>
      <c r="G3" s="5" t="s">
        <v>8</v>
      </c>
      <c r="H3" s="5" t="s">
        <v>9</v>
      </c>
      <c r="J3" s="348" t="s">
        <v>75</v>
      </c>
      <c r="K3" s="348" t="s">
        <v>72</v>
      </c>
      <c r="L3" s="348" t="s">
        <v>73</v>
      </c>
      <c r="M3" s="348" t="s">
        <v>610</v>
      </c>
      <c r="N3" s="147" t="s">
        <v>93</v>
      </c>
      <c r="O3" s="148"/>
      <c r="P3" s="149"/>
    </row>
    <row r="4" spans="1:16" x14ac:dyDescent="0.25">
      <c r="B4" s="79" t="s">
        <v>56</v>
      </c>
      <c r="C4" s="80" t="s">
        <v>180</v>
      </c>
      <c r="D4" s="72"/>
      <c r="E4" s="72" t="s">
        <v>72</v>
      </c>
      <c r="F4" s="72" t="s">
        <v>72</v>
      </c>
      <c r="G4" s="72" t="s">
        <v>72</v>
      </c>
      <c r="H4" s="72" t="s">
        <v>72</v>
      </c>
      <c r="J4" s="349"/>
      <c r="K4" s="349"/>
      <c r="L4" s="349"/>
      <c r="M4" s="349"/>
      <c r="N4" s="69" t="s">
        <v>72</v>
      </c>
      <c r="O4" s="69" t="s">
        <v>73</v>
      </c>
      <c r="P4" s="69" t="s">
        <v>610</v>
      </c>
    </row>
    <row r="5" spans="1:16" x14ac:dyDescent="0.25">
      <c r="B5" s="82" t="s">
        <v>56</v>
      </c>
      <c r="C5" s="71" t="s">
        <v>390</v>
      </c>
      <c r="D5" s="72"/>
      <c r="E5" s="72" t="s">
        <v>72</v>
      </c>
      <c r="F5" s="72" t="s">
        <v>72</v>
      </c>
      <c r="G5" s="72" t="s">
        <v>72</v>
      </c>
      <c r="H5" s="72" t="s">
        <v>72</v>
      </c>
      <c r="J5" s="8">
        <v>1</v>
      </c>
      <c r="K5" s="22">
        <f>COUNTIF($D$4:$D$62,K3)</f>
        <v>12</v>
      </c>
      <c r="L5" s="22">
        <f>COUNTIF($D$4:$D$62,L3)</f>
        <v>0</v>
      </c>
      <c r="M5" s="22">
        <f>COUNTIF($D$4:$D$62,M3&amp;"*")</f>
        <v>0</v>
      </c>
      <c r="N5" s="6">
        <f>IF(O5&lt;&gt;0,O5*2,1/(K5+M5))</f>
        <v>8.3333333333333329E-2</v>
      </c>
      <c r="O5" s="6">
        <f>IF(L5&lt;&gt;0,1/(2*(K5+M5)+L5),0)</f>
        <v>0</v>
      </c>
      <c r="P5" s="6">
        <f>IF(O5&lt;&gt;0,O5*2,1/(K5+M5))</f>
        <v>8.3333333333333329E-2</v>
      </c>
    </row>
    <row r="6" spans="1:16" x14ac:dyDescent="0.25">
      <c r="B6" s="82" t="s">
        <v>56</v>
      </c>
      <c r="C6" s="71" t="s">
        <v>213</v>
      </c>
      <c r="D6" s="72"/>
      <c r="E6" s="72"/>
      <c r="F6" s="72" t="s">
        <v>72</v>
      </c>
      <c r="G6" s="72" t="s">
        <v>72</v>
      </c>
      <c r="H6" s="72" t="s">
        <v>72</v>
      </c>
      <c r="J6" s="8">
        <v>2</v>
      </c>
      <c r="K6" s="22">
        <f>COUNTIF($E$4:$E$62,K3)</f>
        <v>19</v>
      </c>
      <c r="L6" s="22">
        <f>COUNTIF($E$4:$E$62,L3)</f>
        <v>3</v>
      </c>
      <c r="M6" s="22">
        <f>COUNTIF($E$4:$E$62,M3&amp;"*")</f>
        <v>0</v>
      </c>
      <c r="N6" s="6">
        <f t="shared" ref="N6:N9" si="0">IF(O6&lt;&gt;0,O6*2,1/(K6+M6))</f>
        <v>4.878048780487805E-2</v>
      </c>
      <c r="O6" s="6">
        <f t="shared" ref="O6:O9" si="1">IF(L6&lt;&gt;0,1/(2*(K6+M6)+L6),0)</f>
        <v>2.4390243902439025E-2</v>
      </c>
      <c r="P6" s="6">
        <f t="shared" ref="P6:P9" si="2">IF(O6&lt;&gt;0,O6*2,1/(K6+M6))</f>
        <v>4.878048780487805E-2</v>
      </c>
    </row>
    <row r="7" spans="1:16" x14ac:dyDescent="0.25">
      <c r="B7" s="82" t="s">
        <v>63</v>
      </c>
      <c r="C7" s="71" t="s">
        <v>234</v>
      </c>
      <c r="D7" s="72"/>
      <c r="E7" s="72"/>
      <c r="F7" s="72"/>
      <c r="G7" s="72" t="s">
        <v>72</v>
      </c>
      <c r="H7" s="72" t="s">
        <v>72</v>
      </c>
      <c r="J7" s="8">
        <v>3</v>
      </c>
      <c r="K7" s="22">
        <f>COUNTIF($F$4:$F$62,K3)</f>
        <v>29</v>
      </c>
      <c r="L7" s="22">
        <f>COUNTIF($F$4:$F$62,L3)</f>
        <v>8</v>
      </c>
      <c r="M7" s="22">
        <f>COUNTIF($F$4:$F$62,M3&amp;"*")</f>
        <v>2</v>
      </c>
      <c r="N7" s="6">
        <f t="shared" si="0"/>
        <v>2.8571428571428571E-2</v>
      </c>
      <c r="O7" s="6">
        <f t="shared" si="1"/>
        <v>1.4285714285714285E-2</v>
      </c>
      <c r="P7" s="6">
        <f t="shared" si="2"/>
        <v>2.8571428571428571E-2</v>
      </c>
    </row>
    <row r="8" spans="1:16" x14ac:dyDescent="0.25">
      <c r="B8" s="82" t="s">
        <v>63</v>
      </c>
      <c r="C8" s="71" t="s">
        <v>241</v>
      </c>
      <c r="D8" s="72"/>
      <c r="E8" s="72"/>
      <c r="F8" s="72"/>
      <c r="G8" s="72"/>
      <c r="H8" s="72" t="s">
        <v>72</v>
      </c>
      <c r="J8" s="8">
        <v>4</v>
      </c>
      <c r="K8" s="22">
        <f>COUNTIF($G$4:$G$61,K3)</f>
        <v>47</v>
      </c>
      <c r="L8" s="22">
        <f>COUNTIF($G$4:$G$61,L3)</f>
        <v>1</v>
      </c>
      <c r="M8" s="22">
        <f>COUNTIF($G$4:$G$61,M3&amp;"*")</f>
        <v>0</v>
      </c>
      <c r="N8" s="6">
        <f t="shared" si="0"/>
        <v>2.1052631578947368E-2</v>
      </c>
      <c r="O8" s="6">
        <f t="shared" si="1"/>
        <v>1.0526315789473684E-2</v>
      </c>
      <c r="P8" s="6">
        <f t="shared" si="2"/>
        <v>2.1052631578947368E-2</v>
      </c>
    </row>
    <row r="9" spans="1:16" x14ac:dyDescent="0.25">
      <c r="B9" s="251" t="s">
        <v>63</v>
      </c>
      <c r="C9" s="111" t="s">
        <v>638</v>
      </c>
      <c r="D9" s="108"/>
      <c r="E9" s="108"/>
      <c r="F9" s="108" t="s">
        <v>73</v>
      </c>
      <c r="G9" s="108" t="s">
        <v>73</v>
      </c>
      <c r="H9" s="108" t="s">
        <v>73</v>
      </c>
      <c r="J9" s="8">
        <v>5</v>
      </c>
      <c r="K9" s="22">
        <f>COUNTIF($H$4:$H$62,K3)</f>
        <v>51</v>
      </c>
      <c r="L9" s="22">
        <f>COUNTIF($H$4:$H$62,L3)</f>
        <v>1</v>
      </c>
      <c r="M9" s="22">
        <f>COUNTIF($H$4:$H$62,M3&amp;"*")</f>
        <v>0</v>
      </c>
      <c r="N9" s="6">
        <f t="shared" si="0"/>
        <v>1.9417475728155338E-2</v>
      </c>
      <c r="O9" s="6">
        <f t="shared" si="1"/>
        <v>9.7087378640776691E-3</v>
      </c>
      <c r="P9" s="6">
        <f t="shared" si="2"/>
        <v>1.9417475728155338E-2</v>
      </c>
    </row>
    <row r="10" spans="1:16" x14ac:dyDescent="0.25">
      <c r="B10" s="82" t="s">
        <v>55</v>
      </c>
      <c r="C10" s="71" t="s">
        <v>617</v>
      </c>
      <c r="D10" s="72"/>
      <c r="E10" s="72"/>
      <c r="F10" s="72" t="s">
        <v>73</v>
      </c>
      <c r="G10" s="72" t="s">
        <v>72</v>
      </c>
      <c r="H10" s="72" t="s">
        <v>72</v>
      </c>
    </row>
    <row r="11" spans="1:16" x14ac:dyDescent="0.25">
      <c r="B11" s="82" t="s">
        <v>55</v>
      </c>
      <c r="C11" s="71" t="s">
        <v>183</v>
      </c>
      <c r="D11" s="72"/>
      <c r="E11" s="72"/>
      <c r="F11" s="72" t="s">
        <v>611</v>
      </c>
      <c r="G11" s="72" t="s">
        <v>72</v>
      </c>
      <c r="H11" s="72" t="s">
        <v>72</v>
      </c>
    </row>
    <row r="12" spans="1:16" ht="13.2" customHeight="1" x14ac:dyDescent="0.25">
      <c r="B12" s="82" t="s">
        <v>55</v>
      </c>
      <c r="C12" s="71" t="s">
        <v>190</v>
      </c>
      <c r="D12" s="72"/>
      <c r="E12" s="72"/>
      <c r="F12" s="72"/>
      <c r="G12" s="72"/>
      <c r="H12" s="72"/>
      <c r="J12" s="358" t="s">
        <v>612</v>
      </c>
      <c r="K12" s="358"/>
      <c r="L12" s="358"/>
      <c r="M12" s="358"/>
      <c r="N12" s="358"/>
      <c r="O12" s="358"/>
      <c r="P12" s="358"/>
    </row>
    <row r="13" spans="1:16" x14ac:dyDescent="0.25">
      <c r="B13" s="82" t="s">
        <v>55</v>
      </c>
      <c r="C13" s="71" t="s">
        <v>192</v>
      </c>
      <c r="D13" s="72"/>
      <c r="E13" s="72"/>
      <c r="F13" s="72"/>
      <c r="G13" s="72"/>
      <c r="H13" s="72"/>
      <c r="J13" s="358"/>
      <c r="K13" s="358"/>
      <c r="L13" s="358"/>
      <c r="M13" s="358"/>
      <c r="N13" s="358"/>
      <c r="O13" s="358"/>
      <c r="P13" s="358"/>
    </row>
    <row r="14" spans="1:16" x14ac:dyDescent="0.25">
      <c r="B14" s="82" t="s">
        <v>55</v>
      </c>
      <c r="C14" s="71" t="s">
        <v>194</v>
      </c>
      <c r="D14" s="72"/>
      <c r="E14" s="72"/>
      <c r="F14" s="72"/>
      <c r="G14" s="72"/>
      <c r="H14" s="72"/>
      <c r="J14" s="358"/>
      <c r="K14" s="358"/>
      <c r="L14" s="358"/>
      <c r="M14" s="358"/>
      <c r="N14" s="358"/>
      <c r="O14" s="358"/>
      <c r="P14" s="358"/>
    </row>
    <row r="15" spans="1:16" x14ac:dyDescent="0.25">
      <c r="B15" s="82" t="s">
        <v>55</v>
      </c>
      <c r="C15" s="71" t="s">
        <v>196</v>
      </c>
      <c r="D15" s="72"/>
      <c r="E15" s="72"/>
      <c r="F15" s="72"/>
      <c r="G15" s="72"/>
      <c r="H15" s="72"/>
    </row>
    <row r="16" spans="1:16" x14ac:dyDescent="0.25">
      <c r="B16" s="82" t="s">
        <v>55</v>
      </c>
      <c r="C16" s="71" t="s">
        <v>200</v>
      </c>
      <c r="D16" s="72"/>
      <c r="E16" s="72"/>
      <c r="F16" s="72"/>
      <c r="G16" s="72"/>
      <c r="H16" s="72"/>
    </row>
    <row r="17" spans="2:19" x14ac:dyDescent="0.25">
      <c r="B17" s="251" t="s">
        <v>55</v>
      </c>
      <c r="C17" s="111" t="s">
        <v>642</v>
      </c>
      <c r="D17" s="108"/>
      <c r="E17" s="108"/>
      <c r="F17" s="108"/>
      <c r="G17" s="108"/>
      <c r="H17" s="108"/>
    </row>
    <row r="18" spans="2:19" x14ac:dyDescent="0.25">
      <c r="B18" s="82" t="s">
        <v>55</v>
      </c>
      <c r="C18" s="71" t="s">
        <v>595</v>
      </c>
      <c r="D18" s="72"/>
      <c r="E18" s="72"/>
      <c r="F18" s="72" t="s">
        <v>72</v>
      </c>
      <c r="G18" s="72" t="s">
        <v>72</v>
      </c>
      <c r="H18" s="72" t="s">
        <v>72</v>
      </c>
    </row>
    <row r="19" spans="2:19" ht="26.4" customHeight="1" x14ac:dyDescent="0.25">
      <c r="B19" s="82" t="s">
        <v>55</v>
      </c>
      <c r="C19" s="71" t="s">
        <v>410</v>
      </c>
      <c r="D19" s="72"/>
      <c r="E19" s="72"/>
      <c r="F19" s="72" t="s">
        <v>611</v>
      </c>
      <c r="G19" s="72" t="s">
        <v>72</v>
      </c>
      <c r="H19" s="72" t="s">
        <v>72</v>
      </c>
      <c r="I19" s="29"/>
      <c r="J19" s="350" t="s">
        <v>380</v>
      </c>
      <c r="K19" s="351"/>
      <c r="L19" s="125" t="s">
        <v>350</v>
      </c>
      <c r="M19" s="126"/>
      <c r="N19" s="126"/>
      <c r="O19" s="126"/>
      <c r="P19" s="29"/>
      <c r="R19" s="354" t="s">
        <v>605</v>
      </c>
      <c r="S19" s="355"/>
    </row>
    <row r="20" spans="2:19" ht="14.4" x14ac:dyDescent="0.3">
      <c r="B20" s="82" t="s">
        <v>55</v>
      </c>
      <c r="C20" s="71" t="s">
        <v>596</v>
      </c>
      <c r="D20" s="72"/>
      <c r="E20" s="72"/>
      <c r="F20" s="72" t="s">
        <v>72</v>
      </c>
      <c r="G20" s="72" t="s">
        <v>72</v>
      </c>
      <c r="H20" s="72" t="s">
        <v>72</v>
      </c>
      <c r="I20" s="29"/>
      <c r="J20" s="352"/>
      <c r="K20" s="353"/>
      <c r="L20" s="69" t="s">
        <v>355</v>
      </c>
      <c r="M20" s="69" t="s">
        <v>351</v>
      </c>
      <c r="N20" s="69" t="s">
        <v>352</v>
      </c>
      <c r="O20" s="69" t="s">
        <v>356</v>
      </c>
      <c r="P20" s="29"/>
      <c r="Q20"/>
      <c r="R20" s="356"/>
      <c r="S20" s="357"/>
    </row>
    <row r="21" spans="2:19" ht="15" customHeight="1" x14ac:dyDescent="0.3">
      <c r="B21" s="82" t="s">
        <v>55</v>
      </c>
      <c r="C21" s="71" t="s">
        <v>236</v>
      </c>
      <c r="D21" s="72"/>
      <c r="E21" s="72"/>
      <c r="F21" s="72"/>
      <c r="G21" s="72" t="s">
        <v>72</v>
      </c>
      <c r="H21" s="72" t="s">
        <v>72</v>
      </c>
      <c r="I21" s="29"/>
      <c r="J21" s="346" t="s">
        <v>381</v>
      </c>
      <c r="K21" s="8" t="s">
        <v>349</v>
      </c>
      <c r="L21" s="22" t="s">
        <v>5</v>
      </c>
      <c r="M21" s="70"/>
      <c r="N21" s="70"/>
      <c r="O21" s="70"/>
      <c r="P21" s="29"/>
      <c r="Q21"/>
      <c r="R21" s="8" t="s">
        <v>606</v>
      </c>
      <c r="S21" s="8" t="s">
        <v>5</v>
      </c>
    </row>
    <row r="22" spans="2:19" ht="14.4" x14ac:dyDescent="0.3">
      <c r="B22" s="82" t="s">
        <v>55</v>
      </c>
      <c r="C22" s="71" t="s">
        <v>473</v>
      </c>
      <c r="D22" s="72"/>
      <c r="E22" s="72"/>
      <c r="F22" s="72"/>
      <c r="G22" s="72" t="s">
        <v>72</v>
      </c>
      <c r="H22" s="72" t="s">
        <v>72</v>
      </c>
      <c r="I22" s="29"/>
      <c r="J22" s="346"/>
      <c r="K22" s="8" t="s">
        <v>351</v>
      </c>
      <c r="L22" s="22" t="s">
        <v>6</v>
      </c>
      <c r="M22" s="22" t="s">
        <v>6</v>
      </c>
      <c r="N22" s="70"/>
      <c r="O22" s="70"/>
      <c r="P22" s="29"/>
      <c r="Q22"/>
      <c r="R22" s="8" t="s">
        <v>616</v>
      </c>
      <c r="S22" s="8" t="s">
        <v>608</v>
      </c>
    </row>
    <row r="23" spans="2:19" ht="26.4" x14ac:dyDescent="0.3">
      <c r="B23" s="82" t="s">
        <v>3</v>
      </c>
      <c r="C23" s="71" t="s">
        <v>474</v>
      </c>
      <c r="D23" s="72"/>
      <c r="E23" s="72"/>
      <c r="F23" s="72"/>
      <c r="G23" s="72"/>
      <c r="H23" s="72" t="s">
        <v>72</v>
      </c>
      <c r="I23" s="29"/>
      <c r="J23" s="346"/>
      <c r="K23" s="8" t="s">
        <v>352</v>
      </c>
      <c r="L23" s="22" t="s">
        <v>6</v>
      </c>
      <c r="M23" s="22" t="s">
        <v>7</v>
      </c>
      <c r="N23" s="22" t="s">
        <v>7</v>
      </c>
      <c r="O23" s="70"/>
      <c r="P23" s="29"/>
      <c r="Q23"/>
      <c r="R23" s="8" t="s">
        <v>607</v>
      </c>
      <c r="S23" s="8" t="s">
        <v>609</v>
      </c>
    </row>
    <row r="24" spans="2:19" ht="26.4" x14ac:dyDescent="0.3">
      <c r="B24" s="82" t="s">
        <v>3</v>
      </c>
      <c r="C24" s="71" t="s">
        <v>243</v>
      </c>
      <c r="D24" s="72"/>
      <c r="E24" s="72"/>
      <c r="F24" s="72"/>
      <c r="G24" s="72"/>
      <c r="H24" s="72" t="s">
        <v>72</v>
      </c>
      <c r="I24" s="29"/>
      <c r="J24" s="346"/>
      <c r="K24" s="8" t="s">
        <v>353</v>
      </c>
      <c r="L24" s="22" t="s">
        <v>6</v>
      </c>
      <c r="M24" s="22" t="s">
        <v>7</v>
      </c>
      <c r="N24" s="22" t="s">
        <v>8</v>
      </c>
      <c r="O24" s="22" t="s">
        <v>8</v>
      </c>
      <c r="P24" s="29"/>
      <c r="Q24"/>
    </row>
    <row r="25" spans="2:19" ht="14.4" x14ac:dyDescent="0.3">
      <c r="B25" s="82" t="s">
        <v>59</v>
      </c>
      <c r="C25" s="71" t="s">
        <v>614</v>
      </c>
      <c r="D25" s="72"/>
      <c r="E25" s="72"/>
      <c r="F25" s="72" t="s">
        <v>72</v>
      </c>
      <c r="G25" s="72" t="s">
        <v>72</v>
      </c>
      <c r="H25" s="72" t="s">
        <v>72</v>
      </c>
      <c r="I25" s="29"/>
      <c r="J25" s="346"/>
      <c r="K25" s="8" t="s">
        <v>354</v>
      </c>
      <c r="L25" s="22" t="s">
        <v>6</v>
      </c>
      <c r="M25" s="22" t="s">
        <v>7</v>
      </c>
      <c r="N25" s="22" t="s">
        <v>8</v>
      </c>
      <c r="O25" s="22" t="s">
        <v>9</v>
      </c>
      <c r="P25" s="29"/>
      <c r="Q25"/>
    </row>
    <row r="26" spans="2:19" x14ac:dyDescent="0.25">
      <c r="B26" s="82" t="s">
        <v>59</v>
      </c>
      <c r="C26" s="71" t="s">
        <v>613</v>
      </c>
      <c r="D26" s="72"/>
      <c r="E26" s="72"/>
      <c r="F26" s="72" t="s">
        <v>72</v>
      </c>
      <c r="G26" s="72" t="s">
        <v>72</v>
      </c>
      <c r="H26" s="72" t="s">
        <v>72</v>
      </c>
    </row>
    <row r="27" spans="2:19" x14ac:dyDescent="0.25">
      <c r="B27" s="82" t="s">
        <v>148</v>
      </c>
      <c r="C27" s="71" t="s">
        <v>148</v>
      </c>
      <c r="D27" s="72" t="s">
        <v>72</v>
      </c>
      <c r="E27" s="72" t="s">
        <v>72</v>
      </c>
      <c r="F27" s="72" t="s">
        <v>72</v>
      </c>
      <c r="G27" s="72" t="s">
        <v>72</v>
      </c>
      <c r="H27" s="72" t="s">
        <v>72</v>
      </c>
    </row>
    <row r="28" spans="2:19" x14ac:dyDescent="0.25">
      <c r="B28" s="82" t="s">
        <v>148</v>
      </c>
      <c r="C28" s="71" t="s">
        <v>360</v>
      </c>
      <c r="D28" s="72"/>
      <c r="E28" s="72"/>
      <c r="F28" s="240"/>
      <c r="G28" s="72" t="s">
        <v>72</v>
      </c>
      <c r="H28" s="72" t="s">
        <v>72</v>
      </c>
    </row>
    <row r="29" spans="2:19" x14ac:dyDescent="0.25">
      <c r="B29" s="251" t="s">
        <v>148</v>
      </c>
      <c r="C29" s="111" t="s">
        <v>639</v>
      </c>
      <c r="D29" s="108"/>
      <c r="E29" s="108"/>
      <c r="F29" s="108"/>
      <c r="G29" s="108" t="s">
        <v>72</v>
      </c>
      <c r="H29" s="108" t="s">
        <v>72</v>
      </c>
    </row>
    <row r="30" spans="2:19" x14ac:dyDescent="0.25">
      <c r="B30" s="82" t="s">
        <v>31</v>
      </c>
      <c r="C30" s="71" t="s">
        <v>591</v>
      </c>
      <c r="D30" s="72" t="s">
        <v>72</v>
      </c>
      <c r="E30" s="72" t="s">
        <v>72</v>
      </c>
      <c r="F30" s="72" t="s">
        <v>72</v>
      </c>
      <c r="G30" s="72" t="s">
        <v>72</v>
      </c>
      <c r="H30" s="72" t="s">
        <v>72</v>
      </c>
    </row>
    <row r="31" spans="2:19" x14ac:dyDescent="0.25">
      <c r="B31" s="82" t="s">
        <v>31</v>
      </c>
      <c r="C31" s="71" t="s">
        <v>173</v>
      </c>
      <c r="D31" s="72" t="s">
        <v>72</v>
      </c>
      <c r="E31" s="72" t="s">
        <v>72</v>
      </c>
      <c r="F31" s="72" t="s">
        <v>72</v>
      </c>
      <c r="G31" s="72" t="s">
        <v>72</v>
      </c>
      <c r="H31" s="72" t="s">
        <v>72</v>
      </c>
    </row>
    <row r="32" spans="2:19" x14ac:dyDescent="0.25">
      <c r="B32" s="82" t="s">
        <v>46</v>
      </c>
      <c r="C32" s="71" t="s">
        <v>169</v>
      </c>
      <c r="D32" s="72"/>
      <c r="E32" s="72" t="s">
        <v>72</v>
      </c>
      <c r="F32" s="72" t="s">
        <v>72</v>
      </c>
      <c r="G32" s="72" t="s">
        <v>72</v>
      </c>
      <c r="H32" s="72" t="s">
        <v>72</v>
      </c>
    </row>
    <row r="33" spans="2:8" x14ac:dyDescent="0.25">
      <c r="B33" s="82" t="s">
        <v>2</v>
      </c>
      <c r="C33" s="71" t="s">
        <v>232</v>
      </c>
      <c r="D33" s="72"/>
      <c r="E33" s="72"/>
      <c r="F33" s="72"/>
      <c r="G33" s="72" t="s">
        <v>72</v>
      </c>
      <c r="H33" s="72" t="s">
        <v>72</v>
      </c>
    </row>
    <row r="34" spans="2:8" x14ac:dyDescent="0.25">
      <c r="B34" s="82" t="s">
        <v>54</v>
      </c>
      <c r="C34" s="71" t="s">
        <v>388</v>
      </c>
      <c r="D34" s="72" t="s">
        <v>72</v>
      </c>
      <c r="E34" s="72" t="s">
        <v>72</v>
      </c>
      <c r="F34" s="72" t="s">
        <v>72</v>
      </c>
      <c r="G34" s="72" t="s">
        <v>72</v>
      </c>
      <c r="H34" s="72" t="s">
        <v>72</v>
      </c>
    </row>
    <row r="35" spans="2:8" x14ac:dyDescent="0.25">
      <c r="B35" s="82" t="s">
        <v>54</v>
      </c>
      <c r="C35" s="71" t="s">
        <v>335</v>
      </c>
      <c r="D35" s="72"/>
      <c r="E35" s="72" t="s">
        <v>72</v>
      </c>
      <c r="F35" s="72" t="s">
        <v>72</v>
      </c>
      <c r="G35" s="72" t="s">
        <v>72</v>
      </c>
      <c r="H35" s="72" t="s">
        <v>72</v>
      </c>
    </row>
    <row r="36" spans="2:8" x14ac:dyDescent="0.25">
      <c r="B36" s="82" t="s">
        <v>54</v>
      </c>
      <c r="C36" s="71" t="s">
        <v>229</v>
      </c>
      <c r="D36" s="72"/>
      <c r="E36" s="72"/>
      <c r="F36" s="24" t="s">
        <v>73</v>
      </c>
      <c r="G36" s="72" t="s">
        <v>72</v>
      </c>
      <c r="H36" s="72" t="s">
        <v>72</v>
      </c>
    </row>
    <row r="37" spans="2:8" x14ac:dyDescent="0.25">
      <c r="B37" s="82" t="s">
        <v>53</v>
      </c>
      <c r="C37" s="71" t="s">
        <v>361</v>
      </c>
      <c r="D37" s="72"/>
      <c r="E37" s="72" t="s">
        <v>73</v>
      </c>
      <c r="F37" s="72" t="s">
        <v>73</v>
      </c>
      <c r="G37" s="72" t="s">
        <v>72</v>
      </c>
      <c r="H37" s="72" t="s">
        <v>72</v>
      </c>
    </row>
    <row r="38" spans="2:8" x14ac:dyDescent="0.25">
      <c r="B38" s="82" t="s">
        <v>53</v>
      </c>
      <c r="C38" s="71" t="s">
        <v>221</v>
      </c>
      <c r="D38" s="72"/>
      <c r="E38" s="72"/>
      <c r="F38" s="72" t="s">
        <v>73</v>
      </c>
      <c r="G38" s="72" t="s">
        <v>72</v>
      </c>
      <c r="H38" s="72" t="s">
        <v>72</v>
      </c>
    </row>
    <row r="39" spans="2:8" x14ac:dyDescent="0.25">
      <c r="B39" s="82" t="s">
        <v>53</v>
      </c>
      <c r="C39" s="71" t="s">
        <v>224</v>
      </c>
      <c r="D39" s="72"/>
      <c r="E39" s="72"/>
      <c r="F39" s="72" t="s">
        <v>73</v>
      </c>
      <c r="G39" s="72" t="s">
        <v>72</v>
      </c>
      <c r="H39" s="72" t="s">
        <v>72</v>
      </c>
    </row>
    <row r="40" spans="2:8" x14ac:dyDescent="0.25">
      <c r="B40" s="82" t="s">
        <v>53</v>
      </c>
      <c r="C40" s="71" t="s">
        <v>637</v>
      </c>
      <c r="D40" s="72"/>
      <c r="E40" s="72"/>
      <c r="F40" s="72"/>
      <c r="G40" s="72" t="s">
        <v>72</v>
      </c>
      <c r="H40" s="72" t="s">
        <v>72</v>
      </c>
    </row>
    <row r="41" spans="2:8" x14ac:dyDescent="0.25">
      <c r="B41" s="82" t="s">
        <v>41</v>
      </c>
      <c r="C41" s="71" t="s">
        <v>412</v>
      </c>
      <c r="D41" s="72" t="s">
        <v>72</v>
      </c>
      <c r="E41" s="72" t="s">
        <v>72</v>
      </c>
      <c r="F41" s="72" t="s">
        <v>72</v>
      </c>
      <c r="G41" s="72" t="s">
        <v>72</v>
      </c>
      <c r="H41" s="72" t="s">
        <v>72</v>
      </c>
    </row>
    <row r="42" spans="2:8" x14ac:dyDescent="0.25">
      <c r="B42" s="82" t="s">
        <v>41</v>
      </c>
      <c r="C42" s="71" t="s">
        <v>176</v>
      </c>
      <c r="D42" s="72"/>
      <c r="E42" s="72" t="s">
        <v>72</v>
      </c>
      <c r="F42" s="72" t="s">
        <v>72</v>
      </c>
      <c r="G42" s="72" t="s">
        <v>72</v>
      </c>
      <c r="H42" s="72" t="s">
        <v>72</v>
      </c>
    </row>
    <row r="43" spans="2:8" x14ac:dyDescent="0.25">
      <c r="B43" s="82" t="s">
        <v>227</v>
      </c>
      <c r="C43" s="71" t="s">
        <v>242</v>
      </c>
      <c r="D43" s="72"/>
      <c r="E43" s="72"/>
      <c r="F43" s="72"/>
      <c r="G43" s="72"/>
      <c r="H43" s="72" t="s">
        <v>72</v>
      </c>
    </row>
    <row r="44" spans="2:8" x14ac:dyDescent="0.25">
      <c r="B44" s="82" t="s">
        <v>143</v>
      </c>
      <c r="C44" s="71" t="s">
        <v>362</v>
      </c>
      <c r="D44" s="72" t="s">
        <v>72</v>
      </c>
      <c r="E44" s="72" t="s">
        <v>72</v>
      </c>
      <c r="F44" s="72" t="s">
        <v>72</v>
      </c>
      <c r="G44" s="72" t="s">
        <v>72</v>
      </c>
      <c r="H44" s="72" t="s">
        <v>72</v>
      </c>
    </row>
    <row r="45" spans="2:8" ht="26.4" x14ac:dyDescent="0.25">
      <c r="B45" s="82" t="s">
        <v>143</v>
      </c>
      <c r="C45" s="71" t="s">
        <v>363</v>
      </c>
      <c r="D45" s="72" t="s">
        <v>72</v>
      </c>
      <c r="E45" s="72" t="s">
        <v>72</v>
      </c>
      <c r="F45" s="72" t="s">
        <v>72</v>
      </c>
      <c r="G45" s="72" t="s">
        <v>72</v>
      </c>
      <c r="H45" s="72" t="s">
        <v>72</v>
      </c>
    </row>
    <row r="46" spans="2:8" x14ac:dyDescent="0.25">
      <c r="B46" s="82" t="s">
        <v>643</v>
      </c>
      <c r="C46" s="71" t="s">
        <v>414</v>
      </c>
      <c r="D46" s="72" t="s">
        <v>72</v>
      </c>
      <c r="E46" s="72" t="s">
        <v>72</v>
      </c>
      <c r="F46" s="72" t="s">
        <v>72</v>
      </c>
      <c r="G46" s="72" t="s">
        <v>72</v>
      </c>
      <c r="H46" s="72" t="s">
        <v>72</v>
      </c>
    </row>
    <row r="47" spans="2:8" x14ac:dyDescent="0.25">
      <c r="B47" s="213" t="s">
        <v>643</v>
      </c>
      <c r="C47" s="71" t="s">
        <v>475</v>
      </c>
      <c r="D47" s="72" t="s">
        <v>72</v>
      </c>
      <c r="E47" s="72" t="s">
        <v>72</v>
      </c>
      <c r="F47" s="72" t="s">
        <v>72</v>
      </c>
      <c r="G47" s="72" t="s">
        <v>72</v>
      </c>
      <c r="H47" s="72" t="s">
        <v>72</v>
      </c>
    </row>
    <row r="48" spans="2:8" x14ac:dyDescent="0.25">
      <c r="B48" s="213" t="s">
        <v>643</v>
      </c>
      <c r="C48" s="71" t="s">
        <v>592</v>
      </c>
      <c r="D48" s="72" t="s">
        <v>72</v>
      </c>
      <c r="E48" s="72" t="s">
        <v>72</v>
      </c>
      <c r="F48" s="72" t="s">
        <v>72</v>
      </c>
      <c r="G48" s="72" t="s">
        <v>72</v>
      </c>
      <c r="H48" s="72" t="s">
        <v>72</v>
      </c>
    </row>
    <row r="49" spans="2:19" x14ac:dyDescent="0.25">
      <c r="B49" s="213" t="s">
        <v>643</v>
      </c>
      <c r="C49" s="71" t="s">
        <v>593</v>
      </c>
      <c r="D49" s="72" t="s">
        <v>72</v>
      </c>
      <c r="E49" s="72" t="s">
        <v>72</v>
      </c>
      <c r="F49" s="72" t="s">
        <v>72</v>
      </c>
      <c r="G49" s="72" t="s">
        <v>72</v>
      </c>
      <c r="H49" s="72" t="s">
        <v>72</v>
      </c>
    </row>
    <row r="50" spans="2:19" x14ac:dyDescent="0.25">
      <c r="B50" s="213" t="s">
        <v>643</v>
      </c>
      <c r="C50" s="111" t="s">
        <v>640</v>
      </c>
      <c r="D50" s="108" t="s">
        <v>72</v>
      </c>
      <c r="E50" s="108" t="s">
        <v>72</v>
      </c>
      <c r="F50" s="108" t="s">
        <v>72</v>
      </c>
      <c r="G50" s="108" t="s">
        <v>72</v>
      </c>
      <c r="H50" s="108" t="s">
        <v>72</v>
      </c>
    </row>
    <row r="51" spans="2:19" x14ac:dyDescent="0.25">
      <c r="B51" s="213" t="s">
        <v>643</v>
      </c>
      <c r="C51" s="111" t="s">
        <v>641</v>
      </c>
      <c r="D51" s="108"/>
      <c r="E51" s="108"/>
      <c r="F51" s="108" t="s">
        <v>72</v>
      </c>
      <c r="G51" s="108" t="s">
        <v>72</v>
      </c>
      <c r="H51" s="108" t="s">
        <v>72</v>
      </c>
    </row>
    <row r="52" spans="2:19" x14ac:dyDescent="0.25">
      <c r="B52" s="213" t="s">
        <v>643</v>
      </c>
      <c r="C52" s="71" t="s">
        <v>185</v>
      </c>
      <c r="D52" s="72"/>
      <c r="E52" s="72" t="s">
        <v>72</v>
      </c>
      <c r="F52" s="72" t="s">
        <v>72</v>
      </c>
      <c r="G52" s="72" t="s">
        <v>72</v>
      </c>
      <c r="H52" s="72" t="s">
        <v>72</v>
      </c>
    </row>
    <row r="53" spans="2:19" x14ac:dyDescent="0.25">
      <c r="B53" s="213" t="s">
        <v>643</v>
      </c>
      <c r="C53" s="71" t="s">
        <v>186</v>
      </c>
      <c r="D53" s="72"/>
      <c r="E53" s="72" t="s">
        <v>72</v>
      </c>
      <c r="F53" s="72" t="s">
        <v>72</v>
      </c>
      <c r="G53" s="72" t="s">
        <v>72</v>
      </c>
      <c r="H53" s="72" t="s">
        <v>72</v>
      </c>
    </row>
    <row r="54" spans="2:19" x14ac:dyDescent="0.25">
      <c r="B54" s="213" t="s">
        <v>643</v>
      </c>
      <c r="C54" s="111" t="s">
        <v>644</v>
      </c>
      <c r="D54" s="108"/>
      <c r="E54" s="108" t="s">
        <v>73</v>
      </c>
      <c r="F54" s="108" t="s">
        <v>73</v>
      </c>
      <c r="G54" s="108" t="s">
        <v>72</v>
      </c>
      <c r="H54" s="108" t="s">
        <v>72</v>
      </c>
    </row>
    <row r="55" spans="2:19" x14ac:dyDescent="0.25">
      <c r="B55" s="213" t="s">
        <v>643</v>
      </c>
      <c r="C55" s="71" t="s">
        <v>189</v>
      </c>
      <c r="D55" s="72"/>
      <c r="E55" s="72" t="s">
        <v>73</v>
      </c>
      <c r="F55" s="72" t="s">
        <v>72</v>
      </c>
      <c r="G55" s="72" t="s">
        <v>72</v>
      </c>
      <c r="H55" s="72" t="s">
        <v>72</v>
      </c>
    </row>
    <row r="56" spans="2:19" x14ac:dyDescent="0.25">
      <c r="B56" s="150" t="s">
        <v>56</v>
      </c>
      <c r="C56" s="71" t="s">
        <v>383</v>
      </c>
      <c r="D56" s="72"/>
      <c r="E56" s="72"/>
      <c r="F56" s="24" t="s">
        <v>72</v>
      </c>
      <c r="G56" s="72" t="s">
        <v>72</v>
      </c>
      <c r="H56" s="72" t="s">
        <v>72</v>
      </c>
    </row>
    <row r="57" spans="2:19" x14ac:dyDescent="0.25">
      <c r="B57" s="82" t="s">
        <v>56</v>
      </c>
      <c r="C57" s="71" t="s">
        <v>385</v>
      </c>
      <c r="D57" s="72"/>
      <c r="E57" s="72"/>
      <c r="F57" s="72" t="s">
        <v>73</v>
      </c>
      <c r="G57" s="72" t="s">
        <v>72</v>
      </c>
      <c r="H57" s="72" t="s">
        <v>72</v>
      </c>
    </row>
    <row r="58" spans="2:19" x14ac:dyDescent="0.25">
      <c r="B58" s="82" t="s">
        <v>56</v>
      </c>
      <c r="C58" s="71" t="s">
        <v>235</v>
      </c>
      <c r="D58" s="72"/>
      <c r="E58" s="72"/>
      <c r="F58" s="72"/>
      <c r="G58" s="72" t="s">
        <v>72</v>
      </c>
      <c r="H58" s="72" t="s">
        <v>72</v>
      </c>
      <c r="I58" s="73"/>
    </row>
    <row r="59" spans="2:19" x14ac:dyDescent="0.25">
      <c r="B59" s="82" t="s">
        <v>59</v>
      </c>
      <c r="C59" s="71" t="s">
        <v>237</v>
      </c>
      <c r="D59" s="72"/>
      <c r="E59" s="72"/>
      <c r="F59" s="72"/>
      <c r="G59" s="72" t="s">
        <v>72</v>
      </c>
      <c r="H59" s="72" t="s">
        <v>72</v>
      </c>
      <c r="I59" s="73"/>
    </row>
    <row r="60" spans="2:19" x14ac:dyDescent="0.25">
      <c r="B60" s="82" t="s">
        <v>56</v>
      </c>
      <c r="C60" s="71" t="s">
        <v>67</v>
      </c>
      <c r="D60" s="72"/>
      <c r="E60" s="72"/>
      <c r="F60" s="72" t="s">
        <v>72</v>
      </c>
      <c r="G60" s="72" t="s">
        <v>72</v>
      </c>
      <c r="H60" s="72" t="s">
        <v>72</v>
      </c>
      <c r="I60" s="73"/>
    </row>
    <row r="61" spans="2:19" ht="13.8" thickBot="1" x14ac:dyDescent="0.3">
      <c r="B61" s="83" t="s">
        <v>55</v>
      </c>
      <c r="C61" s="71" t="s">
        <v>1</v>
      </c>
      <c r="D61" s="72"/>
      <c r="E61" s="72"/>
      <c r="F61" s="72" t="s">
        <v>72</v>
      </c>
      <c r="G61" s="72" t="s">
        <v>72</v>
      </c>
      <c r="H61" s="72" t="s">
        <v>72</v>
      </c>
      <c r="I61" s="73"/>
    </row>
    <row r="62" spans="2:19" x14ac:dyDescent="0.25">
      <c r="D62" s="74"/>
      <c r="E62" s="74"/>
      <c r="F62" s="74"/>
      <c r="G62" s="74"/>
      <c r="H62" s="74"/>
      <c r="I62" s="73"/>
    </row>
    <row r="63" spans="2:19" ht="15.6" x14ac:dyDescent="0.25">
      <c r="B63" s="345" t="s">
        <v>80</v>
      </c>
      <c r="C63" s="345"/>
      <c r="D63" s="345"/>
      <c r="E63" s="345"/>
      <c r="F63" s="345"/>
      <c r="G63" s="345"/>
      <c r="H63" s="345"/>
      <c r="I63" s="73"/>
      <c r="R63" s="3"/>
      <c r="S63" s="3"/>
    </row>
    <row r="64" spans="2:19" x14ac:dyDescent="0.25">
      <c r="I64" s="73"/>
    </row>
    <row r="65" spans="2:19" s="3" customFormat="1" x14ac:dyDescent="0.25">
      <c r="B65" s="69" t="s">
        <v>4</v>
      </c>
      <c r="C65" s="88"/>
      <c r="D65" s="5" t="s">
        <v>5</v>
      </c>
      <c r="E65" s="5" t="s">
        <v>6</v>
      </c>
      <c r="F65" s="5" t="s">
        <v>7</v>
      </c>
      <c r="G65" s="5" t="s">
        <v>8</v>
      </c>
      <c r="H65" s="5" t="s">
        <v>9</v>
      </c>
      <c r="R65" s="29"/>
      <c r="S65" s="29"/>
    </row>
    <row r="66" spans="2:19" x14ac:dyDescent="0.25">
      <c r="B66" s="210" t="s">
        <v>56</v>
      </c>
      <c r="C66" s="211" t="s">
        <v>180</v>
      </c>
      <c r="D66" s="7">
        <f>IF(D4="M",$N$5,IF(D4="O",$O$5,IF(LEFT(D4)="D",$P$5,0)))</f>
        <v>0</v>
      </c>
      <c r="E66" s="7">
        <f>IF(E4="M",$N$6,IF(E4="O",$O$6,IF(LEFT(E4)="D",$P$6,0)))</f>
        <v>4.878048780487805E-2</v>
      </c>
      <c r="F66" s="7">
        <f>IF(F4="M",$N$7,IF(F4="O",$O$7,IF(LEFT(F4)="D",P$7,0)))</f>
        <v>2.8571428571428571E-2</v>
      </c>
      <c r="G66" s="7">
        <f>IF(G4="M",$N$8,IF(G4="O",$O$8,IF(LEFT(G4)="D",$P$8,0)))</f>
        <v>2.1052631578947368E-2</v>
      </c>
      <c r="H66" s="7">
        <f>IF(H4="M",$N$9,IF(H4="O",$O$9,IF(LEFT(H4)="D",$P$9,0)))</f>
        <v>1.9417475728155338E-2</v>
      </c>
    </row>
    <row r="67" spans="2:19" x14ac:dyDescent="0.25">
      <c r="B67" s="213" t="s">
        <v>56</v>
      </c>
      <c r="C67" s="206" t="s">
        <v>390</v>
      </c>
      <c r="D67" s="7">
        <f t="shared" ref="D67:D123" si="3">IF(D5="M",$N$5,IF(D5="O",$O$5,IF(LEFT(D5)="D",$P$5,0)))</f>
        <v>0</v>
      </c>
      <c r="E67" s="7">
        <f t="shared" ref="E67:E123" si="4">IF(E5="M",$N$6,IF(E5="O",$O$6,IF(LEFT(E5)="D",$P$6,0)))</f>
        <v>4.878048780487805E-2</v>
      </c>
      <c r="F67" s="7">
        <f t="shared" ref="F67:F121" si="5">IF(F5="M",$N$7,IF(F5="O",$O$7,IF(LEFT(F5)="D",P$7,0)))</f>
        <v>2.8571428571428571E-2</v>
      </c>
      <c r="G67" s="7">
        <f t="shared" ref="G67:G123" si="6">IF(G5="M",$N$8,IF(G5="O",$O$8,IF(LEFT(G5)="D",$P$8,0)))</f>
        <v>2.1052631578947368E-2</v>
      </c>
      <c r="H67" s="7">
        <f t="shared" ref="H67:H123" si="7">IF(H5="M",$N$9,IF(H5="O",$O$9,IF(LEFT(H5)="D",$P$9,0)))</f>
        <v>1.9417475728155338E-2</v>
      </c>
    </row>
    <row r="68" spans="2:19" x14ac:dyDescent="0.25">
      <c r="B68" s="213" t="s">
        <v>56</v>
      </c>
      <c r="C68" s="206" t="s">
        <v>213</v>
      </c>
      <c r="D68" s="7">
        <f t="shared" si="3"/>
        <v>0</v>
      </c>
      <c r="E68" s="7">
        <f t="shared" si="4"/>
        <v>0</v>
      </c>
      <c r="F68" s="7">
        <f t="shared" si="5"/>
        <v>2.8571428571428571E-2</v>
      </c>
      <c r="G68" s="7">
        <f t="shared" si="6"/>
        <v>2.1052631578947368E-2</v>
      </c>
      <c r="H68" s="7">
        <f t="shared" si="7"/>
        <v>1.9417475728155338E-2</v>
      </c>
    </row>
    <row r="69" spans="2:19" x14ac:dyDescent="0.25">
      <c r="B69" s="213" t="s">
        <v>63</v>
      </c>
      <c r="C69" s="206" t="s">
        <v>234</v>
      </c>
      <c r="D69" s="7">
        <f t="shared" si="3"/>
        <v>0</v>
      </c>
      <c r="E69" s="7">
        <f t="shared" si="4"/>
        <v>0</v>
      </c>
      <c r="F69" s="7">
        <f t="shared" si="5"/>
        <v>0</v>
      </c>
      <c r="G69" s="7">
        <f t="shared" si="6"/>
        <v>2.1052631578947368E-2</v>
      </c>
      <c r="H69" s="7">
        <f t="shared" si="7"/>
        <v>1.9417475728155338E-2</v>
      </c>
    </row>
    <row r="70" spans="2:19" x14ac:dyDescent="0.25">
      <c r="B70" s="213" t="s">
        <v>63</v>
      </c>
      <c r="C70" s="206" t="s">
        <v>241</v>
      </c>
      <c r="D70" s="7">
        <f t="shared" si="3"/>
        <v>0</v>
      </c>
      <c r="E70" s="7">
        <f t="shared" si="4"/>
        <v>0</v>
      </c>
      <c r="F70" s="7">
        <f t="shared" si="5"/>
        <v>0</v>
      </c>
      <c r="G70" s="7">
        <f t="shared" si="6"/>
        <v>0</v>
      </c>
      <c r="H70" s="7">
        <f t="shared" si="7"/>
        <v>1.9417475728155338E-2</v>
      </c>
    </row>
    <row r="71" spans="2:19" ht="13.8" x14ac:dyDescent="0.3">
      <c r="B71" s="251" t="s">
        <v>63</v>
      </c>
      <c r="C71" s="252" t="s">
        <v>638</v>
      </c>
      <c r="D71" s="7">
        <f t="shared" si="3"/>
        <v>0</v>
      </c>
      <c r="E71" s="7">
        <f t="shared" si="4"/>
        <v>0</v>
      </c>
      <c r="F71" s="7">
        <f t="shared" si="5"/>
        <v>1.4285714285714285E-2</v>
      </c>
      <c r="G71" s="7">
        <f t="shared" si="6"/>
        <v>1.0526315789473684E-2</v>
      </c>
      <c r="H71" s="7">
        <f t="shared" si="7"/>
        <v>9.7087378640776691E-3</v>
      </c>
    </row>
    <row r="72" spans="2:19" x14ac:dyDescent="0.25">
      <c r="B72" s="213" t="s">
        <v>55</v>
      </c>
      <c r="C72" s="206" t="s">
        <v>617</v>
      </c>
      <c r="D72" s="7">
        <f t="shared" si="3"/>
        <v>0</v>
      </c>
      <c r="E72" s="7">
        <f t="shared" si="4"/>
        <v>0</v>
      </c>
      <c r="F72" s="7">
        <f t="shared" si="5"/>
        <v>1.4285714285714285E-2</v>
      </c>
      <c r="G72" s="7">
        <f t="shared" si="6"/>
        <v>2.1052631578947368E-2</v>
      </c>
      <c r="H72" s="7">
        <f t="shared" si="7"/>
        <v>1.9417475728155338E-2</v>
      </c>
    </row>
    <row r="73" spans="2:19" x14ac:dyDescent="0.25">
      <c r="B73" s="213" t="s">
        <v>55</v>
      </c>
      <c r="C73" s="206" t="s">
        <v>183</v>
      </c>
      <c r="D73" s="7">
        <f t="shared" si="3"/>
        <v>0</v>
      </c>
      <c r="E73" s="7">
        <f t="shared" si="4"/>
        <v>0</v>
      </c>
      <c r="F73" s="7">
        <f t="shared" si="5"/>
        <v>2.8571428571428571E-2</v>
      </c>
      <c r="G73" s="7">
        <f t="shared" si="6"/>
        <v>2.1052631578947368E-2</v>
      </c>
      <c r="H73" s="7">
        <f t="shared" si="7"/>
        <v>1.9417475728155338E-2</v>
      </c>
    </row>
    <row r="74" spans="2:19" x14ac:dyDescent="0.25">
      <c r="B74" s="213" t="s">
        <v>55</v>
      </c>
      <c r="C74" s="206" t="s">
        <v>190</v>
      </c>
      <c r="D74" s="7">
        <f t="shared" si="3"/>
        <v>0</v>
      </c>
      <c r="E74" s="7">
        <f t="shared" si="4"/>
        <v>0</v>
      </c>
      <c r="F74" s="7">
        <f t="shared" si="5"/>
        <v>0</v>
      </c>
      <c r="G74" s="7">
        <f t="shared" si="6"/>
        <v>0</v>
      </c>
      <c r="H74" s="7">
        <f t="shared" si="7"/>
        <v>0</v>
      </c>
    </row>
    <row r="75" spans="2:19" x14ac:dyDescent="0.25">
      <c r="B75" s="213" t="s">
        <v>55</v>
      </c>
      <c r="C75" s="206" t="s">
        <v>192</v>
      </c>
      <c r="D75" s="7">
        <f t="shared" si="3"/>
        <v>0</v>
      </c>
      <c r="E75" s="7">
        <f t="shared" si="4"/>
        <v>0</v>
      </c>
      <c r="F75" s="7">
        <f t="shared" si="5"/>
        <v>0</v>
      </c>
      <c r="G75" s="7">
        <f t="shared" si="6"/>
        <v>0</v>
      </c>
      <c r="H75" s="7">
        <f t="shared" si="7"/>
        <v>0</v>
      </c>
    </row>
    <row r="76" spans="2:19" x14ac:dyDescent="0.25">
      <c r="B76" s="213" t="s">
        <v>55</v>
      </c>
      <c r="C76" s="206" t="s">
        <v>194</v>
      </c>
      <c r="D76" s="7">
        <f t="shared" si="3"/>
        <v>0</v>
      </c>
      <c r="E76" s="7">
        <f t="shared" si="4"/>
        <v>0</v>
      </c>
      <c r="F76" s="7">
        <f t="shared" si="5"/>
        <v>0</v>
      </c>
      <c r="G76" s="7">
        <f t="shared" si="6"/>
        <v>0</v>
      </c>
      <c r="H76" s="7">
        <f t="shared" si="7"/>
        <v>0</v>
      </c>
    </row>
    <row r="77" spans="2:19" x14ac:dyDescent="0.25">
      <c r="B77" s="213" t="s">
        <v>55</v>
      </c>
      <c r="C77" s="206" t="s">
        <v>196</v>
      </c>
      <c r="D77" s="7">
        <f t="shared" si="3"/>
        <v>0</v>
      </c>
      <c r="E77" s="7">
        <f t="shared" si="4"/>
        <v>0</v>
      </c>
      <c r="F77" s="7">
        <f t="shared" si="5"/>
        <v>0</v>
      </c>
      <c r="G77" s="7">
        <f t="shared" si="6"/>
        <v>0</v>
      </c>
      <c r="H77" s="7">
        <f t="shared" si="7"/>
        <v>0</v>
      </c>
    </row>
    <row r="78" spans="2:19" x14ac:dyDescent="0.25">
      <c r="B78" s="213" t="s">
        <v>55</v>
      </c>
      <c r="C78" s="206" t="s">
        <v>200</v>
      </c>
      <c r="D78" s="7">
        <f t="shared" si="3"/>
        <v>0</v>
      </c>
      <c r="E78" s="7">
        <f t="shared" si="4"/>
        <v>0</v>
      </c>
      <c r="F78" s="7">
        <f t="shared" si="5"/>
        <v>0</v>
      </c>
      <c r="G78" s="7">
        <f t="shared" si="6"/>
        <v>0</v>
      </c>
      <c r="H78" s="7">
        <f t="shared" si="7"/>
        <v>0</v>
      </c>
    </row>
    <row r="79" spans="2:19" x14ac:dyDescent="0.25">
      <c r="B79" s="251" t="s">
        <v>55</v>
      </c>
      <c r="C79" s="111" t="s">
        <v>642</v>
      </c>
      <c r="D79" s="7">
        <f t="shared" si="3"/>
        <v>0</v>
      </c>
      <c r="E79" s="7">
        <f t="shared" si="4"/>
        <v>0</v>
      </c>
      <c r="F79" s="7">
        <f t="shared" si="5"/>
        <v>0</v>
      </c>
      <c r="G79" s="7">
        <f t="shared" si="6"/>
        <v>0</v>
      </c>
      <c r="H79" s="7">
        <f t="shared" si="7"/>
        <v>0</v>
      </c>
    </row>
    <row r="80" spans="2:19" x14ac:dyDescent="0.25">
      <c r="B80" s="213" t="s">
        <v>55</v>
      </c>
      <c r="C80" s="206" t="s">
        <v>595</v>
      </c>
      <c r="D80" s="7">
        <f t="shared" si="3"/>
        <v>0</v>
      </c>
      <c r="E80" s="7">
        <f t="shared" si="4"/>
        <v>0</v>
      </c>
      <c r="F80" s="7">
        <f t="shared" si="5"/>
        <v>2.8571428571428571E-2</v>
      </c>
      <c r="G80" s="7">
        <f t="shared" si="6"/>
        <v>2.1052631578947368E-2</v>
      </c>
      <c r="H80" s="7">
        <f t="shared" si="7"/>
        <v>1.9417475728155338E-2</v>
      </c>
    </row>
    <row r="81" spans="2:8" x14ac:dyDescent="0.25">
      <c r="B81" s="213" t="s">
        <v>55</v>
      </c>
      <c r="C81" s="206" t="s">
        <v>410</v>
      </c>
      <c r="D81" s="7">
        <f t="shared" si="3"/>
        <v>0</v>
      </c>
      <c r="E81" s="7">
        <f t="shared" si="4"/>
        <v>0</v>
      </c>
      <c r="F81" s="7">
        <f t="shared" si="5"/>
        <v>2.8571428571428571E-2</v>
      </c>
      <c r="G81" s="7">
        <f t="shared" si="6"/>
        <v>2.1052631578947368E-2</v>
      </c>
      <c r="H81" s="7">
        <f t="shared" si="7"/>
        <v>1.9417475728155338E-2</v>
      </c>
    </row>
    <row r="82" spans="2:8" x14ac:dyDescent="0.25">
      <c r="B82" s="213" t="s">
        <v>55</v>
      </c>
      <c r="C82" s="206" t="s">
        <v>596</v>
      </c>
      <c r="D82" s="7">
        <f t="shared" si="3"/>
        <v>0</v>
      </c>
      <c r="E82" s="7">
        <f t="shared" si="4"/>
        <v>0</v>
      </c>
      <c r="F82" s="7">
        <f t="shared" si="5"/>
        <v>2.8571428571428571E-2</v>
      </c>
      <c r="G82" s="7">
        <f t="shared" si="6"/>
        <v>2.1052631578947368E-2</v>
      </c>
      <c r="H82" s="7">
        <f t="shared" si="7"/>
        <v>1.9417475728155338E-2</v>
      </c>
    </row>
    <row r="83" spans="2:8" x14ac:dyDescent="0.25">
      <c r="B83" s="213" t="s">
        <v>55</v>
      </c>
      <c r="C83" s="206" t="s">
        <v>236</v>
      </c>
      <c r="D83" s="7">
        <f t="shared" si="3"/>
        <v>0</v>
      </c>
      <c r="E83" s="7">
        <f t="shared" si="4"/>
        <v>0</v>
      </c>
      <c r="F83" s="7">
        <f t="shared" si="5"/>
        <v>0</v>
      </c>
      <c r="G83" s="7">
        <f t="shared" si="6"/>
        <v>2.1052631578947368E-2</v>
      </c>
      <c r="H83" s="7">
        <f t="shared" si="7"/>
        <v>1.9417475728155338E-2</v>
      </c>
    </row>
    <row r="84" spans="2:8" x14ac:dyDescent="0.25">
      <c r="B84" s="213" t="s">
        <v>55</v>
      </c>
      <c r="C84" s="206" t="s">
        <v>473</v>
      </c>
      <c r="D84" s="7">
        <f t="shared" si="3"/>
        <v>0</v>
      </c>
      <c r="E84" s="7">
        <f t="shared" si="4"/>
        <v>0</v>
      </c>
      <c r="F84" s="7">
        <f t="shared" si="5"/>
        <v>0</v>
      </c>
      <c r="G84" s="7">
        <f t="shared" si="6"/>
        <v>2.1052631578947368E-2</v>
      </c>
      <c r="H84" s="7">
        <f t="shared" si="7"/>
        <v>1.9417475728155338E-2</v>
      </c>
    </row>
    <row r="85" spans="2:8" ht="26.4" x14ac:dyDescent="0.25">
      <c r="B85" s="213" t="s">
        <v>3</v>
      </c>
      <c r="C85" s="206" t="s">
        <v>474</v>
      </c>
      <c r="D85" s="7">
        <f t="shared" si="3"/>
        <v>0</v>
      </c>
      <c r="E85" s="7">
        <f t="shared" si="4"/>
        <v>0</v>
      </c>
      <c r="F85" s="7">
        <f t="shared" si="5"/>
        <v>0</v>
      </c>
      <c r="G85" s="7">
        <f t="shared" si="6"/>
        <v>0</v>
      </c>
      <c r="H85" s="7">
        <f t="shared" si="7"/>
        <v>1.9417475728155338E-2</v>
      </c>
    </row>
    <row r="86" spans="2:8" ht="26.4" x14ac:dyDescent="0.25">
      <c r="B86" s="213" t="s">
        <v>3</v>
      </c>
      <c r="C86" s="206" t="s">
        <v>243</v>
      </c>
      <c r="D86" s="7">
        <f t="shared" si="3"/>
        <v>0</v>
      </c>
      <c r="E86" s="7">
        <f t="shared" si="4"/>
        <v>0</v>
      </c>
      <c r="F86" s="7">
        <f t="shared" si="5"/>
        <v>0</v>
      </c>
      <c r="G86" s="7">
        <f t="shared" si="6"/>
        <v>0</v>
      </c>
      <c r="H86" s="7">
        <f t="shared" si="7"/>
        <v>1.9417475728155338E-2</v>
      </c>
    </row>
    <row r="87" spans="2:8" x14ac:dyDescent="0.25">
      <c r="B87" s="213" t="s">
        <v>59</v>
      </c>
      <c r="C87" s="206" t="s">
        <v>614</v>
      </c>
      <c r="D87" s="7">
        <f t="shared" si="3"/>
        <v>0</v>
      </c>
      <c r="E87" s="7">
        <f t="shared" si="4"/>
        <v>0</v>
      </c>
      <c r="F87" s="7">
        <f t="shared" si="5"/>
        <v>2.8571428571428571E-2</v>
      </c>
      <c r="G87" s="7">
        <f t="shared" si="6"/>
        <v>2.1052631578947368E-2</v>
      </c>
      <c r="H87" s="7">
        <f t="shared" si="7"/>
        <v>1.9417475728155338E-2</v>
      </c>
    </row>
    <row r="88" spans="2:8" x14ac:dyDescent="0.25">
      <c r="B88" s="213" t="s">
        <v>59</v>
      </c>
      <c r="C88" s="206" t="s">
        <v>613</v>
      </c>
      <c r="D88" s="7">
        <f t="shared" si="3"/>
        <v>0</v>
      </c>
      <c r="E88" s="7">
        <f t="shared" si="4"/>
        <v>0</v>
      </c>
      <c r="F88" s="7">
        <f t="shared" si="5"/>
        <v>2.8571428571428571E-2</v>
      </c>
      <c r="G88" s="7">
        <f t="shared" si="6"/>
        <v>2.1052631578947368E-2</v>
      </c>
      <c r="H88" s="7">
        <f t="shared" si="7"/>
        <v>1.9417475728155338E-2</v>
      </c>
    </row>
    <row r="89" spans="2:8" x14ac:dyDescent="0.25">
      <c r="B89" s="213" t="s">
        <v>148</v>
      </c>
      <c r="C89" s="206" t="s">
        <v>148</v>
      </c>
      <c r="D89" s="7">
        <f t="shared" si="3"/>
        <v>8.3333333333333329E-2</v>
      </c>
      <c r="E89" s="7">
        <f t="shared" si="4"/>
        <v>4.878048780487805E-2</v>
      </c>
      <c r="F89" s="7">
        <f t="shared" si="5"/>
        <v>2.8571428571428571E-2</v>
      </c>
      <c r="G89" s="7">
        <f t="shared" si="6"/>
        <v>2.1052631578947368E-2</v>
      </c>
      <c r="H89" s="7">
        <f t="shared" si="7"/>
        <v>1.9417475728155338E-2</v>
      </c>
    </row>
    <row r="90" spans="2:8" x14ac:dyDescent="0.25">
      <c r="B90" s="213" t="s">
        <v>148</v>
      </c>
      <c r="C90" s="206" t="s">
        <v>360</v>
      </c>
      <c r="D90" s="7">
        <f t="shared" si="3"/>
        <v>0</v>
      </c>
      <c r="E90" s="7">
        <f t="shared" si="4"/>
        <v>0</v>
      </c>
      <c r="F90" s="7">
        <f t="shared" si="5"/>
        <v>0</v>
      </c>
      <c r="G90" s="7">
        <f t="shared" si="6"/>
        <v>2.1052631578947368E-2</v>
      </c>
      <c r="H90" s="7">
        <f t="shared" si="7"/>
        <v>1.9417475728155338E-2</v>
      </c>
    </row>
    <row r="91" spans="2:8" x14ac:dyDescent="0.25">
      <c r="B91" s="251" t="s">
        <v>148</v>
      </c>
      <c r="C91" s="111" t="s">
        <v>639</v>
      </c>
      <c r="D91" s="7">
        <f t="shared" si="3"/>
        <v>0</v>
      </c>
      <c r="E91" s="7">
        <f t="shared" si="4"/>
        <v>0</v>
      </c>
      <c r="F91" s="7">
        <f t="shared" si="5"/>
        <v>0</v>
      </c>
      <c r="G91" s="7">
        <f t="shared" si="6"/>
        <v>2.1052631578947368E-2</v>
      </c>
      <c r="H91" s="7">
        <f t="shared" si="7"/>
        <v>1.9417475728155338E-2</v>
      </c>
    </row>
    <row r="92" spans="2:8" x14ac:dyDescent="0.25">
      <c r="B92" s="213" t="s">
        <v>31</v>
      </c>
      <c r="C92" s="206" t="s">
        <v>591</v>
      </c>
      <c r="D92" s="7">
        <f t="shared" si="3"/>
        <v>8.3333333333333329E-2</v>
      </c>
      <c r="E92" s="7">
        <f t="shared" si="4"/>
        <v>4.878048780487805E-2</v>
      </c>
      <c r="F92" s="7">
        <f t="shared" si="5"/>
        <v>2.8571428571428571E-2</v>
      </c>
      <c r="G92" s="7">
        <f t="shared" si="6"/>
        <v>2.1052631578947368E-2</v>
      </c>
      <c r="H92" s="7">
        <f t="shared" si="7"/>
        <v>1.9417475728155338E-2</v>
      </c>
    </row>
    <row r="93" spans="2:8" x14ac:dyDescent="0.25">
      <c r="B93" s="213" t="s">
        <v>31</v>
      </c>
      <c r="C93" s="206" t="s">
        <v>173</v>
      </c>
      <c r="D93" s="7">
        <f t="shared" si="3"/>
        <v>8.3333333333333329E-2</v>
      </c>
      <c r="E93" s="7">
        <f t="shared" si="4"/>
        <v>4.878048780487805E-2</v>
      </c>
      <c r="F93" s="7">
        <f t="shared" si="5"/>
        <v>2.8571428571428571E-2</v>
      </c>
      <c r="G93" s="7">
        <f t="shared" si="6"/>
        <v>2.1052631578947368E-2</v>
      </c>
      <c r="H93" s="7">
        <f t="shared" si="7"/>
        <v>1.9417475728155338E-2</v>
      </c>
    </row>
    <row r="94" spans="2:8" x14ac:dyDescent="0.25">
      <c r="B94" s="213" t="s">
        <v>46</v>
      </c>
      <c r="C94" s="206" t="s">
        <v>169</v>
      </c>
      <c r="D94" s="7">
        <f t="shared" si="3"/>
        <v>0</v>
      </c>
      <c r="E94" s="7">
        <f t="shared" si="4"/>
        <v>4.878048780487805E-2</v>
      </c>
      <c r="F94" s="7">
        <f t="shared" si="5"/>
        <v>2.8571428571428571E-2</v>
      </c>
      <c r="G94" s="7">
        <f t="shared" si="6"/>
        <v>2.1052631578947368E-2</v>
      </c>
      <c r="H94" s="7">
        <f t="shared" si="7"/>
        <v>1.9417475728155338E-2</v>
      </c>
    </row>
    <row r="95" spans="2:8" x14ac:dyDescent="0.25">
      <c r="B95" s="213" t="s">
        <v>2</v>
      </c>
      <c r="C95" s="206" t="s">
        <v>232</v>
      </c>
      <c r="D95" s="7">
        <f t="shared" si="3"/>
        <v>0</v>
      </c>
      <c r="E95" s="7">
        <f t="shared" si="4"/>
        <v>0</v>
      </c>
      <c r="F95" s="7">
        <f t="shared" si="5"/>
        <v>0</v>
      </c>
      <c r="G95" s="7">
        <f t="shared" si="6"/>
        <v>2.1052631578947368E-2</v>
      </c>
      <c r="H95" s="7">
        <f t="shared" si="7"/>
        <v>1.9417475728155338E-2</v>
      </c>
    </row>
    <row r="96" spans="2:8" x14ac:dyDescent="0.25">
      <c r="B96" s="213" t="s">
        <v>54</v>
      </c>
      <c r="C96" s="206" t="s">
        <v>388</v>
      </c>
      <c r="D96" s="7">
        <f t="shared" si="3"/>
        <v>8.3333333333333329E-2</v>
      </c>
      <c r="E96" s="7">
        <f t="shared" si="4"/>
        <v>4.878048780487805E-2</v>
      </c>
      <c r="F96" s="7">
        <f t="shared" si="5"/>
        <v>2.8571428571428571E-2</v>
      </c>
      <c r="G96" s="7">
        <f t="shared" si="6"/>
        <v>2.1052631578947368E-2</v>
      </c>
      <c r="H96" s="7">
        <f t="shared" si="7"/>
        <v>1.9417475728155338E-2</v>
      </c>
    </row>
    <row r="97" spans="2:8" x14ac:dyDescent="0.25">
      <c r="B97" s="213" t="s">
        <v>54</v>
      </c>
      <c r="C97" s="206" t="s">
        <v>335</v>
      </c>
      <c r="D97" s="7">
        <f t="shared" si="3"/>
        <v>0</v>
      </c>
      <c r="E97" s="7">
        <f t="shared" si="4"/>
        <v>4.878048780487805E-2</v>
      </c>
      <c r="F97" s="7">
        <f t="shared" si="5"/>
        <v>2.8571428571428571E-2</v>
      </c>
      <c r="G97" s="7">
        <f t="shared" si="6"/>
        <v>2.1052631578947368E-2</v>
      </c>
      <c r="H97" s="7">
        <f t="shared" si="7"/>
        <v>1.9417475728155338E-2</v>
      </c>
    </row>
    <row r="98" spans="2:8" x14ac:dyDescent="0.25">
      <c r="B98" s="213" t="s">
        <v>54</v>
      </c>
      <c r="C98" s="206" t="s">
        <v>229</v>
      </c>
      <c r="D98" s="7">
        <f t="shared" si="3"/>
        <v>0</v>
      </c>
      <c r="E98" s="7">
        <f t="shared" si="4"/>
        <v>0</v>
      </c>
      <c r="F98" s="7">
        <f t="shared" si="5"/>
        <v>1.4285714285714285E-2</v>
      </c>
      <c r="G98" s="7">
        <f t="shared" si="6"/>
        <v>2.1052631578947368E-2</v>
      </c>
      <c r="H98" s="7">
        <f t="shared" si="7"/>
        <v>1.9417475728155338E-2</v>
      </c>
    </row>
    <row r="99" spans="2:8" x14ac:dyDescent="0.25">
      <c r="B99" s="213" t="s">
        <v>53</v>
      </c>
      <c r="C99" s="206" t="s">
        <v>361</v>
      </c>
      <c r="D99" s="7">
        <f t="shared" si="3"/>
        <v>0</v>
      </c>
      <c r="E99" s="7">
        <f t="shared" si="4"/>
        <v>2.4390243902439025E-2</v>
      </c>
      <c r="F99" s="7">
        <f t="shared" si="5"/>
        <v>1.4285714285714285E-2</v>
      </c>
      <c r="G99" s="7">
        <f t="shared" si="6"/>
        <v>2.1052631578947368E-2</v>
      </c>
      <c r="H99" s="7">
        <f t="shared" si="7"/>
        <v>1.9417475728155338E-2</v>
      </c>
    </row>
    <row r="100" spans="2:8" x14ac:dyDescent="0.25">
      <c r="B100" s="213" t="s">
        <v>53</v>
      </c>
      <c r="C100" s="206" t="s">
        <v>221</v>
      </c>
      <c r="D100" s="7">
        <f t="shared" si="3"/>
        <v>0</v>
      </c>
      <c r="E100" s="7">
        <f t="shared" si="4"/>
        <v>0</v>
      </c>
      <c r="F100" s="7">
        <f t="shared" si="5"/>
        <v>1.4285714285714285E-2</v>
      </c>
      <c r="G100" s="7">
        <f t="shared" si="6"/>
        <v>2.1052631578947368E-2</v>
      </c>
      <c r="H100" s="7">
        <f t="shared" si="7"/>
        <v>1.9417475728155338E-2</v>
      </c>
    </row>
    <row r="101" spans="2:8" x14ac:dyDescent="0.25">
      <c r="B101" s="213" t="s">
        <v>53</v>
      </c>
      <c r="C101" s="206" t="s">
        <v>224</v>
      </c>
      <c r="D101" s="7">
        <f t="shared" si="3"/>
        <v>0</v>
      </c>
      <c r="E101" s="7">
        <f t="shared" si="4"/>
        <v>0</v>
      </c>
      <c r="F101" s="7">
        <f t="shared" si="5"/>
        <v>1.4285714285714285E-2</v>
      </c>
      <c r="G101" s="7">
        <f t="shared" si="6"/>
        <v>2.1052631578947368E-2</v>
      </c>
      <c r="H101" s="7">
        <f t="shared" si="7"/>
        <v>1.9417475728155338E-2</v>
      </c>
    </row>
    <row r="102" spans="2:8" x14ac:dyDescent="0.25">
      <c r="B102" s="213" t="s">
        <v>53</v>
      </c>
      <c r="C102" s="206" t="s">
        <v>637</v>
      </c>
      <c r="D102" s="7">
        <f t="shared" si="3"/>
        <v>0</v>
      </c>
      <c r="E102" s="7">
        <f t="shared" si="4"/>
        <v>0</v>
      </c>
      <c r="F102" s="7">
        <f t="shared" si="5"/>
        <v>0</v>
      </c>
      <c r="G102" s="7">
        <f t="shared" si="6"/>
        <v>2.1052631578947368E-2</v>
      </c>
      <c r="H102" s="7">
        <f t="shared" si="7"/>
        <v>1.9417475728155338E-2</v>
      </c>
    </row>
    <row r="103" spans="2:8" x14ac:dyDescent="0.25">
      <c r="B103" s="213" t="s">
        <v>41</v>
      </c>
      <c r="C103" s="206" t="s">
        <v>412</v>
      </c>
      <c r="D103" s="7">
        <f t="shared" si="3"/>
        <v>8.3333333333333329E-2</v>
      </c>
      <c r="E103" s="7">
        <f t="shared" si="4"/>
        <v>4.878048780487805E-2</v>
      </c>
      <c r="F103" s="7">
        <f t="shared" si="5"/>
        <v>2.8571428571428571E-2</v>
      </c>
      <c r="G103" s="7">
        <f t="shared" si="6"/>
        <v>2.1052631578947368E-2</v>
      </c>
      <c r="H103" s="7">
        <f t="shared" si="7"/>
        <v>1.9417475728155338E-2</v>
      </c>
    </row>
    <row r="104" spans="2:8" x14ac:dyDescent="0.25">
      <c r="B104" s="213" t="s">
        <v>41</v>
      </c>
      <c r="C104" s="206" t="s">
        <v>176</v>
      </c>
      <c r="D104" s="7">
        <f t="shared" si="3"/>
        <v>0</v>
      </c>
      <c r="E104" s="7">
        <f t="shared" si="4"/>
        <v>4.878048780487805E-2</v>
      </c>
      <c r="F104" s="7">
        <f t="shared" si="5"/>
        <v>2.8571428571428571E-2</v>
      </c>
      <c r="G104" s="7">
        <f t="shared" si="6"/>
        <v>2.1052631578947368E-2</v>
      </c>
      <c r="H104" s="7">
        <f t="shared" si="7"/>
        <v>1.9417475728155338E-2</v>
      </c>
    </row>
    <row r="105" spans="2:8" x14ac:dyDescent="0.25">
      <c r="B105" s="213" t="s">
        <v>227</v>
      </c>
      <c r="C105" s="206" t="s">
        <v>242</v>
      </c>
      <c r="D105" s="7">
        <f t="shared" si="3"/>
        <v>0</v>
      </c>
      <c r="E105" s="7">
        <f t="shared" si="4"/>
        <v>0</v>
      </c>
      <c r="F105" s="7">
        <f t="shared" si="5"/>
        <v>0</v>
      </c>
      <c r="G105" s="7">
        <f t="shared" si="6"/>
        <v>0</v>
      </c>
      <c r="H105" s="7">
        <f t="shared" si="7"/>
        <v>1.9417475728155338E-2</v>
      </c>
    </row>
    <row r="106" spans="2:8" x14ac:dyDescent="0.25">
      <c r="B106" s="213" t="s">
        <v>143</v>
      </c>
      <c r="C106" s="206" t="s">
        <v>362</v>
      </c>
      <c r="D106" s="7">
        <f t="shared" si="3"/>
        <v>8.3333333333333329E-2</v>
      </c>
      <c r="E106" s="7">
        <f t="shared" si="4"/>
        <v>4.878048780487805E-2</v>
      </c>
      <c r="F106" s="7">
        <f t="shared" si="5"/>
        <v>2.8571428571428571E-2</v>
      </c>
      <c r="G106" s="7">
        <f t="shared" si="6"/>
        <v>2.1052631578947368E-2</v>
      </c>
      <c r="H106" s="7">
        <f t="shared" si="7"/>
        <v>1.9417475728155338E-2</v>
      </c>
    </row>
    <row r="107" spans="2:8" ht="26.4" x14ac:dyDescent="0.25">
      <c r="B107" s="213" t="s">
        <v>143</v>
      </c>
      <c r="C107" s="206" t="s">
        <v>363</v>
      </c>
      <c r="D107" s="7">
        <f t="shared" si="3"/>
        <v>8.3333333333333329E-2</v>
      </c>
      <c r="E107" s="7">
        <f t="shared" si="4"/>
        <v>4.878048780487805E-2</v>
      </c>
      <c r="F107" s="7">
        <f t="shared" si="5"/>
        <v>2.8571428571428571E-2</v>
      </c>
      <c r="G107" s="7">
        <f t="shared" si="6"/>
        <v>2.1052631578947368E-2</v>
      </c>
      <c r="H107" s="7">
        <f t="shared" si="7"/>
        <v>1.9417475728155338E-2</v>
      </c>
    </row>
    <row r="108" spans="2:8" x14ac:dyDescent="0.25">
      <c r="B108" s="213" t="s">
        <v>643</v>
      </c>
      <c r="C108" s="206" t="s">
        <v>414</v>
      </c>
      <c r="D108" s="7">
        <f t="shared" si="3"/>
        <v>8.3333333333333329E-2</v>
      </c>
      <c r="E108" s="7">
        <f t="shared" si="4"/>
        <v>4.878048780487805E-2</v>
      </c>
      <c r="F108" s="7">
        <f t="shared" si="5"/>
        <v>2.8571428571428571E-2</v>
      </c>
      <c r="G108" s="7">
        <f t="shared" si="6"/>
        <v>2.1052631578947368E-2</v>
      </c>
      <c r="H108" s="7">
        <f t="shared" si="7"/>
        <v>1.9417475728155338E-2</v>
      </c>
    </row>
    <row r="109" spans="2:8" x14ac:dyDescent="0.25">
      <c r="B109" s="213" t="s">
        <v>643</v>
      </c>
      <c r="C109" s="206" t="s">
        <v>475</v>
      </c>
      <c r="D109" s="7">
        <f t="shared" si="3"/>
        <v>8.3333333333333329E-2</v>
      </c>
      <c r="E109" s="7">
        <f t="shared" si="4"/>
        <v>4.878048780487805E-2</v>
      </c>
      <c r="F109" s="7">
        <f t="shared" si="5"/>
        <v>2.8571428571428571E-2</v>
      </c>
      <c r="G109" s="7">
        <f t="shared" si="6"/>
        <v>2.1052631578947368E-2</v>
      </c>
      <c r="H109" s="7">
        <f t="shared" si="7"/>
        <v>1.9417475728155338E-2</v>
      </c>
    </row>
    <row r="110" spans="2:8" x14ac:dyDescent="0.25">
      <c r="B110" s="213" t="s">
        <v>643</v>
      </c>
      <c r="C110" s="206" t="s">
        <v>592</v>
      </c>
      <c r="D110" s="7">
        <f t="shared" si="3"/>
        <v>8.3333333333333329E-2</v>
      </c>
      <c r="E110" s="7">
        <f t="shared" si="4"/>
        <v>4.878048780487805E-2</v>
      </c>
      <c r="F110" s="7">
        <f t="shared" si="5"/>
        <v>2.8571428571428571E-2</v>
      </c>
      <c r="G110" s="7">
        <f t="shared" si="6"/>
        <v>2.1052631578947368E-2</v>
      </c>
      <c r="H110" s="7">
        <f t="shared" si="7"/>
        <v>1.9417475728155338E-2</v>
      </c>
    </row>
    <row r="111" spans="2:8" x14ac:dyDescent="0.25">
      <c r="B111" s="213" t="s">
        <v>643</v>
      </c>
      <c r="C111" s="206" t="s">
        <v>593</v>
      </c>
      <c r="D111" s="7">
        <f t="shared" si="3"/>
        <v>8.3333333333333329E-2</v>
      </c>
      <c r="E111" s="7">
        <f t="shared" si="4"/>
        <v>4.878048780487805E-2</v>
      </c>
      <c r="F111" s="7">
        <f t="shared" si="5"/>
        <v>2.8571428571428571E-2</v>
      </c>
      <c r="G111" s="7">
        <f t="shared" si="6"/>
        <v>2.1052631578947368E-2</v>
      </c>
      <c r="H111" s="7">
        <f t="shared" si="7"/>
        <v>1.9417475728155338E-2</v>
      </c>
    </row>
    <row r="112" spans="2:8" x14ac:dyDescent="0.25">
      <c r="B112" s="213" t="s">
        <v>643</v>
      </c>
      <c r="C112" s="111" t="s">
        <v>640</v>
      </c>
      <c r="D112" s="7">
        <f t="shared" si="3"/>
        <v>8.3333333333333329E-2</v>
      </c>
      <c r="E112" s="7">
        <f t="shared" si="4"/>
        <v>4.878048780487805E-2</v>
      </c>
      <c r="F112" s="7">
        <f t="shared" si="5"/>
        <v>2.8571428571428571E-2</v>
      </c>
      <c r="G112" s="7">
        <f t="shared" si="6"/>
        <v>2.1052631578947368E-2</v>
      </c>
      <c r="H112" s="7">
        <f t="shared" si="7"/>
        <v>1.9417475728155338E-2</v>
      </c>
    </row>
    <row r="113" spans="2:8" x14ac:dyDescent="0.25">
      <c r="B113" s="213" t="s">
        <v>643</v>
      </c>
      <c r="C113" s="111" t="s">
        <v>641</v>
      </c>
      <c r="D113" s="7">
        <f t="shared" si="3"/>
        <v>0</v>
      </c>
      <c r="E113" s="7">
        <f t="shared" si="4"/>
        <v>0</v>
      </c>
      <c r="F113" s="7">
        <f t="shared" si="5"/>
        <v>2.8571428571428571E-2</v>
      </c>
      <c r="G113" s="7">
        <f t="shared" si="6"/>
        <v>2.1052631578947368E-2</v>
      </c>
      <c r="H113" s="7">
        <f t="shared" si="7"/>
        <v>1.9417475728155338E-2</v>
      </c>
    </row>
    <row r="114" spans="2:8" x14ac:dyDescent="0.25">
      <c r="B114" s="213" t="s">
        <v>643</v>
      </c>
      <c r="C114" s="206" t="s">
        <v>185</v>
      </c>
      <c r="D114" s="7">
        <f t="shared" si="3"/>
        <v>0</v>
      </c>
      <c r="E114" s="7">
        <f t="shared" si="4"/>
        <v>4.878048780487805E-2</v>
      </c>
      <c r="F114" s="7">
        <f t="shared" si="5"/>
        <v>2.8571428571428571E-2</v>
      </c>
      <c r="G114" s="7">
        <f t="shared" si="6"/>
        <v>2.1052631578947368E-2</v>
      </c>
      <c r="H114" s="7">
        <f t="shared" si="7"/>
        <v>1.9417475728155338E-2</v>
      </c>
    </row>
    <row r="115" spans="2:8" x14ac:dyDescent="0.25">
      <c r="B115" s="213" t="s">
        <v>643</v>
      </c>
      <c r="C115" s="206" t="s">
        <v>186</v>
      </c>
      <c r="D115" s="7">
        <f t="shared" si="3"/>
        <v>0</v>
      </c>
      <c r="E115" s="7">
        <f t="shared" si="4"/>
        <v>4.878048780487805E-2</v>
      </c>
      <c r="F115" s="7">
        <f t="shared" si="5"/>
        <v>2.8571428571428571E-2</v>
      </c>
      <c r="G115" s="7">
        <f t="shared" si="6"/>
        <v>2.1052631578947368E-2</v>
      </c>
      <c r="H115" s="7">
        <f t="shared" si="7"/>
        <v>1.9417475728155338E-2</v>
      </c>
    </row>
    <row r="116" spans="2:8" x14ac:dyDescent="0.25">
      <c r="B116" s="213" t="s">
        <v>643</v>
      </c>
      <c r="C116" s="111" t="s">
        <v>644</v>
      </c>
      <c r="D116" s="7">
        <f t="shared" si="3"/>
        <v>0</v>
      </c>
      <c r="E116" s="7">
        <f t="shared" si="4"/>
        <v>2.4390243902439025E-2</v>
      </c>
      <c r="F116" s="7">
        <f t="shared" si="5"/>
        <v>1.4285714285714285E-2</v>
      </c>
      <c r="G116" s="7">
        <f t="shared" si="6"/>
        <v>2.1052631578947368E-2</v>
      </c>
      <c r="H116" s="7">
        <f t="shared" si="7"/>
        <v>1.9417475728155338E-2</v>
      </c>
    </row>
    <row r="117" spans="2:8" x14ac:dyDescent="0.25">
      <c r="B117" s="213" t="s">
        <v>643</v>
      </c>
      <c r="C117" s="206" t="s">
        <v>189</v>
      </c>
      <c r="D117" s="7">
        <f t="shared" si="3"/>
        <v>0</v>
      </c>
      <c r="E117" s="7">
        <f t="shared" si="4"/>
        <v>2.4390243902439025E-2</v>
      </c>
      <c r="F117" s="7">
        <f t="shared" si="5"/>
        <v>2.8571428571428571E-2</v>
      </c>
      <c r="G117" s="7">
        <f t="shared" si="6"/>
        <v>2.1052631578947368E-2</v>
      </c>
      <c r="H117" s="7">
        <f t="shared" si="7"/>
        <v>1.9417475728155338E-2</v>
      </c>
    </row>
    <row r="118" spans="2:8" x14ac:dyDescent="0.25">
      <c r="B118" s="150" t="s">
        <v>56</v>
      </c>
      <c r="C118" s="206" t="s">
        <v>383</v>
      </c>
      <c r="D118" s="7">
        <f t="shared" si="3"/>
        <v>0</v>
      </c>
      <c r="E118" s="7">
        <f t="shared" si="4"/>
        <v>0</v>
      </c>
      <c r="F118" s="7">
        <f t="shared" si="5"/>
        <v>2.8571428571428571E-2</v>
      </c>
      <c r="G118" s="7">
        <f t="shared" si="6"/>
        <v>2.1052631578947368E-2</v>
      </c>
      <c r="H118" s="7">
        <f t="shared" si="7"/>
        <v>1.9417475728155338E-2</v>
      </c>
    </row>
    <row r="119" spans="2:8" x14ac:dyDescent="0.25">
      <c r="B119" s="213" t="s">
        <v>56</v>
      </c>
      <c r="C119" s="206" t="s">
        <v>385</v>
      </c>
      <c r="D119" s="7">
        <f t="shared" si="3"/>
        <v>0</v>
      </c>
      <c r="E119" s="7">
        <f t="shared" si="4"/>
        <v>0</v>
      </c>
      <c r="F119" s="7">
        <f t="shared" si="5"/>
        <v>1.4285714285714285E-2</v>
      </c>
      <c r="G119" s="7">
        <f t="shared" si="6"/>
        <v>2.1052631578947368E-2</v>
      </c>
      <c r="H119" s="7">
        <f t="shared" si="7"/>
        <v>1.9417475728155338E-2</v>
      </c>
    </row>
    <row r="120" spans="2:8" x14ac:dyDescent="0.25">
      <c r="B120" s="213" t="s">
        <v>56</v>
      </c>
      <c r="C120" s="206" t="s">
        <v>235</v>
      </c>
      <c r="D120" s="7">
        <f t="shared" si="3"/>
        <v>0</v>
      </c>
      <c r="E120" s="7">
        <f t="shared" si="4"/>
        <v>0</v>
      </c>
      <c r="F120" s="7">
        <f t="shared" si="5"/>
        <v>0</v>
      </c>
      <c r="G120" s="7">
        <f t="shared" si="6"/>
        <v>2.1052631578947368E-2</v>
      </c>
      <c r="H120" s="7">
        <f t="shared" si="7"/>
        <v>1.9417475728155338E-2</v>
      </c>
    </row>
    <row r="121" spans="2:8" x14ac:dyDescent="0.25">
      <c r="B121" s="213" t="s">
        <v>59</v>
      </c>
      <c r="C121" s="206" t="s">
        <v>237</v>
      </c>
      <c r="D121" s="7">
        <f t="shared" si="3"/>
        <v>0</v>
      </c>
      <c r="E121" s="7">
        <f t="shared" si="4"/>
        <v>0</v>
      </c>
      <c r="F121" s="7">
        <f t="shared" si="5"/>
        <v>0</v>
      </c>
      <c r="G121" s="7">
        <f t="shared" si="6"/>
        <v>2.1052631578947368E-2</v>
      </c>
      <c r="H121" s="7">
        <f t="shared" si="7"/>
        <v>1.9417475728155338E-2</v>
      </c>
    </row>
    <row r="122" spans="2:8" x14ac:dyDescent="0.25">
      <c r="B122" s="213" t="s">
        <v>56</v>
      </c>
      <c r="C122" s="206" t="s">
        <v>67</v>
      </c>
      <c r="D122" s="7">
        <f t="shared" si="3"/>
        <v>0</v>
      </c>
      <c r="E122" s="7">
        <f t="shared" si="4"/>
        <v>0</v>
      </c>
      <c r="F122" s="7">
        <f t="shared" ref="F122:F123" si="8">IF(F60="M",$N$7,IF(F60="O",$O$7,IF(LEFT(F60)="D",P$7,0)))</f>
        <v>2.8571428571428571E-2</v>
      </c>
      <c r="G122" s="7">
        <f t="shared" si="6"/>
        <v>2.1052631578947368E-2</v>
      </c>
      <c r="H122" s="7">
        <f t="shared" si="7"/>
        <v>1.9417475728155338E-2</v>
      </c>
    </row>
    <row r="123" spans="2:8" ht="13.8" thickBot="1" x14ac:dyDescent="0.3">
      <c r="B123" s="214" t="s">
        <v>55</v>
      </c>
      <c r="C123" s="206" t="s">
        <v>1</v>
      </c>
      <c r="D123" s="7">
        <f t="shared" si="3"/>
        <v>0</v>
      </c>
      <c r="E123" s="7">
        <f t="shared" si="4"/>
        <v>0</v>
      </c>
      <c r="F123" s="7">
        <f t="shared" si="8"/>
        <v>2.8571428571428571E-2</v>
      </c>
      <c r="G123" s="7">
        <f t="shared" si="6"/>
        <v>2.1052631578947368E-2</v>
      </c>
      <c r="H123" s="7">
        <f t="shared" si="7"/>
        <v>1.9417475728155338E-2</v>
      </c>
    </row>
    <row r="124" spans="2:8" x14ac:dyDescent="0.25">
      <c r="D124" s="75">
        <f>SUM(D66:D123)</f>
        <v>1</v>
      </c>
      <c r="E124" s="75">
        <f t="shared" ref="E124:H124" si="9">SUM(E66:E123)</f>
        <v>1.0000000000000004</v>
      </c>
      <c r="F124" s="75">
        <f t="shared" si="9"/>
        <v>1</v>
      </c>
      <c r="G124" s="75">
        <f t="shared" si="9"/>
        <v>0.99999999999999911</v>
      </c>
      <c r="H124" s="75">
        <f t="shared" si="9"/>
        <v>0.99999999999999967</v>
      </c>
    </row>
  </sheetData>
  <autoFilter ref="A2:P61"/>
  <customSheetViews>
    <customSheetView guid="{6D9FC8F7-6352-4BF1-890A-27BF36FADC03}" showGridLines="0" showAutoFilter="1">
      <selection activeCell="C4" sqref="C4"/>
      <pageMargins left="0.7" right="0.7" top="0.75" bottom="0.75" header="0.3" footer="0.3"/>
      <pageSetup orientation="portrait" r:id="rId1"/>
      <autoFilter ref="A2:P61"/>
    </customSheetView>
    <customSheetView guid="{040B64FF-F135-4C7F-9498-A8399C10673D}" scale="85" showGridLines="0" showAutoFilter="1" topLeftCell="A26">
      <selection activeCell="D4" sqref="D4:H61"/>
      <pageMargins left="0.7" right="0.7" top="0.75" bottom="0.75" header="0.3" footer="0.3"/>
      <pageSetup orientation="portrait" r:id="rId2"/>
      <autoFilter ref="A2:P59"/>
    </customSheetView>
    <customSheetView guid="{3F51B73C-8999-4BDD-B7BB-CFA8C5D5F118}" showGridLines="0" showAutoFilter="1">
      <selection activeCell="C4" sqref="C4"/>
      <pageMargins left="0.7" right="0.7" top="0.75" bottom="0.75" header="0.3" footer="0.3"/>
      <pageSetup orientation="portrait" r:id="rId3"/>
      <autoFilter ref="A2:P58"/>
    </customSheetView>
    <customSheetView guid="{61959E49-C4BC-41CB-B0BE-7EDA73DE356A}" showGridLines="0" topLeftCell="A37">
      <selection activeCell="F59" sqref="F59"/>
      <pageMargins left="0.7" right="0.7" top="0.75" bottom="0.75" header="0.3" footer="0.3"/>
      <pageSetup orientation="portrait" r:id="rId4"/>
    </customSheetView>
    <customSheetView guid="{9F775BAE-2403-40FE-95E3-B0411D9A7170}" showGridLines="0">
      <selection activeCell="W1" sqref="W1:X1048576"/>
      <pageMargins left="0.7" right="0.7" top="0.75" bottom="0.75" header="0.3" footer="0.3"/>
      <pageSetup orientation="portrait" r:id="rId5"/>
    </customSheetView>
    <customSheetView guid="{B9E7682A-072E-4CF9-AE10-B3ED27CB27F8}" showGridLines="0">
      <selection activeCell="W1" sqref="W1:X1048576"/>
      <pageMargins left="0.7" right="0.7" top="0.75" bottom="0.75" header="0.3" footer="0.3"/>
      <pageSetup orientation="portrait" r:id="rId6"/>
    </customSheetView>
    <customSheetView guid="{3BEDB203-29A8-4A82-B140-5CE8D0753F8B}" scale="85" showGridLines="0" showAutoFilter="1" topLeftCell="A26">
      <selection activeCell="D4" sqref="D4:H61"/>
      <pageMargins left="0.7" right="0.7" top="0.75" bottom="0.75" header="0.3" footer="0.3"/>
      <pageSetup orientation="portrait" r:id="rId7"/>
      <autoFilter ref="A2:P59"/>
    </customSheetView>
  </customSheetViews>
  <mergeCells count="10">
    <mergeCell ref="R19:S20"/>
    <mergeCell ref="L3:L4"/>
    <mergeCell ref="M3:M4"/>
    <mergeCell ref="J12:P14"/>
    <mergeCell ref="B63:H63"/>
    <mergeCell ref="J21:J25"/>
    <mergeCell ref="B1:H1"/>
    <mergeCell ref="J3:J4"/>
    <mergeCell ref="K3:K4"/>
    <mergeCell ref="J19:K20"/>
  </mergeCells>
  <conditionalFormatting sqref="C25">
    <cfRule type="duplicateValues" dxfId="415" priority="13"/>
  </conditionalFormatting>
  <conditionalFormatting sqref="C26">
    <cfRule type="duplicateValues" dxfId="414" priority="12"/>
  </conditionalFormatting>
  <conditionalFormatting sqref="C51">
    <cfRule type="duplicateValues" dxfId="413" priority="7"/>
  </conditionalFormatting>
  <conditionalFormatting sqref="C52:C61 C27:C50 C4:C8 C10:C24">
    <cfRule type="duplicateValues" dxfId="412" priority="84"/>
  </conditionalFormatting>
  <conditionalFormatting sqref="C87">
    <cfRule type="duplicateValues" dxfId="411" priority="5"/>
  </conditionalFormatting>
  <conditionalFormatting sqref="C88">
    <cfRule type="duplicateValues" dxfId="410" priority="4"/>
  </conditionalFormatting>
  <conditionalFormatting sqref="C71">
    <cfRule type="duplicateValues" dxfId="409" priority="3"/>
  </conditionalFormatting>
  <conditionalFormatting sqref="C113">
    <cfRule type="duplicateValues" dxfId="408" priority="2"/>
  </conditionalFormatting>
  <conditionalFormatting sqref="C114:C123 C89:C112 C66:C70 C72:C86">
    <cfRule type="duplicateValues" dxfId="407" priority="6"/>
  </conditionalFormatting>
  <conditionalFormatting sqref="C9">
    <cfRule type="duplicateValues" dxfId="406" priority="1"/>
  </conditionalFormatting>
  <pageMargins left="0.7" right="0.7" top="0.75" bottom="0.75" header="0.3" footer="0.3"/>
  <pageSetup orientation="portrait" r:id="rId8"/>
  <legacyDrawing r:id="rId9"/>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theme="7" tint="0.79998168889431442"/>
    <pageSetUpPr fitToPage="1"/>
  </sheetPr>
  <dimension ref="A1:AN198"/>
  <sheetViews>
    <sheetView showGridLines="0" topLeftCell="K1" zoomScaleNormal="100" workbookViewId="0">
      <selection activeCell="P51" sqref="P5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bestFit="1" customWidth="1"/>
    <col min="12" max="12" width="6.44140625" bestFit="1" customWidth="1"/>
    <col min="13" max="13" width="7.88671875" bestFit="1" customWidth="1"/>
    <col min="14" max="14" width="18.44140625" bestFit="1" customWidth="1"/>
    <col min="15" max="15" width="46.5546875" customWidth="1"/>
    <col min="16" max="16" width="27.5546875" style="181" customWidth="1"/>
    <col min="17" max="17" width="24.88671875" style="181" customWidth="1"/>
    <col min="18" max="18" width="26.109375" style="181" customWidth="1"/>
    <col min="19" max="19" width="12.6640625" bestFit="1" customWidth="1"/>
    <col min="20" max="20" width="12.5546875" customWidth="1"/>
    <col min="21" max="21" width="11" bestFit="1" customWidth="1"/>
    <col min="22" max="22" width="10.44140625" bestFit="1" customWidth="1"/>
    <col min="23" max="23" width="23.44140625" bestFit="1" customWidth="1"/>
    <col min="24" max="24" width="22.88671875" bestFit="1" customWidth="1"/>
    <col min="25" max="25" width="42.33203125" bestFit="1" customWidth="1"/>
    <col min="26" max="26" width="16.5546875" bestFit="1" customWidth="1"/>
    <col min="27" max="36" width="11" bestFit="1" customWidth="1"/>
    <col min="41" max="16384" width="9.109375" style="3"/>
  </cols>
  <sheetData>
    <row r="1" spans="1:36" ht="12.75" customHeight="1" x14ac:dyDescent="0.45">
      <c r="A1" s="375" t="s">
        <v>82</v>
      </c>
      <c r="B1" s="376"/>
      <c r="C1" s="376"/>
      <c r="D1" s="376"/>
      <c r="E1" s="376"/>
      <c r="F1" s="376"/>
      <c r="G1" s="376"/>
      <c r="H1" s="376"/>
      <c r="K1" s="360" t="s">
        <v>565</v>
      </c>
      <c r="L1" s="361"/>
      <c r="M1" s="361"/>
      <c r="N1" s="361"/>
      <c r="O1" s="361"/>
      <c r="P1" s="361"/>
      <c r="Q1" s="361"/>
      <c r="R1" s="361"/>
      <c r="S1" s="361"/>
      <c r="T1" s="361"/>
      <c r="U1" s="361"/>
      <c r="V1" s="361"/>
      <c r="W1" s="361"/>
      <c r="X1" s="361"/>
      <c r="Y1" s="153"/>
      <c r="Z1" s="146"/>
      <c r="AA1" s="153"/>
      <c r="AB1" s="153"/>
      <c r="AC1" s="153"/>
      <c r="AD1" s="153"/>
      <c r="AE1" s="153"/>
      <c r="AF1" s="153"/>
      <c r="AG1" s="153"/>
      <c r="AH1" s="153"/>
      <c r="AI1" s="153"/>
      <c r="AJ1" s="153"/>
    </row>
    <row r="2" spans="1:36" ht="27.6" x14ac:dyDescent="0.3">
      <c r="A2" s="70" t="s">
        <v>357</v>
      </c>
      <c r="B2" s="58"/>
      <c r="C2" s="3"/>
      <c r="D2" s="3"/>
      <c r="E2" s="3"/>
      <c r="F2" s="3"/>
      <c r="G2" s="3"/>
      <c r="H2" s="3"/>
      <c r="K2" s="157" t="s">
        <v>132</v>
      </c>
      <c r="L2" s="157" t="s">
        <v>91</v>
      </c>
      <c r="M2" s="369" t="s">
        <v>75</v>
      </c>
      <c r="N2" s="377" t="s">
        <v>133</v>
      </c>
      <c r="O2" s="157" t="s">
        <v>134</v>
      </c>
      <c r="P2" s="244" t="s">
        <v>135</v>
      </c>
      <c r="Q2" s="244" t="s">
        <v>136</v>
      </c>
      <c r="R2" s="244" t="s">
        <v>137</v>
      </c>
      <c r="S2" s="156" t="s">
        <v>138</v>
      </c>
      <c r="T2" s="156" t="s">
        <v>334</v>
      </c>
      <c r="U2" s="156" t="s">
        <v>332</v>
      </c>
      <c r="V2" s="156" t="s">
        <v>333</v>
      </c>
      <c r="W2" s="156" t="s">
        <v>365</v>
      </c>
      <c r="X2" s="156" t="s">
        <v>366</v>
      </c>
      <c r="Y2" s="144" t="s">
        <v>139</v>
      </c>
      <c r="Z2" s="373" t="s">
        <v>598</v>
      </c>
      <c r="AA2" s="359" t="s">
        <v>597</v>
      </c>
      <c r="AB2" s="359"/>
      <c r="AC2" s="359" t="s">
        <v>599</v>
      </c>
      <c r="AD2" s="359"/>
      <c r="AE2" s="359" t="s">
        <v>600</v>
      </c>
      <c r="AF2" s="359"/>
      <c r="AG2" s="359" t="s">
        <v>601</v>
      </c>
      <c r="AH2" s="359"/>
      <c r="AI2" s="359" t="s">
        <v>602</v>
      </c>
      <c r="AJ2" s="359"/>
    </row>
    <row r="3" spans="1:36" ht="12.75" customHeight="1" x14ac:dyDescent="0.3">
      <c r="A3" s="70" t="s">
        <v>337</v>
      </c>
      <c r="B3" s="90"/>
      <c r="C3" s="96"/>
      <c r="D3" s="3"/>
      <c r="E3" s="3"/>
      <c r="F3" s="3"/>
      <c r="G3" s="3"/>
      <c r="H3" s="3"/>
      <c r="K3" s="158"/>
      <c r="L3" s="158"/>
      <c r="M3" s="370"/>
      <c r="N3" s="372"/>
      <c r="O3" s="158"/>
      <c r="P3" s="186" t="s">
        <v>140</v>
      </c>
      <c r="Q3" s="242"/>
      <c r="R3" s="242"/>
      <c r="S3" s="156"/>
      <c r="T3" s="156"/>
      <c r="U3" s="156"/>
      <c r="V3" s="156"/>
      <c r="W3" s="156"/>
      <c r="X3" s="156"/>
      <c r="Y3" s="145"/>
      <c r="Z3" s="374"/>
      <c r="AA3" s="152" t="s">
        <v>603</v>
      </c>
      <c r="AB3" s="152" t="s">
        <v>604</v>
      </c>
      <c r="AC3" s="152" t="s">
        <v>603</v>
      </c>
      <c r="AD3" s="152" t="s">
        <v>604</v>
      </c>
      <c r="AE3" s="152" t="s">
        <v>603</v>
      </c>
      <c r="AF3" s="152" t="s">
        <v>604</v>
      </c>
      <c r="AG3" s="152" t="s">
        <v>603</v>
      </c>
      <c r="AH3" s="152" t="s">
        <v>604</v>
      </c>
      <c r="AI3" s="152" t="s">
        <v>603</v>
      </c>
      <c r="AJ3" s="152" t="s">
        <v>604</v>
      </c>
    </row>
    <row r="4" spans="1:36" x14ac:dyDescent="0.3">
      <c r="A4" s="70" t="s">
        <v>358</v>
      </c>
      <c r="B4" s="95"/>
      <c r="C4" s="3"/>
      <c r="D4" s="3"/>
      <c r="E4" s="3"/>
      <c r="F4" s="3"/>
      <c r="G4" s="3"/>
      <c r="H4" s="3"/>
      <c r="K4" s="160" t="s">
        <v>141</v>
      </c>
      <c r="L4" s="160" t="s">
        <v>142</v>
      </c>
      <c r="M4" s="76" t="s">
        <v>5</v>
      </c>
      <c r="N4" s="67" t="s">
        <v>143</v>
      </c>
      <c r="O4" s="62" t="s">
        <v>362</v>
      </c>
      <c r="P4" s="229" t="s">
        <v>144</v>
      </c>
      <c r="Q4" s="229" t="s">
        <v>145</v>
      </c>
      <c r="R4" s="227" t="s">
        <v>146</v>
      </c>
      <c r="S4" s="35" t="s">
        <v>564</v>
      </c>
      <c r="T4" s="58" t="s">
        <v>72</v>
      </c>
      <c r="U4" s="250">
        <v>44041.194444444445</v>
      </c>
      <c r="V4" s="58" t="s">
        <v>364</v>
      </c>
      <c r="W4" s="58"/>
      <c r="X4" s="58"/>
      <c r="Y4" s="140" t="s">
        <v>147</v>
      </c>
      <c r="Z4" s="142">
        <f>DATEDIF(AA4,AB4,"m")/12+DATEDIF(AC4,AD4,"m")/12+DATEDIF(AE4,AF4,"m")/12+DATEDIF(AG4,AH4,"m")/12+DATEDIF(AI4,AJ4,"m")/12</f>
        <v>0</v>
      </c>
      <c r="AA4" s="143"/>
      <c r="AB4" s="143"/>
      <c r="AC4" s="143"/>
      <c r="AD4" s="143"/>
      <c r="AE4" s="141"/>
      <c r="AF4" s="141"/>
      <c r="AG4" s="141"/>
      <c r="AH4" s="141"/>
      <c r="AI4" s="141"/>
      <c r="AJ4" s="141"/>
    </row>
    <row r="5" spans="1:36" ht="12.75" customHeight="1" x14ac:dyDescent="0.3">
      <c r="A5" s="70" t="s">
        <v>377</v>
      </c>
      <c r="B5" s="95"/>
      <c r="C5" s="97"/>
      <c r="D5" s="3"/>
      <c r="E5" s="3"/>
      <c r="F5" s="3"/>
      <c r="G5" s="3"/>
      <c r="H5" s="3"/>
      <c r="K5" s="161"/>
      <c r="L5" s="161"/>
      <c r="M5" s="76" t="s">
        <v>5</v>
      </c>
      <c r="N5" s="67" t="s">
        <v>143</v>
      </c>
      <c r="O5" s="62" t="s">
        <v>363</v>
      </c>
      <c r="P5" s="102"/>
      <c r="Q5" s="245" t="s">
        <v>149</v>
      </c>
      <c r="R5" s="228" t="s">
        <v>150</v>
      </c>
      <c r="S5" s="35" t="s">
        <v>564</v>
      </c>
      <c r="T5" s="58" t="s">
        <v>72</v>
      </c>
      <c r="U5" s="58"/>
      <c r="V5" s="58" t="s">
        <v>364</v>
      </c>
      <c r="W5" s="58"/>
      <c r="X5" s="58"/>
      <c r="Y5" s="166"/>
      <c r="Z5" s="142">
        <f t="shared" ref="Z5:Z14" ca="1" si="0">DATEDIF(AA5,AB5,"m")/12+DATEDIF(AC5,AD5,"m")/12+DATEDIF(AE5,AF5,"m")/12+DATEDIF(AG5,AH5,"m")/12+DATEDIF(AI5,AJ5,"m")/12</f>
        <v>1.1666666666666667</v>
      </c>
      <c r="AA5" s="143">
        <v>43796</v>
      </c>
      <c r="AB5" s="143">
        <f ca="1">TODAY()</f>
        <v>44232</v>
      </c>
      <c r="AC5" s="143"/>
      <c r="AD5" s="143"/>
      <c r="AE5" s="141"/>
      <c r="AF5" s="141"/>
      <c r="AG5" s="141"/>
      <c r="AH5" s="141"/>
      <c r="AI5" s="141"/>
      <c r="AJ5" s="141"/>
    </row>
    <row r="6" spans="1:36" ht="15" thickBot="1" x14ac:dyDescent="0.35">
      <c r="A6" s="70" t="s">
        <v>378</v>
      </c>
      <c r="B6" s="95"/>
      <c r="C6" s="97"/>
      <c r="K6" s="161"/>
      <c r="L6" s="161"/>
      <c r="M6" s="76" t="s">
        <v>5</v>
      </c>
      <c r="N6" s="36" t="s">
        <v>148</v>
      </c>
      <c r="O6" s="50" t="s">
        <v>148</v>
      </c>
      <c r="P6" s="102"/>
      <c r="Q6" s="190" t="s">
        <v>149</v>
      </c>
      <c r="R6" s="191" t="s">
        <v>150</v>
      </c>
      <c r="S6" s="35" t="s">
        <v>564</v>
      </c>
      <c r="T6" s="58" t="s">
        <v>72</v>
      </c>
      <c r="U6" s="58"/>
      <c r="V6" s="58" t="s">
        <v>364</v>
      </c>
      <c r="W6" s="58"/>
      <c r="X6" s="58"/>
      <c r="Y6" s="37" t="s">
        <v>151</v>
      </c>
      <c r="Z6" s="142">
        <f t="shared" ca="1" si="0"/>
        <v>1.1666666666666667</v>
      </c>
      <c r="AA6" s="143">
        <v>43796</v>
      </c>
      <c r="AB6" s="143">
        <f ca="1">TODAY()</f>
        <v>44232</v>
      </c>
      <c r="AC6" s="143"/>
      <c r="AD6" s="143"/>
      <c r="AE6" s="141"/>
      <c r="AF6" s="141"/>
      <c r="AG6" s="141"/>
      <c r="AH6" s="141"/>
      <c r="AI6" s="141"/>
      <c r="AJ6" s="141"/>
    </row>
    <row r="7" spans="1:36" ht="28.2" thickBot="1" x14ac:dyDescent="0.35">
      <c r="A7" s="91" t="s">
        <v>4</v>
      </c>
      <c r="B7" s="92" t="s">
        <v>134</v>
      </c>
      <c r="C7" s="77" t="s">
        <v>5</v>
      </c>
      <c r="D7" s="77" t="s">
        <v>6</v>
      </c>
      <c r="E7" s="77" t="s">
        <v>7</v>
      </c>
      <c r="F7" s="77" t="s">
        <v>8</v>
      </c>
      <c r="G7" s="77" t="s">
        <v>9</v>
      </c>
      <c r="H7" s="78" t="s">
        <v>76</v>
      </c>
      <c r="K7" s="161"/>
      <c r="L7" s="161"/>
      <c r="M7" s="76" t="s">
        <v>5</v>
      </c>
      <c r="N7" s="98" t="s">
        <v>143</v>
      </c>
      <c r="O7" s="49" t="s">
        <v>414</v>
      </c>
      <c r="P7" s="102"/>
      <c r="Q7" s="229" t="s">
        <v>152</v>
      </c>
      <c r="R7" s="227" t="s">
        <v>635</v>
      </c>
      <c r="S7" s="35" t="s">
        <v>564</v>
      </c>
      <c r="T7" s="58" t="s">
        <v>72</v>
      </c>
      <c r="U7" s="58"/>
      <c r="V7" s="58"/>
      <c r="W7" s="58"/>
      <c r="X7" s="58"/>
      <c r="Y7" s="165" t="s">
        <v>244</v>
      </c>
      <c r="Z7" s="142">
        <f t="shared" si="0"/>
        <v>0</v>
      </c>
      <c r="AA7" s="143"/>
      <c r="AB7" s="143"/>
      <c r="AC7" s="143"/>
      <c r="AD7" s="143"/>
      <c r="AE7" s="141"/>
      <c r="AF7" s="141"/>
      <c r="AG7" s="141"/>
      <c r="AH7" s="141"/>
      <c r="AI7" s="141"/>
      <c r="AJ7" s="141"/>
    </row>
    <row r="8" spans="1:36" x14ac:dyDescent="0.3">
      <c r="A8" s="210" t="s">
        <v>56</v>
      </c>
      <c r="B8" s="211" t="s">
        <v>180</v>
      </c>
      <c r="C8" s="240"/>
      <c r="D8" s="292"/>
      <c r="E8" s="292"/>
      <c r="F8" s="292"/>
      <c r="G8" s="292"/>
      <c r="H8" s="81" t="b">
        <f>IF(C8&lt;&gt;"",'CBL Score Standard'!$D66,IF(D8&lt;&gt;"",SUM('CBL Score Standard'!$D66:$E66),IF(E8&lt;&gt;"",SUM('CBL Score Standard'!$D66:$F66),IF(F8&lt;&gt;"",SUM('CBL Score Standard'!$D66:$G66),IF(G8&lt;&gt;"",SUM('CBL Score Standard'!$D66:$H66,0))))))</f>
        <v>0</v>
      </c>
      <c r="K8" s="161"/>
      <c r="L8" s="161"/>
      <c r="M8" s="76" t="s">
        <v>5</v>
      </c>
      <c r="N8" s="98" t="s">
        <v>143</v>
      </c>
      <c r="O8" s="38" t="s">
        <v>475</v>
      </c>
      <c r="P8" s="102"/>
      <c r="Q8" s="190" t="s">
        <v>152</v>
      </c>
      <c r="R8" s="191" t="s">
        <v>154</v>
      </c>
      <c r="S8" s="35" t="s">
        <v>564</v>
      </c>
      <c r="T8" s="58" t="s">
        <v>72</v>
      </c>
      <c r="U8" s="58"/>
      <c r="V8" s="58"/>
      <c r="W8" s="58"/>
      <c r="X8" s="58"/>
      <c r="Y8" s="39" t="s">
        <v>155</v>
      </c>
      <c r="Z8" s="142">
        <f t="shared" si="0"/>
        <v>0</v>
      </c>
      <c r="AA8" s="143"/>
      <c r="AB8" s="143"/>
      <c r="AC8" s="143"/>
      <c r="AD8" s="143"/>
      <c r="AE8" s="141"/>
      <c r="AF8" s="141"/>
      <c r="AG8" s="141"/>
      <c r="AH8" s="141"/>
      <c r="AI8" s="141"/>
      <c r="AJ8" s="141"/>
    </row>
    <row r="9" spans="1:36" x14ac:dyDescent="0.3">
      <c r="A9" s="213" t="s">
        <v>56</v>
      </c>
      <c r="B9" s="206" t="s">
        <v>390</v>
      </c>
      <c r="C9" s="240"/>
      <c r="D9" s="292"/>
      <c r="E9" s="292"/>
      <c r="F9" s="292"/>
      <c r="G9" s="292"/>
      <c r="H9" s="81" t="b">
        <f>IF(C9&lt;&gt;"",'CBL Score Standard'!$D67,IF(D9&lt;&gt;"",SUM('CBL Score Standard'!$D67:$E67),IF(E9&lt;&gt;"",SUM('CBL Score Standard'!$D67:$F67),IF(F9&lt;&gt;"",SUM('CBL Score Standard'!$D67:$G67),IF(G9&lt;&gt;"",SUM('CBL Score Standard'!$D67:$H67,0))))))</f>
        <v>0</v>
      </c>
      <c r="K9" s="161"/>
      <c r="L9" s="161"/>
      <c r="M9" s="76" t="s">
        <v>5</v>
      </c>
      <c r="N9" s="98" t="s">
        <v>143</v>
      </c>
      <c r="O9" s="38" t="s">
        <v>592</v>
      </c>
      <c r="P9" s="102"/>
      <c r="Q9" s="190" t="s">
        <v>153</v>
      </c>
      <c r="R9" s="191" t="s">
        <v>156</v>
      </c>
      <c r="S9" s="35" t="s">
        <v>564</v>
      </c>
      <c r="T9" s="58" t="s">
        <v>72</v>
      </c>
      <c r="U9" s="58"/>
      <c r="V9" s="58" t="s">
        <v>364</v>
      </c>
      <c r="W9" s="58"/>
      <c r="X9" s="58"/>
      <c r="Y9" s="37" t="s">
        <v>157</v>
      </c>
      <c r="Z9" s="142">
        <f t="shared" ca="1" si="0"/>
        <v>1.1666666666666667</v>
      </c>
      <c r="AA9" s="143">
        <v>43796</v>
      </c>
      <c r="AB9" s="143">
        <f ca="1">TODAY()</f>
        <v>44232</v>
      </c>
      <c r="AC9" s="143"/>
      <c r="AD9" s="143"/>
      <c r="AE9" s="141"/>
      <c r="AF9" s="141"/>
      <c r="AG9" s="141"/>
      <c r="AH9" s="141"/>
      <c r="AI9" s="141"/>
      <c r="AJ9" s="141"/>
    </row>
    <row r="10" spans="1:36" x14ac:dyDescent="0.3">
      <c r="A10" s="213" t="s">
        <v>56</v>
      </c>
      <c r="B10" s="206" t="s">
        <v>213</v>
      </c>
      <c r="C10" s="240"/>
      <c r="D10" s="240"/>
      <c r="E10" s="292"/>
      <c r="F10" s="292"/>
      <c r="G10" s="292"/>
      <c r="H10" s="81" t="b">
        <f>IF(C10&lt;&gt;"",'CBL Score Standard'!$D68,IF(D10&lt;&gt;"",SUM('CBL Score Standard'!$D68:$E68),IF(E10&lt;&gt;"",SUM('CBL Score Standard'!$D68:$F68),IF(F10&lt;&gt;"",SUM('CBL Score Standard'!$D68:$G68),IF(G10&lt;&gt;"",SUM('CBL Score Standard'!$D68:$H68,0))))))</f>
        <v>0</v>
      </c>
      <c r="K10" s="161"/>
      <c r="L10" s="161"/>
      <c r="M10" s="76" t="s">
        <v>5</v>
      </c>
      <c r="N10" s="98" t="s">
        <v>143</v>
      </c>
      <c r="O10" s="38" t="s">
        <v>593</v>
      </c>
      <c r="P10" s="102"/>
      <c r="Q10" s="232" t="s">
        <v>590</v>
      </c>
      <c r="R10" s="232" t="s">
        <v>274</v>
      </c>
      <c r="S10" s="35"/>
      <c r="T10" s="58" t="s">
        <v>73</v>
      </c>
      <c r="U10" s="58"/>
      <c r="V10" s="58"/>
      <c r="W10" s="58"/>
      <c r="X10" s="58"/>
      <c r="Y10" s="40" t="s">
        <v>158</v>
      </c>
      <c r="Z10" s="142">
        <f t="shared" si="0"/>
        <v>0</v>
      </c>
      <c r="AA10" s="143"/>
      <c r="AB10" s="143"/>
      <c r="AC10" s="143"/>
      <c r="AD10" s="143"/>
      <c r="AE10" s="141"/>
      <c r="AF10" s="141"/>
      <c r="AG10" s="141"/>
      <c r="AH10" s="141"/>
      <c r="AI10" s="141"/>
      <c r="AJ10" s="141"/>
    </row>
    <row r="11" spans="1:36" x14ac:dyDescent="0.3">
      <c r="A11" s="213" t="s">
        <v>63</v>
      </c>
      <c r="B11" s="206" t="s">
        <v>234</v>
      </c>
      <c r="C11" s="240"/>
      <c r="D11" s="240"/>
      <c r="E11" s="240"/>
      <c r="F11" s="292"/>
      <c r="G11" s="292"/>
      <c r="H11" s="81" t="b">
        <f>IF(C11&lt;&gt;"",'CBL Score Standard'!$D69,IF(D11&lt;&gt;"",SUM('CBL Score Standard'!$D69:$E69),IF(E11&lt;&gt;"",SUM('CBL Score Standard'!$D69:$F69),IF(F11&lt;&gt;"",SUM('CBL Score Standard'!$D69:$G69),IF(G11&lt;&gt;"",SUM('CBL Score Standard'!$D69:$H69,0))))))</f>
        <v>0</v>
      </c>
      <c r="K11" s="161"/>
      <c r="L11" s="161"/>
      <c r="M11" s="76" t="s">
        <v>5</v>
      </c>
      <c r="N11" s="35" t="s">
        <v>31</v>
      </c>
      <c r="O11" s="63" t="s">
        <v>173</v>
      </c>
      <c r="P11" s="102"/>
      <c r="Q11" s="188" t="s">
        <v>373</v>
      </c>
      <c r="R11" s="191" t="s">
        <v>174</v>
      </c>
      <c r="S11" s="35" t="s">
        <v>564</v>
      </c>
      <c r="T11" s="58" t="s">
        <v>72</v>
      </c>
      <c r="U11" s="238">
        <v>44029</v>
      </c>
      <c r="V11" s="58" t="s">
        <v>364</v>
      </c>
      <c r="W11" s="58"/>
      <c r="X11" s="58"/>
      <c r="Y11" s="39" t="s">
        <v>175</v>
      </c>
      <c r="Z11" s="142">
        <f t="shared" si="0"/>
        <v>0</v>
      </c>
      <c r="AA11" s="143"/>
      <c r="AB11" s="143"/>
      <c r="AC11" s="143"/>
      <c r="AD11" s="143"/>
      <c r="AE11" s="141"/>
      <c r="AF11" s="141"/>
      <c r="AG11" s="141"/>
      <c r="AH11" s="141"/>
      <c r="AI11" s="141"/>
      <c r="AJ11" s="141"/>
    </row>
    <row r="12" spans="1:36"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K12" s="161"/>
      <c r="L12" s="161"/>
      <c r="M12" s="76" t="s">
        <v>5</v>
      </c>
      <c r="N12" s="98" t="s">
        <v>31</v>
      </c>
      <c r="O12" s="38" t="s">
        <v>591</v>
      </c>
      <c r="P12" s="102"/>
      <c r="Q12" s="190" t="s">
        <v>165</v>
      </c>
      <c r="R12" s="191" t="s">
        <v>166</v>
      </c>
      <c r="S12" s="35" t="s">
        <v>564</v>
      </c>
      <c r="T12" s="58" t="s">
        <v>72</v>
      </c>
      <c r="U12" s="58"/>
      <c r="V12" s="58"/>
      <c r="W12" s="58"/>
      <c r="X12" s="58"/>
      <c r="Y12" s="37"/>
      <c r="Z12" s="142">
        <f t="shared" si="0"/>
        <v>0</v>
      </c>
      <c r="AA12" s="143"/>
      <c r="AB12" s="143"/>
      <c r="AC12" s="143"/>
      <c r="AD12" s="143"/>
      <c r="AE12" s="141"/>
      <c r="AF12" s="141"/>
      <c r="AG12" s="141"/>
      <c r="AH12" s="141"/>
      <c r="AI12" s="141"/>
      <c r="AJ12" s="141"/>
    </row>
    <row r="13" spans="1:36" x14ac:dyDescent="0.3">
      <c r="A13" s="251" t="s">
        <v>63</v>
      </c>
      <c r="B13" s="111" t="s">
        <v>638</v>
      </c>
      <c r="C13" s="108"/>
      <c r="D13" s="108"/>
      <c r="E13" s="108"/>
      <c r="F13" s="108"/>
      <c r="G13" s="108"/>
      <c r="H13" s="81" t="b">
        <f>IF(C13&lt;&gt;"",'CBL Score Standard'!$D71,IF(D13&lt;&gt;"",SUM('CBL Score Standard'!$D71:$E71),IF(E13&lt;&gt;"",SUM('CBL Score Standard'!$D71:$F71),IF(F13&lt;&gt;"",SUM('CBL Score Standard'!$D71:$G71),IF(G13&lt;&gt;"",SUM('CBL Score Standard'!$D71:$H71,0))))))</f>
        <v>0</v>
      </c>
      <c r="K13" s="161"/>
      <c r="L13" s="161"/>
      <c r="M13" s="76" t="s">
        <v>5</v>
      </c>
      <c r="N13" s="98" t="s">
        <v>54</v>
      </c>
      <c r="O13" s="38" t="s">
        <v>388</v>
      </c>
      <c r="P13" s="102"/>
      <c r="Q13" s="190" t="s">
        <v>215</v>
      </c>
      <c r="R13" s="190" t="s">
        <v>216</v>
      </c>
      <c r="S13" s="35" t="s">
        <v>564</v>
      </c>
      <c r="T13" s="58" t="s">
        <v>72</v>
      </c>
      <c r="U13" s="104"/>
      <c r="V13" s="58"/>
      <c r="W13" s="58"/>
      <c r="X13" s="58"/>
      <c r="Y13" s="37" t="s">
        <v>167</v>
      </c>
      <c r="Z13" s="142">
        <f t="shared" si="0"/>
        <v>0</v>
      </c>
      <c r="AA13" s="143"/>
      <c r="AB13" s="143"/>
      <c r="AC13" s="143"/>
      <c r="AD13" s="143"/>
      <c r="AE13" s="141"/>
      <c r="AF13" s="141"/>
      <c r="AG13" s="141"/>
      <c r="AH13" s="141"/>
      <c r="AI13" s="141"/>
      <c r="AJ13" s="141"/>
    </row>
    <row r="14" spans="1:36" ht="27.6" x14ac:dyDescent="0.3">
      <c r="A14" s="213" t="s">
        <v>55</v>
      </c>
      <c r="B14" s="206" t="s">
        <v>617</v>
      </c>
      <c r="C14" s="240"/>
      <c r="D14" s="240"/>
      <c r="E14" s="240"/>
      <c r="F14" s="292"/>
      <c r="G14" s="292"/>
      <c r="H14" s="81" t="b">
        <f>IF(C14&lt;&gt;"",'CBL Score Standard'!$D72,IF(D14&lt;&gt;"",SUM('CBL Score Standard'!$D72:$E72),IF(E14&lt;&gt;"",SUM('CBL Score Standard'!$D72:$F72),IF(F14&lt;&gt;"",SUM('CBL Score Standard'!$D72:$G72),IF(G14&lt;&gt;"",SUM('CBL Score Standard'!$D72:$H72,0))))))</f>
        <v>0</v>
      </c>
      <c r="K14" s="162"/>
      <c r="L14" s="162"/>
      <c r="M14" s="76" t="s">
        <v>5</v>
      </c>
      <c r="N14" s="35" t="s">
        <v>41</v>
      </c>
      <c r="O14" s="61" t="s">
        <v>412</v>
      </c>
      <c r="P14" s="102"/>
      <c r="Q14" s="190" t="s">
        <v>371</v>
      </c>
      <c r="R14" s="191" t="s">
        <v>372</v>
      </c>
      <c r="S14" s="35" t="s">
        <v>564</v>
      </c>
      <c r="T14" s="58" t="s">
        <v>73</v>
      </c>
      <c r="U14" s="41"/>
      <c r="V14" s="58"/>
      <c r="W14" s="58"/>
      <c r="X14" s="58"/>
      <c r="Y14" s="37" t="s">
        <v>161</v>
      </c>
      <c r="Z14" s="142">
        <f t="shared" si="0"/>
        <v>0</v>
      </c>
      <c r="AA14" s="143"/>
      <c r="AB14" s="143"/>
      <c r="AC14" s="143"/>
      <c r="AD14" s="143"/>
      <c r="AE14" s="141"/>
      <c r="AF14" s="141"/>
      <c r="AG14" s="141"/>
      <c r="AH14" s="141"/>
      <c r="AI14" s="141"/>
      <c r="AJ14" s="141"/>
    </row>
    <row r="15" spans="1:36" x14ac:dyDescent="0.3">
      <c r="A15" s="213" t="s">
        <v>55</v>
      </c>
      <c r="B15" s="206" t="s">
        <v>183</v>
      </c>
      <c r="C15" s="240"/>
      <c r="D15" s="240"/>
      <c r="E15" s="240"/>
      <c r="F15" s="292"/>
      <c r="G15" s="292"/>
      <c r="H15" s="81" t="b">
        <f>IF(C15&lt;&gt;"",'CBL Score Standard'!$D73,IF(D15&lt;&gt;"",SUM('CBL Score Standard'!$D73:$E73),IF(E15&lt;&gt;"",SUM('CBL Score Standard'!$D73:$F73),IF(F15&lt;&gt;"",SUM('CBL Score Standard'!$D73:$G73),IF(G15&lt;&gt;"",SUM('CBL Score Standard'!$D73:$H73,0))))))</f>
        <v>0</v>
      </c>
      <c r="K15" s="42"/>
      <c r="L15" s="42"/>
      <c r="M15" s="3"/>
      <c r="N15" s="68"/>
      <c r="O15" s="42"/>
      <c r="P15" s="194"/>
      <c r="Q15" s="194"/>
      <c r="R15" s="194"/>
      <c r="S15" s="42"/>
      <c r="T15" s="57"/>
      <c r="U15" s="57"/>
      <c r="V15" s="57"/>
      <c r="W15" s="57"/>
      <c r="X15" s="57"/>
      <c r="Y15" s="42"/>
      <c r="Z15" s="42"/>
      <c r="AA15" s="42"/>
      <c r="AB15" s="42"/>
      <c r="AC15" s="42"/>
      <c r="AD15" s="42"/>
      <c r="AE15" s="42"/>
      <c r="AF15" s="42"/>
      <c r="AG15" s="42"/>
      <c r="AH15" s="42"/>
      <c r="AI15" s="42"/>
      <c r="AJ15" s="42"/>
    </row>
    <row r="16" spans="1:36" ht="23.4" x14ac:dyDescent="0.45">
      <c r="A16" s="213" t="s">
        <v>55</v>
      </c>
      <c r="B16" s="206" t="s">
        <v>190</v>
      </c>
      <c r="C16" s="240"/>
      <c r="D16" s="240"/>
      <c r="E16" s="240"/>
      <c r="F16" s="240"/>
      <c r="G16" s="240"/>
      <c r="H16" s="81" t="b">
        <f>IF(C16&lt;&gt;"",'CBL Score Standard'!$D74,IF(D16&lt;&gt;"",SUM('CBL Score Standard'!$D74:$E74),IF(E16&lt;&gt;"",SUM('CBL Score Standard'!$D74:$F74),IF(F16&lt;&gt;"",SUM('CBL Score Standard'!$D74:$G74),IF(G16&lt;&gt;"",SUM('CBL Score Standard'!$D74:$H74,0))))))</f>
        <v>0</v>
      </c>
      <c r="K16" s="360" t="s">
        <v>168</v>
      </c>
      <c r="L16" s="361"/>
      <c r="M16" s="361"/>
      <c r="N16" s="361"/>
      <c r="O16" s="361"/>
      <c r="P16" s="361"/>
      <c r="Q16" s="361"/>
      <c r="R16" s="361"/>
      <c r="S16" s="361"/>
      <c r="T16" s="361"/>
      <c r="U16" s="361"/>
      <c r="V16" s="361"/>
      <c r="W16" s="361"/>
      <c r="X16" s="361"/>
      <c r="Y16" s="153"/>
      <c r="Z16" s="146"/>
      <c r="AA16" s="153"/>
      <c r="AB16" s="153"/>
      <c r="AC16" s="153"/>
      <c r="AD16" s="153"/>
      <c r="AE16" s="153"/>
      <c r="AF16" s="153"/>
      <c r="AG16" s="153"/>
      <c r="AH16" s="153"/>
      <c r="AI16" s="153"/>
      <c r="AJ16" s="153"/>
    </row>
    <row r="17" spans="1:36" ht="27.6" x14ac:dyDescent="0.3">
      <c r="A17" s="213" t="s">
        <v>55</v>
      </c>
      <c r="B17" s="206" t="s">
        <v>192</v>
      </c>
      <c r="C17" s="240"/>
      <c r="D17" s="240"/>
      <c r="E17" s="240"/>
      <c r="F17" s="240"/>
      <c r="G17" s="240"/>
      <c r="H17" s="81" t="b">
        <f>IF(C17&lt;&gt;"",'CBL Score Standard'!$D75,IF(D17&lt;&gt;"",SUM('CBL Score Standard'!$D75:$E75),IF(E17&lt;&gt;"",SUM('CBL Score Standard'!$D75:$F75),IF(F17&lt;&gt;"",SUM('CBL Score Standard'!$D75:$G75),IF(G17&lt;&gt;"",SUM('CBL Score Standard'!$D75:$H75,0))))))</f>
        <v>0</v>
      </c>
      <c r="K17" s="159" t="s">
        <v>132</v>
      </c>
      <c r="L17" s="159" t="s">
        <v>91</v>
      </c>
      <c r="M17" s="369" t="s">
        <v>75</v>
      </c>
      <c r="N17" s="371" t="s">
        <v>133</v>
      </c>
      <c r="O17" s="159" t="s">
        <v>134</v>
      </c>
      <c r="P17" s="243" t="s">
        <v>135</v>
      </c>
      <c r="Q17" s="243" t="s">
        <v>136</v>
      </c>
      <c r="R17" s="243" t="s">
        <v>137</v>
      </c>
      <c r="S17" s="164" t="s">
        <v>138</v>
      </c>
      <c r="T17" s="156" t="s">
        <v>334</v>
      </c>
      <c r="U17" s="156" t="s">
        <v>332</v>
      </c>
      <c r="V17" s="156" t="s">
        <v>333</v>
      </c>
      <c r="W17" s="156" t="s">
        <v>365</v>
      </c>
      <c r="X17" s="156" t="s">
        <v>366</v>
      </c>
      <c r="Y17" s="159" t="s">
        <v>139</v>
      </c>
      <c r="Z17" s="373" t="s">
        <v>598</v>
      </c>
      <c r="AA17" s="359" t="s">
        <v>597</v>
      </c>
      <c r="AB17" s="359"/>
      <c r="AC17" s="359" t="s">
        <v>599</v>
      </c>
      <c r="AD17" s="359"/>
      <c r="AE17" s="359" t="s">
        <v>600</v>
      </c>
      <c r="AF17" s="359"/>
      <c r="AG17" s="359" t="s">
        <v>601</v>
      </c>
      <c r="AH17" s="359"/>
      <c r="AI17" s="359" t="s">
        <v>602</v>
      </c>
      <c r="AJ17" s="359"/>
    </row>
    <row r="18" spans="1:36" ht="27.6" x14ac:dyDescent="0.3">
      <c r="A18" s="213" t="s">
        <v>55</v>
      </c>
      <c r="B18" s="206" t="s">
        <v>194</v>
      </c>
      <c r="C18" s="240"/>
      <c r="D18" s="240"/>
      <c r="E18" s="240"/>
      <c r="F18" s="240"/>
      <c r="G18" s="240"/>
      <c r="H18" s="81" t="b">
        <f>IF(C18&lt;&gt;"",'CBL Score Standard'!$D76,IF(D18&lt;&gt;"",SUM('CBL Score Standard'!$D76:$E76),IF(E18&lt;&gt;"",SUM('CBL Score Standard'!$D76:$F76),IF(F18&lt;&gt;"",SUM('CBL Score Standard'!$D76:$G76),IF(G18&lt;&gt;"",SUM('CBL Score Standard'!$D76:$H76,0))))))</f>
        <v>0</v>
      </c>
      <c r="K18" s="158"/>
      <c r="L18" s="158"/>
      <c r="M18" s="370"/>
      <c r="N18" s="377"/>
      <c r="O18" s="158"/>
      <c r="P18" s="186" t="s">
        <v>140</v>
      </c>
      <c r="Q18" s="242"/>
      <c r="R18" s="242"/>
      <c r="S18" s="163"/>
      <c r="T18" s="156"/>
      <c r="U18" s="156"/>
      <c r="V18" s="156"/>
      <c r="W18" s="156"/>
      <c r="X18" s="156"/>
      <c r="Y18" s="158"/>
      <c r="Z18" s="374"/>
      <c r="AA18" s="152" t="s">
        <v>603</v>
      </c>
      <c r="AB18" s="152" t="s">
        <v>604</v>
      </c>
      <c r="AC18" s="152" t="s">
        <v>603</v>
      </c>
      <c r="AD18" s="152" t="s">
        <v>604</v>
      </c>
      <c r="AE18" s="152" t="s">
        <v>603</v>
      </c>
      <c r="AF18" s="152" t="s">
        <v>604</v>
      </c>
      <c r="AG18" s="152" t="s">
        <v>603</v>
      </c>
      <c r="AH18" s="152" t="s">
        <v>604</v>
      </c>
      <c r="AI18" s="152" t="s">
        <v>603</v>
      </c>
      <c r="AJ18" s="152" t="s">
        <v>604</v>
      </c>
    </row>
    <row r="19" spans="1:36" x14ac:dyDescent="0.3">
      <c r="A19" s="213" t="s">
        <v>55</v>
      </c>
      <c r="B19" s="206" t="s">
        <v>196</v>
      </c>
      <c r="C19" s="240"/>
      <c r="D19" s="240"/>
      <c r="E19" s="240"/>
      <c r="F19" s="240"/>
      <c r="G19" s="240"/>
      <c r="H19" s="81" t="b">
        <f>IF(C19&lt;&gt;"",'CBL Score Standard'!$D77,IF(D19&lt;&gt;"",SUM('CBL Score Standard'!$D77:$E77),IF(E19&lt;&gt;"",SUM('CBL Score Standard'!$D77:$F77),IF(F19&lt;&gt;"",SUM('CBL Score Standard'!$D77:$G77),IF(G19&lt;&gt;"",SUM('CBL Score Standard'!$D77:$H77,0))))))</f>
        <v>0</v>
      </c>
      <c r="K19" s="160" t="s">
        <v>141</v>
      </c>
      <c r="L19" s="160" t="s">
        <v>142</v>
      </c>
      <c r="M19" s="76" t="s">
        <v>6</v>
      </c>
      <c r="N19" s="35" t="s">
        <v>46</v>
      </c>
      <c r="O19" s="63" t="s">
        <v>169</v>
      </c>
      <c r="P19" s="241"/>
      <c r="Q19" s="188" t="s">
        <v>170</v>
      </c>
      <c r="R19" s="191" t="s">
        <v>171</v>
      </c>
      <c r="S19" s="35" t="s">
        <v>564</v>
      </c>
      <c r="T19" s="58" t="s">
        <v>72</v>
      </c>
      <c r="U19" s="238">
        <v>44075</v>
      </c>
      <c r="V19" s="58" t="s">
        <v>364</v>
      </c>
      <c r="W19" s="58"/>
      <c r="X19" s="58"/>
      <c r="Y19" s="39" t="s">
        <v>172</v>
      </c>
      <c r="Z19" s="142">
        <f t="shared" ref="Z19:Z35" si="1">DATEDIF(AA19,AB19,"m")/12+DATEDIF(AC19,AD19,"m")/12+DATEDIF(AE19,AF19,"m")/12+DATEDIF(AG19,AH19,"m")/12+DATEDIF(AI19,AJ19,"m")/12</f>
        <v>0</v>
      </c>
      <c r="AA19" s="143"/>
      <c r="AB19" s="143"/>
      <c r="AC19" s="143"/>
      <c r="AD19" s="143"/>
      <c r="AE19" s="141"/>
      <c r="AF19" s="141"/>
      <c r="AG19" s="141"/>
      <c r="AH19" s="141"/>
      <c r="AI19" s="141"/>
      <c r="AJ19" s="141"/>
    </row>
    <row r="20" spans="1:36" ht="27.6" x14ac:dyDescent="0.3">
      <c r="A20" s="213" t="s">
        <v>55</v>
      </c>
      <c r="B20" s="206" t="s">
        <v>200</v>
      </c>
      <c r="C20" s="240"/>
      <c r="D20" s="240"/>
      <c r="E20" s="240"/>
      <c r="F20" s="240"/>
      <c r="G20" s="240"/>
      <c r="H20" s="81" t="b">
        <f>IF(C20&lt;&gt;"",'CBL Score Standard'!$D78,IF(D20&lt;&gt;"",SUM('CBL Score Standard'!$D78:$E78),IF(E20&lt;&gt;"",SUM('CBL Score Standard'!$D78:$F78),IF(F20&lt;&gt;"",SUM('CBL Score Standard'!$D78:$G78),IF(G20&lt;&gt;"",SUM('CBL Score Standard'!$D78:$H78,0))))))</f>
        <v>0</v>
      </c>
      <c r="K20" s="161"/>
      <c r="L20" s="161"/>
      <c r="M20" s="76" t="s">
        <v>6</v>
      </c>
      <c r="N20" s="35" t="s">
        <v>41</v>
      </c>
      <c r="O20" s="63" t="s">
        <v>176</v>
      </c>
      <c r="P20" s="241"/>
      <c r="Q20" s="188" t="s">
        <v>177</v>
      </c>
      <c r="R20" s="191" t="s">
        <v>178</v>
      </c>
      <c r="S20" s="35" t="s">
        <v>564</v>
      </c>
      <c r="T20" s="58" t="s">
        <v>72</v>
      </c>
      <c r="U20" s="238">
        <v>44083</v>
      </c>
      <c r="V20" s="58" t="s">
        <v>364</v>
      </c>
      <c r="W20" s="58"/>
      <c r="X20" s="58"/>
      <c r="Y20" s="39" t="s">
        <v>179</v>
      </c>
      <c r="Z20" s="142">
        <f t="shared" si="1"/>
        <v>0</v>
      </c>
      <c r="AA20" s="143"/>
      <c r="AB20" s="143"/>
      <c r="AC20" s="143"/>
      <c r="AD20" s="143"/>
      <c r="AE20" s="141"/>
      <c r="AF20" s="141"/>
      <c r="AG20" s="141"/>
      <c r="AH20" s="141"/>
      <c r="AI20" s="141"/>
      <c r="AJ20" s="141"/>
    </row>
    <row r="21" spans="1:36" x14ac:dyDescent="0.3">
      <c r="A21" s="251" t="s">
        <v>55</v>
      </c>
      <c r="B21" s="111" t="s">
        <v>642</v>
      </c>
      <c r="C21" s="108"/>
      <c r="D21" s="108"/>
      <c r="E21" s="108"/>
      <c r="F21" s="108"/>
      <c r="G21" s="108"/>
      <c r="H21" s="81" t="b">
        <f>IF(C21&lt;&gt;"",'CBL Score Standard'!$D79,IF(D21&lt;&gt;"",SUM('CBL Score Standard'!$D79:$E79),IF(E21&lt;&gt;"",SUM('CBL Score Standard'!$D79:$F79),IF(F21&lt;&gt;"",SUM('CBL Score Standard'!$D79:$G79),IF(G21&lt;&gt;"",SUM('CBL Score Standard'!$D79:$H79,0))))))</f>
        <v>0</v>
      </c>
      <c r="K21" s="161"/>
      <c r="L21" s="161"/>
      <c r="M21" s="76" t="s">
        <v>6</v>
      </c>
      <c r="N21" s="35" t="s">
        <v>56</v>
      </c>
      <c r="O21" s="61" t="s">
        <v>180</v>
      </c>
      <c r="P21" s="241"/>
      <c r="Q21" s="190" t="s">
        <v>170</v>
      </c>
      <c r="R21" s="192" t="s">
        <v>181</v>
      </c>
      <c r="S21" s="35" t="s">
        <v>564</v>
      </c>
      <c r="T21" s="58" t="s">
        <v>72</v>
      </c>
      <c r="U21" s="104"/>
      <c r="V21" s="58"/>
      <c r="W21" s="58"/>
      <c r="X21" s="58"/>
      <c r="Y21" s="40" t="s">
        <v>182</v>
      </c>
      <c r="Z21" s="142">
        <f t="shared" si="1"/>
        <v>0</v>
      </c>
      <c r="AA21" s="143"/>
      <c r="AB21" s="143"/>
      <c r="AC21" s="143"/>
      <c r="AD21" s="143"/>
      <c r="AE21" s="141"/>
      <c r="AF21" s="141"/>
      <c r="AG21" s="141"/>
      <c r="AH21" s="141"/>
      <c r="AI21" s="141"/>
      <c r="AJ21" s="141"/>
    </row>
    <row r="22" spans="1:36" x14ac:dyDescent="0.3">
      <c r="A22" s="213" t="s">
        <v>55</v>
      </c>
      <c r="B22" s="206" t="s">
        <v>595</v>
      </c>
      <c r="C22" s="240"/>
      <c r="D22" s="240"/>
      <c r="E22" s="292"/>
      <c r="F22" s="292"/>
      <c r="G22" s="292"/>
      <c r="H22" s="81" t="b">
        <f>IF(C22&lt;&gt;"",'CBL Score Standard'!$D80,IF(D22&lt;&gt;"",SUM('CBL Score Standard'!$D80:$E80),IF(E22&lt;&gt;"",SUM('CBL Score Standard'!$D80:$F80),IF(F22&lt;&gt;"",SUM('CBL Score Standard'!$D80:$G80),IF(G22&lt;&gt;"",SUM('CBL Score Standard'!$D80:$H80,0))))))</f>
        <v>0</v>
      </c>
      <c r="K22" s="161"/>
      <c r="L22" s="161"/>
      <c r="M22" s="76" t="s">
        <v>6</v>
      </c>
      <c r="N22" s="35" t="s">
        <v>143</v>
      </c>
      <c r="O22" s="151" t="s">
        <v>185</v>
      </c>
      <c r="P22" s="241"/>
      <c r="Q22" s="188" t="s">
        <v>152</v>
      </c>
      <c r="R22" s="191" t="s">
        <v>154</v>
      </c>
      <c r="S22" s="35" t="s">
        <v>564</v>
      </c>
      <c r="T22" s="58" t="s">
        <v>72</v>
      </c>
      <c r="U22" s="238">
        <v>44063</v>
      </c>
      <c r="V22" s="58" t="s">
        <v>364</v>
      </c>
      <c r="W22" s="58"/>
      <c r="X22" s="58"/>
      <c r="Y22" s="39" t="s">
        <v>155</v>
      </c>
      <c r="Z22" s="142">
        <f t="shared" si="1"/>
        <v>0</v>
      </c>
      <c r="AA22" s="143"/>
      <c r="AB22" s="143"/>
      <c r="AC22" s="143"/>
      <c r="AD22" s="143"/>
      <c r="AE22" s="141"/>
      <c r="AF22" s="141"/>
      <c r="AG22" s="141"/>
      <c r="AH22" s="141"/>
      <c r="AI22" s="141"/>
      <c r="AJ22" s="141"/>
    </row>
    <row r="23" spans="1:36" ht="12.75" customHeight="1" x14ac:dyDescent="0.3">
      <c r="A23" s="213" t="s">
        <v>55</v>
      </c>
      <c r="B23" s="206" t="s">
        <v>410</v>
      </c>
      <c r="C23" s="240"/>
      <c r="D23" s="240"/>
      <c r="E23" s="240"/>
      <c r="F23" s="292"/>
      <c r="G23" s="292"/>
      <c r="H23" s="81" t="b">
        <f>IF(C23&lt;&gt;"",'CBL Score Standard'!$D81,IF(D23&lt;&gt;"",SUM('CBL Score Standard'!$D81:$E81),IF(E23&lt;&gt;"",SUM('CBL Score Standard'!$D81:$F81),IF(F23&lt;&gt;"",SUM('CBL Score Standard'!$D81:$G81),IF(G23&lt;&gt;"",SUM('CBL Score Standard'!$D81:$H81,0))))))</f>
        <v>0</v>
      </c>
      <c r="K23" s="161"/>
      <c r="L23" s="161"/>
      <c r="M23" s="76" t="s">
        <v>6</v>
      </c>
      <c r="N23" s="35" t="s">
        <v>143</v>
      </c>
      <c r="O23" s="61" t="s">
        <v>186</v>
      </c>
      <c r="P23" s="241"/>
      <c r="Q23" s="190" t="s">
        <v>153</v>
      </c>
      <c r="R23" s="191" t="s">
        <v>156</v>
      </c>
      <c r="S23" s="35" t="s">
        <v>564</v>
      </c>
      <c r="T23" s="58" t="s">
        <v>72</v>
      </c>
      <c r="U23" s="58"/>
      <c r="V23" s="58"/>
      <c r="W23" s="58"/>
      <c r="X23" s="58"/>
      <c r="Y23" s="37" t="s">
        <v>157</v>
      </c>
      <c r="Z23" s="142">
        <f t="shared" si="1"/>
        <v>0</v>
      </c>
      <c r="AA23" s="143"/>
      <c r="AB23" s="143"/>
      <c r="AC23" s="143"/>
      <c r="AD23" s="143"/>
      <c r="AE23" s="141"/>
      <c r="AF23" s="141"/>
      <c r="AG23" s="141"/>
      <c r="AH23" s="141"/>
      <c r="AI23" s="141"/>
      <c r="AJ23" s="141"/>
    </row>
    <row r="24" spans="1:36" ht="12.75" customHeight="1" x14ac:dyDescent="0.3">
      <c r="A24" s="213" t="s">
        <v>55</v>
      </c>
      <c r="B24" s="206" t="s">
        <v>596</v>
      </c>
      <c r="C24" s="240"/>
      <c r="D24" s="240"/>
      <c r="E24" s="292"/>
      <c r="F24" s="292"/>
      <c r="G24" s="292"/>
      <c r="H24" s="81" t="b">
        <f>IF(C24&lt;&gt;"",'CBL Score Standard'!$D82,IF(D24&lt;&gt;"",SUM('CBL Score Standard'!$D82:$E82),IF(E24&lt;&gt;"",SUM('CBL Score Standard'!$D82:$F82),IF(F24&lt;&gt;"",SUM('CBL Score Standard'!$D82:$G82),IF(G24&lt;&gt;"",SUM('CBL Score Standard'!$D82:$H82,0))))))</f>
        <v>0</v>
      </c>
      <c r="K24" s="161"/>
      <c r="L24" s="161"/>
      <c r="M24" s="76" t="s">
        <v>6</v>
      </c>
      <c r="N24" s="35" t="s">
        <v>143</v>
      </c>
      <c r="O24" s="151" t="s">
        <v>187</v>
      </c>
      <c r="P24" s="241"/>
      <c r="Q24" s="232" t="s">
        <v>590</v>
      </c>
      <c r="R24" s="232" t="s">
        <v>274</v>
      </c>
      <c r="S24" s="35"/>
      <c r="T24" s="58"/>
      <c r="U24" s="58"/>
      <c r="V24" s="58"/>
      <c r="W24" s="58"/>
      <c r="X24" s="58"/>
      <c r="Y24" s="40" t="s">
        <v>158</v>
      </c>
      <c r="Z24" s="142">
        <f t="shared" si="1"/>
        <v>0</v>
      </c>
      <c r="AA24" s="143"/>
      <c r="AB24" s="143"/>
      <c r="AC24" s="143"/>
      <c r="AD24" s="143"/>
      <c r="AE24" s="141"/>
      <c r="AF24" s="141"/>
      <c r="AG24" s="141"/>
      <c r="AH24" s="141"/>
      <c r="AI24" s="141"/>
      <c r="AJ24" s="141"/>
    </row>
    <row r="25" spans="1:36" x14ac:dyDescent="0.3">
      <c r="A25" s="213" t="s">
        <v>55</v>
      </c>
      <c r="B25" s="206" t="s">
        <v>236</v>
      </c>
      <c r="C25" s="240"/>
      <c r="D25" s="240"/>
      <c r="E25" s="240"/>
      <c r="F25" s="292"/>
      <c r="G25" s="292"/>
      <c r="H25" s="81" t="b">
        <f>IF(C25&lt;&gt;"",'CBL Score Standard'!$D83,IF(D25&lt;&gt;"",SUM('CBL Score Standard'!$D83:$E83),IF(E25&lt;&gt;"",SUM('CBL Score Standard'!$D83:$F83),IF(F25&lt;&gt;"",SUM('CBL Score Standard'!$D83:$G83),IF(G25&lt;&gt;"",SUM('CBL Score Standard'!$D83:$H83,0))))))</f>
        <v>0</v>
      </c>
      <c r="K25" s="161"/>
      <c r="L25" s="161"/>
      <c r="M25" s="76" t="s">
        <v>6</v>
      </c>
      <c r="N25" s="35" t="s">
        <v>143</v>
      </c>
      <c r="O25" s="151" t="s">
        <v>188</v>
      </c>
      <c r="P25" s="241"/>
      <c r="Q25" s="188" t="s">
        <v>159</v>
      </c>
      <c r="R25" s="191" t="s">
        <v>160</v>
      </c>
      <c r="S25" s="35"/>
      <c r="T25" s="58"/>
      <c r="U25" s="58"/>
      <c r="V25" s="58"/>
      <c r="W25" s="58"/>
      <c r="X25" s="58"/>
      <c r="Y25" s="40" t="s">
        <v>161</v>
      </c>
      <c r="Z25" s="142">
        <f t="shared" si="1"/>
        <v>0</v>
      </c>
      <c r="AA25" s="143"/>
      <c r="AB25" s="143"/>
      <c r="AC25" s="143"/>
      <c r="AD25" s="143"/>
      <c r="AE25" s="141"/>
      <c r="AF25" s="141"/>
      <c r="AG25" s="141"/>
      <c r="AH25" s="141"/>
      <c r="AI25" s="141"/>
      <c r="AJ25" s="141"/>
    </row>
    <row r="26" spans="1:36" x14ac:dyDescent="0.3">
      <c r="A26" s="213" t="s">
        <v>55</v>
      </c>
      <c r="B26" s="206" t="s">
        <v>473</v>
      </c>
      <c r="C26" s="240"/>
      <c r="D26" s="240"/>
      <c r="E26" s="240"/>
      <c r="F26" s="292"/>
      <c r="G26" s="292"/>
      <c r="H26" s="81" t="b">
        <f>IF(C26&lt;&gt;"",'CBL Score Standard'!$D84,IF(D26&lt;&gt;"",SUM('CBL Score Standard'!$D84:$E84),IF(E26&lt;&gt;"",SUM('CBL Score Standard'!$D84:$F84),IF(F26&lt;&gt;"",SUM('CBL Score Standard'!$D84:$G84),IF(G26&lt;&gt;"",SUM('CBL Score Standard'!$D84:$H84,0))))))</f>
        <v>0</v>
      </c>
      <c r="K26" s="161"/>
      <c r="L26" s="161"/>
      <c r="M26" s="76" t="s">
        <v>6</v>
      </c>
      <c r="N26" s="35" t="s">
        <v>143</v>
      </c>
      <c r="O26" s="61" t="s">
        <v>189</v>
      </c>
      <c r="P26" s="241"/>
      <c r="Q26" s="188" t="s">
        <v>162</v>
      </c>
      <c r="R26" s="191" t="s">
        <v>163</v>
      </c>
      <c r="S26" s="35" t="s">
        <v>564</v>
      </c>
      <c r="T26" s="58" t="s">
        <v>72</v>
      </c>
      <c r="U26" s="238">
        <v>44088</v>
      </c>
      <c r="V26" s="58" t="s">
        <v>364</v>
      </c>
      <c r="W26" s="58"/>
      <c r="X26" s="58"/>
      <c r="Y26" s="40" t="s">
        <v>164</v>
      </c>
      <c r="Z26" s="142">
        <f t="shared" si="1"/>
        <v>0</v>
      </c>
      <c r="AA26" s="143"/>
      <c r="AB26" s="143"/>
      <c r="AC26" s="143"/>
      <c r="AD26" s="143"/>
      <c r="AE26" s="141"/>
      <c r="AF26" s="141"/>
      <c r="AG26" s="141"/>
      <c r="AH26" s="141"/>
      <c r="AI26" s="141"/>
      <c r="AJ26" s="141"/>
    </row>
    <row r="27" spans="1:36" ht="26.4" x14ac:dyDescent="0.3">
      <c r="A27" s="213" t="s">
        <v>3</v>
      </c>
      <c r="B27" s="206" t="s">
        <v>474</v>
      </c>
      <c r="C27" s="240"/>
      <c r="D27" s="240"/>
      <c r="E27" s="240"/>
      <c r="F27" s="240"/>
      <c r="G27" s="292"/>
      <c r="H27" s="81" t="b">
        <f>IF(C27&lt;&gt;"",'CBL Score Standard'!$D85,IF(D27&lt;&gt;"",SUM('CBL Score Standard'!$D85:$E85),IF(E27&lt;&gt;"",SUM('CBL Score Standard'!$D85:$F85),IF(F27&lt;&gt;"",SUM('CBL Score Standard'!$D85:$G85),IF(G27&lt;&gt;"",SUM('CBL Score Standard'!$D85:$H85,0))))))</f>
        <v>0</v>
      </c>
      <c r="K27" s="161"/>
      <c r="L27" s="161"/>
      <c r="M27" s="76" t="s">
        <v>6</v>
      </c>
      <c r="N27" s="35" t="s">
        <v>55</v>
      </c>
      <c r="O27" s="61" t="s">
        <v>190</v>
      </c>
      <c r="P27" s="241"/>
      <c r="Q27" s="190" t="s">
        <v>373</v>
      </c>
      <c r="R27" s="192" t="s">
        <v>331</v>
      </c>
      <c r="S27" s="35" t="s">
        <v>564</v>
      </c>
      <c r="T27" s="58" t="s">
        <v>72</v>
      </c>
      <c r="U27" s="104"/>
      <c r="V27" s="58"/>
      <c r="W27" s="58"/>
      <c r="X27" s="58"/>
      <c r="Y27" s="40" t="s">
        <v>191</v>
      </c>
      <c r="Z27" s="142">
        <f t="shared" si="1"/>
        <v>0</v>
      </c>
      <c r="AA27" s="143"/>
      <c r="AB27" s="143"/>
      <c r="AC27" s="143"/>
      <c r="AD27" s="143"/>
      <c r="AE27" s="141"/>
      <c r="AF27" s="141"/>
      <c r="AG27" s="141"/>
      <c r="AH27" s="141"/>
      <c r="AI27" s="141"/>
      <c r="AJ27" s="141"/>
    </row>
    <row r="28" spans="1:36" ht="27.6" x14ac:dyDescent="0.3">
      <c r="A28" s="213" t="s">
        <v>3</v>
      </c>
      <c r="B28" s="206" t="s">
        <v>243</v>
      </c>
      <c r="C28" s="240"/>
      <c r="D28" s="240"/>
      <c r="E28" s="240"/>
      <c r="F28" s="240"/>
      <c r="G28" s="292"/>
      <c r="H28" s="81" t="b">
        <f>IF(C28&lt;&gt;"",'CBL Score Standard'!$D86,IF(D28&lt;&gt;"",SUM('CBL Score Standard'!$D86:$E86),IF(E28&lt;&gt;"",SUM('CBL Score Standard'!$D86:$F86),IF(F28&lt;&gt;"",SUM('CBL Score Standard'!$D86:$G86),IF(G28&lt;&gt;"",SUM('CBL Score Standard'!$D86:$H86,0))))))</f>
        <v>0</v>
      </c>
      <c r="K28" s="161"/>
      <c r="L28" s="161"/>
      <c r="M28" s="76" t="s">
        <v>6</v>
      </c>
      <c r="N28" s="35" t="s">
        <v>55</v>
      </c>
      <c r="O28" s="61" t="s">
        <v>192</v>
      </c>
      <c r="P28" s="241"/>
      <c r="Q28" s="232" t="s">
        <v>580</v>
      </c>
      <c r="R28" s="232" t="s">
        <v>581</v>
      </c>
      <c r="S28" s="44"/>
      <c r="T28" s="58"/>
      <c r="U28" s="58"/>
      <c r="V28" s="58"/>
      <c r="W28" s="58"/>
      <c r="X28" s="58"/>
      <c r="Y28" s="40" t="s">
        <v>193</v>
      </c>
      <c r="Z28" s="142">
        <f t="shared" si="1"/>
        <v>0</v>
      </c>
      <c r="AA28" s="143"/>
      <c r="AB28" s="143"/>
      <c r="AC28" s="143"/>
      <c r="AD28" s="143"/>
      <c r="AE28" s="141"/>
      <c r="AF28" s="141"/>
      <c r="AG28" s="141"/>
      <c r="AH28" s="141"/>
      <c r="AI28" s="141"/>
      <c r="AJ28" s="141"/>
    </row>
    <row r="29" spans="1:36" ht="27.6" x14ac:dyDescent="0.3">
      <c r="A29" s="213" t="s">
        <v>59</v>
      </c>
      <c r="B29" s="206" t="s">
        <v>614</v>
      </c>
      <c r="C29" s="240"/>
      <c r="D29" s="240"/>
      <c r="E29" s="292"/>
      <c r="F29" s="292"/>
      <c r="G29" s="292"/>
      <c r="H29" s="81" t="b">
        <f>IF(C29&lt;&gt;"",'CBL Score Standard'!$D87,IF(D29&lt;&gt;"",SUM('CBL Score Standard'!$D87:$E87),IF(E29&lt;&gt;"",SUM('CBL Score Standard'!$D87:$F87),IF(F29&lt;&gt;"",SUM('CBL Score Standard'!$D87:$G87),IF(G29&lt;&gt;"",SUM('CBL Score Standard'!$D87:$H87,0))))))</f>
        <v>0</v>
      </c>
      <c r="K29" s="161"/>
      <c r="L29" s="161"/>
      <c r="M29" s="76" t="s">
        <v>6</v>
      </c>
      <c r="N29" s="35" t="s">
        <v>55</v>
      </c>
      <c r="O29" s="61" t="s">
        <v>194</v>
      </c>
      <c r="P29" s="241"/>
      <c r="Q29" s="232" t="s">
        <v>582</v>
      </c>
      <c r="R29" s="232" t="s">
        <v>583</v>
      </c>
      <c r="S29" s="35" t="s">
        <v>564</v>
      </c>
      <c r="T29" s="58" t="s">
        <v>73</v>
      </c>
      <c r="U29" s="58"/>
      <c r="V29" s="58"/>
      <c r="W29" s="58"/>
      <c r="X29" s="58"/>
      <c r="Y29" s="40" t="s">
        <v>195</v>
      </c>
      <c r="Z29" s="142">
        <f t="shared" si="1"/>
        <v>0</v>
      </c>
      <c r="AA29" s="143"/>
      <c r="AB29" s="143"/>
      <c r="AC29" s="143"/>
      <c r="AD29" s="143"/>
      <c r="AE29" s="141"/>
      <c r="AF29" s="141"/>
      <c r="AG29" s="141"/>
      <c r="AH29" s="141"/>
      <c r="AI29" s="141"/>
      <c r="AJ29" s="141"/>
    </row>
    <row r="30" spans="1:36" x14ac:dyDescent="0.3">
      <c r="A30" s="213" t="s">
        <v>59</v>
      </c>
      <c r="B30" s="206" t="s">
        <v>613</v>
      </c>
      <c r="C30" s="240"/>
      <c r="D30" s="240"/>
      <c r="E30" s="292"/>
      <c r="F30" s="292"/>
      <c r="G30" s="292"/>
      <c r="H30" s="81" t="b">
        <f>IF(C30&lt;&gt;"",'CBL Score Standard'!$D88,IF(D30&lt;&gt;"",SUM('CBL Score Standard'!$D88:$E88),IF(E30&lt;&gt;"",SUM('CBL Score Standard'!$D88:$F88),IF(F30&lt;&gt;"",SUM('CBL Score Standard'!$D88:$G88),IF(G30&lt;&gt;"",SUM('CBL Score Standard'!$D88:$H88,0))))))</f>
        <v>0</v>
      </c>
      <c r="K30" s="161"/>
      <c r="L30" s="161"/>
      <c r="M30" s="76" t="s">
        <v>6</v>
      </c>
      <c r="N30" s="35" t="s">
        <v>55</v>
      </c>
      <c r="O30" s="61" t="s">
        <v>196</v>
      </c>
      <c r="P30" s="241"/>
      <c r="Q30" s="190" t="s">
        <v>197</v>
      </c>
      <c r="R30" s="192" t="s">
        <v>198</v>
      </c>
      <c r="S30" s="35" t="s">
        <v>564</v>
      </c>
      <c r="T30" s="58" t="s">
        <v>73</v>
      </c>
      <c r="U30" s="58"/>
      <c r="V30" s="58"/>
      <c r="W30" s="58"/>
      <c r="X30" s="58"/>
      <c r="Y30" s="43" t="s">
        <v>199</v>
      </c>
      <c r="Z30" s="142">
        <f t="shared" si="1"/>
        <v>0</v>
      </c>
      <c r="AA30" s="143"/>
      <c r="AB30" s="143"/>
      <c r="AC30" s="143"/>
      <c r="AD30" s="143"/>
      <c r="AE30" s="141"/>
      <c r="AF30" s="141"/>
      <c r="AG30" s="141"/>
      <c r="AH30" s="141"/>
      <c r="AI30" s="141"/>
      <c r="AJ30" s="141"/>
    </row>
    <row r="31" spans="1:36" x14ac:dyDescent="0.3">
      <c r="A31" s="213" t="s">
        <v>148</v>
      </c>
      <c r="B31" s="206" t="s">
        <v>148</v>
      </c>
      <c r="C31" s="292"/>
      <c r="D31" s="292"/>
      <c r="E31" s="292"/>
      <c r="F31" s="292"/>
      <c r="G31" s="292"/>
      <c r="H31" s="81" t="b">
        <f>IF(C31&lt;&gt;"",'CBL Score Standard'!$D89,IF(D31&lt;&gt;"",SUM('CBL Score Standard'!$D89:$E89),IF(E31&lt;&gt;"",SUM('CBL Score Standard'!$D89:$F89),IF(F31&lt;&gt;"",SUM('CBL Score Standard'!$D89:$G89),IF(G31&lt;&gt;"",SUM('CBL Score Standard'!$D89:$H89,0))))))</f>
        <v>0</v>
      </c>
      <c r="K31" s="161"/>
      <c r="L31" s="161"/>
      <c r="M31" s="76" t="s">
        <v>6</v>
      </c>
      <c r="N31" s="35" t="s">
        <v>55</v>
      </c>
      <c r="O31" s="61" t="s">
        <v>200</v>
      </c>
      <c r="P31" s="241"/>
      <c r="Q31" s="190" t="s">
        <v>374</v>
      </c>
      <c r="R31" s="192" t="s">
        <v>375</v>
      </c>
      <c r="S31" s="44"/>
      <c r="T31" s="58"/>
      <c r="U31" s="58"/>
      <c r="V31" s="58"/>
      <c r="W31" s="58"/>
      <c r="X31" s="58"/>
      <c r="Y31" s="43" t="s">
        <v>201</v>
      </c>
      <c r="Z31" s="142">
        <f t="shared" si="1"/>
        <v>0</v>
      </c>
      <c r="AA31" s="143"/>
      <c r="AB31" s="143"/>
      <c r="AC31" s="143"/>
      <c r="AD31" s="143"/>
      <c r="AE31" s="141"/>
      <c r="AF31" s="141"/>
      <c r="AG31" s="141"/>
      <c r="AH31" s="141"/>
      <c r="AI31" s="141"/>
      <c r="AJ31" s="141"/>
    </row>
    <row r="32" spans="1:36" x14ac:dyDescent="0.3">
      <c r="A32" s="213" t="s">
        <v>148</v>
      </c>
      <c r="B32" s="206" t="s">
        <v>360</v>
      </c>
      <c r="C32" s="240"/>
      <c r="D32" s="240"/>
      <c r="E32" s="240"/>
      <c r="F32" s="292"/>
      <c r="G32" s="292"/>
      <c r="H32" s="81" t="b">
        <f>IF(C32&lt;&gt;"",'CBL Score Standard'!$D90,IF(D32&lt;&gt;"",SUM('CBL Score Standard'!$D90:$E90),IF(E32&lt;&gt;"",SUM('CBL Score Standard'!$D90:$F90),IF(F32&lt;&gt;"",SUM('CBL Score Standard'!$D90:$G90),IF(G32&lt;&gt;"",SUM('CBL Score Standard'!$D90:$H90,0))))))</f>
        <v>0</v>
      </c>
      <c r="K32" s="161"/>
      <c r="L32" s="161"/>
      <c r="M32" s="76" t="s">
        <v>6</v>
      </c>
      <c r="N32" s="35" t="s">
        <v>56</v>
      </c>
      <c r="O32" s="61" t="s">
        <v>390</v>
      </c>
      <c r="P32" s="241"/>
      <c r="Q32" s="190" t="s">
        <v>165</v>
      </c>
      <c r="R32" s="192" t="s">
        <v>202</v>
      </c>
      <c r="S32" s="35" t="s">
        <v>564</v>
      </c>
      <c r="T32" s="58" t="s">
        <v>72</v>
      </c>
      <c r="U32" s="105">
        <v>44048</v>
      </c>
      <c r="V32" s="110" t="s">
        <v>364</v>
      </c>
      <c r="W32" s="58"/>
      <c r="X32" s="58"/>
      <c r="Y32" s="40" t="s">
        <v>203</v>
      </c>
      <c r="Z32" s="142">
        <f t="shared" si="1"/>
        <v>0</v>
      </c>
      <c r="AA32" s="143"/>
      <c r="AB32" s="143"/>
      <c r="AC32" s="143"/>
      <c r="AD32" s="143"/>
      <c r="AE32" s="141"/>
      <c r="AF32" s="141"/>
      <c r="AG32" s="141"/>
      <c r="AH32" s="141"/>
      <c r="AI32" s="141"/>
      <c r="AJ32" s="141"/>
    </row>
    <row r="33" spans="1:36" x14ac:dyDescent="0.3">
      <c r="A33" s="251" t="s">
        <v>148</v>
      </c>
      <c r="B33" s="111" t="s">
        <v>639</v>
      </c>
      <c r="C33" s="291"/>
      <c r="D33" s="291"/>
      <c r="E33" s="291"/>
      <c r="F33" s="292"/>
      <c r="G33" s="292"/>
      <c r="H33" s="81" t="b">
        <f>IF(C33&lt;&gt;"",'CBL Score Standard'!$D91,IF(D33&lt;&gt;"",SUM('CBL Score Standard'!$D91:$E91),IF(E33&lt;&gt;"",SUM('CBL Score Standard'!$D91:$F91),IF(F33&lt;&gt;"",SUM('CBL Score Standard'!$D91:$G91),IF(G33&lt;&gt;"",SUM('CBL Score Standard'!$D91:$H91,0))))))</f>
        <v>0</v>
      </c>
      <c r="K33" s="161"/>
      <c r="L33" s="161"/>
      <c r="M33" s="76" t="s">
        <v>6</v>
      </c>
      <c r="N33" s="35" t="s">
        <v>0</v>
      </c>
      <c r="O33" s="151" t="s">
        <v>389</v>
      </c>
      <c r="P33" s="241"/>
      <c r="Q33" s="190" t="s">
        <v>204</v>
      </c>
      <c r="R33" s="191" t="s">
        <v>204</v>
      </c>
      <c r="S33" s="44"/>
      <c r="T33" s="58"/>
      <c r="U33" s="58"/>
      <c r="V33" s="58"/>
      <c r="W33" s="58"/>
      <c r="X33" s="58"/>
      <c r="Y33" s="37"/>
      <c r="Z33" s="142">
        <f t="shared" si="1"/>
        <v>0</v>
      </c>
      <c r="AA33" s="143"/>
      <c r="AB33" s="143"/>
      <c r="AC33" s="143"/>
      <c r="AD33" s="143"/>
      <c r="AE33" s="141"/>
      <c r="AF33" s="141"/>
      <c r="AG33" s="141"/>
      <c r="AH33" s="141"/>
      <c r="AI33" s="141"/>
      <c r="AJ33" s="141"/>
    </row>
    <row r="34" spans="1:36" ht="26.4" x14ac:dyDescent="0.3">
      <c r="A34" s="213" t="s">
        <v>31</v>
      </c>
      <c r="B34" s="206" t="s">
        <v>591</v>
      </c>
      <c r="C34" s="292"/>
      <c r="D34" s="292"/>
      <c r="E34" s="292"/>
      <c r="F34" s="292"/>
      <c r="G34" s="292"/>
      <c r="H34" s="81" t="b">
        <f>IF(C34&lt;&gt;"",'CBL Score Standard'!$D92,IF(D34&lt;&gt;"",SUM('CBL Score Standard'!$D92:$E92),IF(E34&lt;&gt;"",SUM('CBL Score Standard'!$D92:$F92),IF(F34&lt;&gt;"",SUM('CBL Score Standard'!$D92:$G92),IF(G34&lt;&gt;"",SUM('CBL Score Standard'!$D92:$H92,0))))))</f>
        <v>0</v>
      </c>
      <c r="K34" s="161"/>
      <c r="L34" s="161"/>
      <c r="M34" s="76" t="s">
        <v>6</v>
      </c>
      <c r="N34" s="35" t="s">
        <v>53</v>
      </c>
      <c r="O34" s="64" t="s">
        <v>361</v>
      </c>
      <c r="P34" s="241"/>
      <c r="Q34" s="190" t="s">
        <v>162</v>
      </c>
      <c r="R34" s="192" t="s">
        <v>205</v>
      </c>
      <c r="S34" s="35"/>
      <c r="T34" s="58"/>
      <c r="U34" s="58"/>
      <c r="V34" s="58"/>
      <c r="W34" s="58"/>
      <c r="X34" s="58"/>
      <c r="Y34" s="43" t="s">
        <v>206</v>
      </c>
      <c r="Z34" s="142">
        <f t="shared" si="1"/>
        <v>0</v>
      </c>
      <c r="AA34" s="143"/>
      <c r="AB34" s="143"/>
      <c r="AC34" s="143"/>
      <c r="AD34" s="143"/>
      <c r="AE34" s="141"/>
      <c r="AF34" s="141"/>
      <c r="AG34" s="141"/>
      <c r="AH34" s="141"/>
      <c r="AI34" s="141"/>
      <c r="AJ34" s="141"/>
    </row>
    <row r="35" spans="1:36" ht="28.8" x14ac:dyDescent="0.3">
      <c r="A35" s="213" t="s">
        <v>31</v>
      </c>
      <c r="B35" s="206" t="s">
        <v>173</v>
      </c>
      <c r="C35" s="292"/>
      <c r="D35" s="292"/>
      <c r="E35" s="292"/>
      <c r="F35" s="292"/>
      <c r="G35" s="292"/>
      <c r="H35" s="81" t="b">
        <f>IF(C35&lt;&gt;"",'CBL Score Standard'!$D93,IF(D35&lt;&gt;"",SUM('CBL Score Standard'!$D93:$E93),IF(E35&lt;&gt;"",SUM('CBL Score Standard'!$D93:$F93),IF(F35&lt;&gt;"",SUM('CBL Score Standard'!$D93:$G93),IF(G35&lt;&gt;"",SUM('CBL Score Standard'!$D93:$H93,0))))))</f>
        <v>0</v>
      </c>
      <c r="K35" s="162"/>
      <c r="L35" s="162"/>
      <c r="M35" s="76" t="s">
        <v>6</v>
      </c>
      <c r="N35" s="35" t="s">
        <v>54</v>
      </c>
      <c r="O35" s="61" t="s">
        <v>335</v>
      </c>
      <c r="P35" s="241"/>
      <c r="Q35" s="190" t="s">
        <v>207</v>
      </c>
      <c r="R35" s="192" t="s">
        <v>208</v>
      </c>
      <c r="S35" s="35" t="s">
        <v>564</v>
      </c>
      <c r="T35" s="58" t="s">
        <v>72</v>
      </c>
      <c r="U35" s="238">
        <v>43999</v>
      </c>
      <c r="V35" s="58" t="s">
        <v>364</v>
      </c>
      <c r="W35" s="58"/>
      <c r="X35" s="58"/>
      <c r="Y35" s="139" t="s">
        <v>567</v>
      </c>
      <c r="Z35" s="142">
        <f t="shared" si="1"/>
        <v>0</v>
      </c>
      <c r="AA35" s="143"/>
      <c r="AB35" s="143"/>
      <c r="AC35" s="143"/>
      <c r="AD35" s="143"/>
      <c r="AE35" s="141"/>
      <c r="AF35" s="141"/>
      <c r="AG35" s="141"/>
      <c r="AH35" s="141"/>
      <c r="AI35" s="141"/>
      <c r="AJ35" s="141"/>
    </row>
    <row r="36" spans="1:36" x14ac:dyDescent="0.3">
      <c r="A36" s="213" t="s">
        <v>46</v>
      </c>
      <c r="B36" s="206" t="s">
        <v>169</v>
      </c>
      <c r="C36" s="240"/>
      <c r="D36" s="292"/>
      <c r="E36" s="292"/>
      <c r="F36" s="292"/>
      <c r="G36" s="292"/>
      <c r="H36" s="81" t="b">
        <f>IF(C36&lt;&gt;"",'CBL Score Standard'!$D94,IF(D36&lt;&gt;"",SUM('CBL Score Standard'!$D94:$E94),IF(E36&lt;&gt;"",SUM('CBL Score Standard'!$D94:$F94),IF(F36&lt;&gt;"",SUM('CBL Score Standard'!$D94:$G94),IF(G36&lt;&gt;"",SUM('CBL Score Standard'!$D94:$H94,0))))))</f>
        <v>0</v>
      </c>
      <c r="K36" s="3"/>
      <c r="L36" s="3"/>
      <c r="M36" s="3"/>
      <c r="N36" s="66"/>
      <c r="O36" s="3"/>
      <c r="P36" s="241"/>
      <c r="Q36" s="182"/>
      <c r="R36" s="182"/>
      <c r="S36" s="3"/>
      <c r="T36" s="56"/>
      <c r="U36" s="56"/>
      <c r="V36" s="56"/>
      <c r="W36" s="56"/>
      <c r="X36" s="56"/>
      <c r="Y36" s="3"/>
      <c r="Z36" s="3"/>
      <c r="AA36" s="3"/>
      <c r="AB36" s="3"/>
      <c r="AC36" s="3"/>
      <c r="AD36" s="3"/>
      <c r="AE36" s="3"/>
      <c r="AF36" s="3"/>
      <c r="AG36" s="3"/>
      <c r="AH36" s="3"/>
      <c r="AI36" s="3"/>
      <c r="AJ36" s="3"/>
    </row>
    <row r="37" spans="1:36" ht="23.4" x14ac:dyDescent="0.45">
      <c r="A37" s="213" t="s">
        <v>2</v>
      </c>
      <c r="B37" s="206" t="s">
        <v>232</v>
      </c>
      <c r="C37" s="240"/>
      <c r="D37" s="240"/>
      <c r="E37" s="240"/>
      <c r="F37" s="292"/>
      <c r="G37" s="292"/>
      <c r="H37" s="81" t="b">
        <f>IF(C37&lt;&gt;"",'CBL Score Standard'!$D95,IF(D37&lt;&gt;"",SUM('CBL Score Standard'!$D95:$E95),IF(E37&lt;&gt;"",SUM('CBL Score Standard'!$D95:$F95),IF(F37&lt;&gt;"",SUM('CBL Score Standard'!$D95:$G95),IF(G37&lt;&gt;"",SUM('CBL Score Standard'!$D95:$H95,0))))))</f>
        <v>0</v>
      </c>
      <c r="K37" s="360" t="s">
        <v>209</v>
      </c>
      <c r="L37" s="361"/>
      <c r="M37" s="361"/>
      <c r="N37" s="361"/>
      <c r="O37" s="361"/>
      <c r="P37" s="361"/>
      <c r="Q37" s="361"/>
      <c r="R37" s="361"/>
      <c r="S37" s="361"/>
      <c r="T37" s="361"/>
      <c r="U37" s="361"/>
      <c r="V37" s="361"/>
      <c r="W37" s="361"/>
      <c r="X37" s="361"/>
      <c r="Y37" s="153"/>
      <c r="Z37" s="146"/>
      <c r="AA37" s="153"/>
      <c r="AB37" s="153"/>
      <c r="AC37" s="153"/>
      <c r="AD37" s="153"/>
      <c r="AE37" s="153"/>
      <c r="AF37" s="153"/>
      <c r="AG37" s="153"/>
      <c r="AH37" s="153"/>
      <c r="AI37" s="153"/>
      <c r="AJ37" s="153"/>
    </row>
    <row r="38" spans="1:36" ht="27.6" x14ac:dyDescent="0.3">
      <c r="A38" s="213" t="s">
        <v>54</v>
      </c>
      <c r="B38" s="206" t="s">
        <v>388</v>
      </c>
      <c r="C38" s="292"/>
      <c r="D38" s="292"/>
      <c r="E38" s="292"/>
      <c r="F38" s="292"/>
      <c r="G38" s="292"/>
      <c r="H38" s="81" t="b">
        <f>IF(C38&lt;&gt;"",'CBL Score Standard'!$D96,IF(D38&lt;&gt;"",SUM('CBL Score Standard'!$D96:$E96),IF(E38&lt;&gt;"",SUM('CBL Score Standard'!$D96:$F96),IF(F38&lt;&gt;"",SUM('CBL Score Standard'!$D96:$G96),IF(G38&lt;&gt;"",SUM('CBL Score Standard'!$D96:$H96,0))))))</f>
        <v>0</v>
      </c>
      <c r="K38" s="159" t="s">
        <v>132</v>
      </c>
      <c r="L38" s="159" t="s">
        <v>91</v>
      </c>
      <c r="M38" s="369" t="s">
        <v>75</v>
      </c>
      <c r="N38" s="371" t="s">
        <v>133</v>
      </c>
      <c r="O38" s="155" t="s">
        <v>134</v>
      </c>
      <c r="P38" s="243" t="s">
        <v>135</v>
      </c>
      <c r="Q38" s="243" t="s">
        <v>136</v>
      </c>
      <c r="R38" s="243" t="s">
        <v>137</v>
      </c>
      <c r="S38" s="164" t="s">
        <v>138</v>
      </c>
      <c r="T38" s="156" t="s">
        <v>334</v>
      </c>
      <c r="U38" s="156" t="s">
        <v>332</v>
      </c>
      <c r="V38" s="156" t="s">
        <v>333</v>
      </c>
      <c r="W38" s="156" t="s">
        <v>365</v>
      </c>
      <c r="X38" s="156" t="s">
        <v>366</v>
      </c>
      <c r="Y38" s="159" t="s">
        <v>139</v>
      </c>
      <c r="Z38" s="373" t="s">
        <v>598</v>
      </c>
      <c r="AA38" s="359" t="s">
        <v>597</v>
      </c>
      <c r="AB38" s="359"/>
      <c r="AC38" s="359" t="s">
        <v>599</v>
      </c>
      <c r="AD38" s="359"/>
      <c r="AE38" s="359" t="s">
        <v>600</v>
      </c>
      <c r="AF38" s="359"/>
      <c r="AG38" s="359" t="s">
        <v>601</v>
      </c>
      <c r="AH38" s="359"/>
      <c r="AI38" s="359" t="s">
        <v>602</v>
      </c>
      <c r="AJ38" s="359"/>
    </row>
    <row r="39" spans="1:36" ht="27.6" x14ac:dyDescent="0.3">
      <c r="A39" s="213" t="s">
        <v>54</v>
      </c>
      <c r="B39" s="206" t="s">
        <v>335</v>
      </c>
      <c r="C39" s="240"/>
      <c r="D39" s="292"/>
      <c r="E39" s="292"/>
      <c r="F39" s="292"/>
      <c r="G39" s="292"/>
      <c r="H39" s="81" t="b">
        <f>IF(C39&lt;&gt;"",'CBL Score Standard'!$D97,IF(D39&lt;&gt;"",SUM('CBL Score Standard'!$D97:$E97),IF(E39&lt;&gt;"",SUM('CBL Score Standard'!$D97:$F97),IF(F39&lt;&gt;"",SUM('CBL Score Standard'!$D97:$G97),IF(G39&lt;&gt;"",SUM('CBL Score Standard'!$D97:$H97,0))))))</f>
        <v>0</v>
      </c>
      <c r="K39" s="158"/>
      <c r="L39" s="158"/>
      <c r="M39" s="370"/>
      <c r="N39" s="377"/>
      <c r="O39" s="154"/>
      <c r="P39" s="246" t="s">
        <v>140</v>
      </c>
      <c r="Q39" s="242"/>
      <c r="R39" s="242"/>
      <c r="S39" s="163"/>
      <c r="T39" s="156"/>
      <c r="U39" s="156"/>
      <c r="V39" s="156"/>
      <c r="W39" s="156"/>
      <c r="X39" s="156"/>
      <c r="Y39" s="158"/>
      <c r="Z39" s="374"/>
      <c r="AA39" s="152" t="s">
        <v>603</v>
      </c>
      <c r="AB39" s="152" t="s">
        <v>604</v>
      </c>
      <c r="AC39" s="152" t="s">
        <v>603</v>
      </c>
      <c r="AD39" s="152" t="s">
        <v>604</v>
      </c>
      <c r="AE39" s="152" t="s">
        <v>603</v>
      </c>
      <c r="AF39" s="152" t="s">
        <v>604</v>
      </c>
      <c r="AG39" s="152" t="s">
        <v>603</v>
      </c>
      <c r="AH39" s="152" t="s">
        <v>604</v>
      </c>
      <c r="AI39" s="152" t="s">
        <v>603</v>
      </c>
      <c r="AJ39" s="152" t="s">
        <v>604</v>
      </c>
    </row>
    <row r="40" spans="1:36" x14ac:dyDescent="0.3">
      <c r="A40" s="213" t="s">
        <v>54</v>
      </c>
      <c r="B40" s="206" t="s">
        <v>229</v>
      </c>
      <c r="C40" s="240"/>
      <c r="D40" s="240"/>
      <c r="E40" s="239"/>
      <c r="F40" s="292"/>
      <c r="G40" s="292"/>
      <c r="H40" s="81" t="b">
        <f>IF(C40&lt;&gt;"",'CBL Score Standard'!$D98,IF(D40&lt;&gt;"",SUM('CBL Score Standard'!$D98:$E98),IF(E40&lt;&gt;"",SUM('CBL Score Standard'!$D98:$F98),IF(F40&lt;&gt;"",SUM('CBL Score Standard'!$D98:$G98),IF(G40&lt;&gt;"",SUM('CBL Score Standard'!$D98:$H98,0))))))</f>
        <v>0</v>
      </c>
      <c r="K40" s="160" t="s">
        <v>141</v>
      </c>
      <c r="L40" s="160" t="s">
        <v>142</v>
      </c>
      <c r="M40" s="76" t="s">
        <v>7</v>
      </c>
      <c r="N40" s="35" t="s">
        <v>56</v>
      </c>
      <c r="O40" s="151" t="s">
        <v>594</v>
      </c>
      <c r="P40" s="102"/>
      <c r="Q40" s="193" t="s">
        <v>210</v>
      </c>
      <c r="R40" s="192" t="s">
        <v>211</v>
      </c>
      <c r="S40" s="51"/>
      <c r="T40" s="99"/>
      <c r="U40" s="103"/>
      <c r="V40" s="110"/>
      <c r="W40" s="58"/>
      <c r="X40" s="58"/>
      <c r="Y40" s="40" t="s">
        <v>212</v>
      </c>
      <c r="Z40" s="142">
        <f t="shared" ref="Z40:Z55" si="2">DATEDIF(AA40,AB40,"m")/12+DATEDIF(AC40,AD40,"m")/12+DATEDIF(AE40,AF40,"m")/12+DATEDIF(AG40,AH40,"m")/12+DATEDIF(AI40,AJ40,"m")/12</f>
        <v>0</v>
      </c>
      <c r="AA40" s="143"/>
      <c r="AB40" s="143"/>
      <c r="AC40" s="143"/>
      <c r="AD40" s="143"/>
      <c r="AE40" s="141"/>
      <c r="AF40" s="141"/>
      <c r="AG40" s="141"/>
      <c r="AH40" s="141"/>
      <c r="AI40" s="141"/>
      <c r="AJ40" s="141"/>
    </row>
    <row r="41" spans="1:36" x14ac:dyDescent="0.3">
      <c r="A41" s="213" t="s">
        <v>53</v>
      </c>
      <c r="B41" s="206" t="s">
        <v>361</v>
      </c>
      <c r="C41" s="240"/>
      <c r="D41" s="240"/>
      <c r="E41" s="240"/>
      <c r="F41" s="292"/>
      <c r="G41" s="292"/>
      <c r="H41" s="81" t="b">
        <f>IF(C41&lt;&gt;"",'CBL Score Standard'!$D99,IF(D41&lt;&gt;"",SUM('CBL Score Standard'!$D99:$E99),IF(E41&lt;&gt;"",SUM('CBL Score Standard'!$D99:$F99),IF(F41&lt;&gt;"",SUM('CBL Score Standard'!$D99:$G99),IF(G41&lt;&gt;"",SUM('CBL Score Standard'!$D99:$H99,0))))))</f>
        <v>0</v>
      </c>
      <c r="K41" s="161"/>
      <c r="L41" s="161"/>
      <c r="M41" s="76" t="s">
        <v>7</v>
      </c>
      <c r="N41" s="35" t="s">
        <v>56</v>
      </c>
      <c r="O41" s="61" t="s">
        <v>213</v>
      </c>
      <c r="P41" s="102"/>
      <c r="Q41" s="190" t="s">
        <v>162</v>
      </c>
      <c r="R41" s="192" t="s">
        <v>205</v>
      </c>
      <c r="S41" s="35" t="s">
        <v>564</v>
      </c>
      <c r="T41" s="58" t="s">
        <v>72</v>
      </c>
      <c r="U41" s="103">
        <v>44106</v>
      </c>
      <c r="V41" s="110" t="s">
        <v>382</v>
      </c>
      <c r="W41" s="58"/>
      <c r="X41" s="58"/>
      <c r="Y41" s="43" t="s">
        <v>214</v>
      </c>
      <c r="Z41" s="142">
        <f t="shared" si="2"/>
        <v>0</v>
      </c>
      <c r="AA41" s="143"/>
      <c r="AB41" s="143"/>
      <c r="AC41" s="143"/>
      <c r="AD41" s="143"/>
      <c r="AE41" s="141"/>
      <c r="AF41" s="141"/>
      <c r="AG41" s="141"/>
      <c r="AH41" s="141"/>
      <c r="AI41" s="141"/>
      <c r="AJ41" s="141"/>
    </row>
    <row r="42" spans="1:36" ht="12.75" customHeight="1" x14ac:dyDescent="0.3">
      <c r="A42" s="213" t="s">
        <v>53</v>
      </c>
      <c r="B42" s="206" t="s">
        <v>221</v>
      </c>
      <c r="C42" s="240"/>
      <c r="D42" s="240"/>
      <c r="E42" s="240"/>
      <c r="F42" s="292"/>
      <c r="G42" s="292"/>
      <c r="H42" s="81" t="b">
        <f>IF(C42&lt;&gt;"",'CBL Score Standard'!$D100,IF(D42&lt;&gt;"",SUM('CBL Score Standard'!$D100:$E100),IF(E42&lt;&gt;"",SUM('CBL Score Standard'!$D100:$F100),IF(F42&lt;&gt;"",SUM('CBL Score Standard'!$D100:$G100),IF(G42&lt;&gt;"",SUM('CBL Score Standard'!$D100:$H100,0))))))</f>
        <v>0</v>
      </c>
      <c r="K42" s="161"/>
      <c r="L42" s="161"/>
      <c r="M42" s="76" t="s">
        <v>7</v>
      </c>
      <c r="N42" s="35" t="s">
        <v>55</v>
      </c>
      <c r="O42" s="65" t="s">
        <v>595</v>
      </c>
      <c r="P42" s="102"/>
      <c r="Q42" s="232" t="s">
        <v>584</v>
      </c>
      <c r="R42" s="232" t="s">
        <v>585</v>
      </c>
      <c r="S42" s="35" t="s">
        <v>564</v>
      </c>
      <c r="T42" s="58" t="s">
        <v>72</v>
      </c>
      <c r="U42" s="103">
        <v>44049</v>
      </c>
      <c r="V42" s="110" t="s">
        <v>364</v>
      </c>
      <c r="W42" s="58"/>
      <c r="X42" s="58"/>
      <c r="Y42" s="45" t="s">
        <v>245</v>
      </c>
      <c r="Z42" s="142">
        <f t="shared" si="2"/>
        <v>0</v>
      </c>
      <c r="AA42" s="143"/>
      <c r="AB42" s="143"/>
      <c r="AC42" s="143"/>
      <c r="AD42" s="143"/>
      <c r="AE42" s="141"/>
      <c r="AF42" s="141"/>
      <c r="AG42" s="141"/>
      <c r="AH42" s="141"/>
      <c r="AI42" s="141"/>
      <c r="AJ42" s="141"/>
    </row>
    <row r="43" spans="1:36" ht="27.6" x14ac:dyDescent="0.3">
      <c r="A43" s="213" t="s">
        <v>53</v>
      </c>
      <c r="B43" s="206" t="s">
        <v>224</v>
      </c>
      <c r="C43" s="240"/>
      <c r="D43" s="240"/>
      <c r="E43" s="240"/>
      <c r="F43" s="292"/>
      <c r="G43" s="292"/>
      <c r="H43" s="81" t="b">
        <f>IF(C43&lt;&gt;"",'CBL Score Standard'!$D101,IF(D43&lt;&gt;"",SUM('CBL Score Standard'!$D101:$E101),IF(E43&lt;&gt;"",SUM('CBL Score Standard'!$D101:$F101),IF(F43&lt;&gt;"",SUM('CBL Score Standard'!$D101:$G101),IF(G43&lt;&gt;"",SUM('CBL Score Standard'!$D101:$H101,0))))))</f>
        <v>0</v>
      </c>
      <c r="K43" s="161"/>
      <c r="L43" s="161"/>
      <c r="M43" s="76" t="s">
        <v>7</v>
      </c>
      <c r="N43" s="35" t="s">
        <v>55</v>
      </c>
      <c r="O43" s="61" t="s">
        <v>410</v>
      </c>
      <c r="P43" s="102"/>
      <c r="Q43" s="232" t="s">
        <v>586</v>
      </c>
      <c r="R43" s="232" t="s">
        <v>587</v>
      </c>
      <c r="S43" s="35" t="s">
        <v>564</v>
      </c>
      <c r="T43" s="58" t="s">
        <v>72</v>
      </c>
      <c r="U43" s="103">
        <v>44111</v>
      </c>
      <c r="V43" s="110" t="s">
        <v>364</v>
      </c>
      <c r="W43" s="58"/>
      <c r="X43" s="58"/>
      <c r="Y43" s="43" t="s">
        <v>217</v>
      </c>
      <c r="Z43" s="142">
        <f t="shared" si="2"/>
        <v>0</v>
      </c>
      <c r="AA43" s="143"/>
      <c r="AB43" s="143"/>
      <c r="AC43" s="143"/>
      <c r="AD43" s="143"/>
      <c r="AE43" s="141"/>
      <c r="AF43" s="141"/>
      <c r="AG43" s="141"/>
      <c r="AH43" s="141"/>
      <c r="AI43" s="141"/>
      <c r="AJ43" s="141"/>
    </row>
    <row r="44" spans="1:36" ht="26.4" x14ac:dyDescent="0.3">
      <c r="A44" s="213" t="s">
        <v>53</v>
      </c>
      <c r="B44" s="206" t="s">
        <v>637</v>
      </c>
      <c r="C44" s="240"/>
      <c r="D44" s="240"/>
      <c r="E44" s="240"/>
      <c r="F44" s="292"/>
      <c r="G44" s="292"/>
      <c r="H44" s="81" t="b">
        <f>IF(C44&lt;&gt;"",'CBL Score Standard'!$D102,IF(D44&lt;&gt;"",SUM('CBL Score Standard'!$D102:$E102),IF(E44&lt;&gt;"",SUM('CBL Score Standard'!$D102:$F102),IF(F44&lt;&gt;"",SUM('CBL Score Standard'!$D102:$G102),IF(G44&lt;&gt;"",SUM('CBL Score Standard'!$D102:$H102,0))))))</f>
        <v>0</v>
      </c>
      <c r="K44" s="161"/>
      <c r="L44" s="161"/>
      <c r="M44" s="76" t="s">
        <v>7</v>
      </c>
      <c r="N44" s="35" t="s">
        <v>55</v>
      </c>
      <c r="O44" s="61" t="s">
        <v>183</v>
      </c>
      <c r="P44" s="102"/>
      <c r="Q44" s="232" t="s">
        <v>218</v>
      </c>
      <c r="R44" s="232" t="s">
        <v>266</v>
      </c>
      <c r="S44" s="35"/>
      <c r="T44" s="58"/>
      <c r="U44" s="58"/>
      <c r="V44" s="58"/>
      <c r="W44" s="58"/>
      <c r="X44" s="58"/>
      <c r="Y44" s="43" t="s">
        <v>184</v>
      </c>
      <c r="Z44" s="142">
        <f t="shared" si="2"/>
        <v>0</v>
      </c>
      <c r="AA44" s="143"/>
      <c r="AB44" s="143"/>
      <c r="AC44" s="143"/>
      <c r="AD44" s="143"/>
      <c r="AE44" s="141"/>
      <c r="AF44" s="141"/>
      <c r="AG44" s="141"/>
      <c r="AH44" s="141"/>
      <c r="AI44" s="141"/>
      <c r="AJ44" s="141"/>
    </row>
    <row r="45" spans="1:36" ht="27.6" x14ac:dyDescent="0.3">
      <c r="A45" s="213" t="s">
        <v>41</v>
      </c>
      <c r="B45" s="206" t="s">
        <v>412</v>
      </c>
      <c r="C45" s="292"/>
      <c r="D45" s="292"/>
      <c r="E45" s="292"/>
      <c r="F45" s="292"/>
      <c r="G45" s="292"/>
      <c r="H45" s="81" t="b">
        <f>IF(C45&lt;&gt;"",'CBL Score Standard'!$D103,IF(D45&lt;&gt;"",SUM('CBL Score Standard'!$D103:$E103),IF(E45&lt;&gt;"",SUM('CBL Score Standard'!$D103:$F103),IF(F45&lt;&gt;"",SUM('CBL Score Standard'!$D103:$G103),IF(G45&lt;&gt;"",SUM('CBL Score Standard'!$D103:$H103,0))))))</f>
        <v>0</v>
      </c>
      <c r="K45" s="161"/>
      <c r="L45" s="161"/>
      <c r="M45" s="76" t="s">
        <v>7</v>
      </c>
      <c r="N45" s="35" t="s">
        <v>55</v>
      </c>
      <c r="O45" s="61" t="s">
        <v>617</v>
      </c>
      <c r="P45" s="102"/>
      <c r="Q45" s="232" t="s">
        <v>589</v>
      </c>
      <c r="R45" s="232" t="s">
        <v>588</v>
      </c>
      <c r="S45" s="35"/>
      <c r="T45" s="58"/>
      <c r="U45" s="58"/>
      <c r="V45" s="58"/>
      <c r="W45" s="58"/>
      <c r="X45" s="58"/>
      <c r="Y45" s="43" t="s">
        <v>184</v>
      </c>
      <c r="Z45" s="142">
        <f t="shared" si="2"/>
        <v>0</v>
      </c>
      <c r="AA45" s="143"/>
      <c r="AB45" s="143"/>
      <c r="AC45" s="143"/>
      <c r="AD45" s="143"/>
      <c r="AE45" s="141"/>
      <c r="AF45" s="141"/>
      <c r="AG45" s="141"/>
      <c r="AH45" s="141"/>
      <c r="AI45" s="141"/>
      <c r="AJ45" s="141"/>
    </row>
    <row r="46" spans="1:36" ht="26.4" x14ac:dyDescent="0.3">
      <c r="A46" s="213" t="s">
        <v>41</v>
      </c>
      <c r="B46" s="206" t="s">
        <v>176</v>
      </c>
      <c r="C46" s="240"/>
      <c r="D46" s="292"/>
      <c r="E46" s="292"/>
      <c r="F46" s="292"/>
      <c r="G46" s="292"/>
      <c r="H46" s="81" t="b">
        <f>IF(C46&lt;&gt;"",'CBL Score Standard'!$D104,IF(D46&lt;&gt;"",SUM('CBL Score Standard'!$D104:$E104),IF(E46&lt;&gt;"",SUM('CBL Score Standard'!$D104:$F104),IF(F46&lt;&gt;"",SUM('CBL Score Standard'!$D104:$G104),IF(G46&lt;&gt;"",SUM('CBL Score Standard'!$D104:$H104,0))))))</f>
        <v>0</v>
      </c>
      <c r="K46" s="161"/>
      <c r="L46" s="161"/>
      <c r="M46" s="76" t="s">
        <v>7</v>
      </c>
      <c r="N46" s="35" t="s">
        <v>55</v>
      </c>
      <c r="O46" s="61" t="s">
        <v>596</v>
      </c>
      <c r="P46" s="236"/>
      <c r="Q46" s="190" t="s">
        <v>219</v>
      </c>
      <c r="R46" s="192" t="s">
        <v>198</v>
      </c>
      <c r="S46" s="35" t="s">
        <v>564</v>
      </c>
      <c r="T46" s="58" t="s">
        <v>72</v>
      </c>
      <c r="U46" s="41">
        <v>44035</v>
      </c>
      <c r="V46" s="58" t="s">
        <v>364</v>
      </c>
      <c r="W46" s="58"/>
      <c r="X46" s="58"/>
      <c r="Y46" s="40" t="s">
        <v>220</v>
      </c>
      <c r="Z46" s="142">
        <f t="shared" si="2"/>
        <v>0</v>
      </c>
      <c r="AA46" s="143"/>
      <c r="AB46" s="143"/>
      <c r="AC46" s="143"/>
      <c r="AD46" s="143"/>
      <c r="AE46" s="141"/>
      <c r="AF46" s="141"/>
      <c r="AG46" s="141"/>
      <c r="AH46" s="141"/>
      <c r="AI46" s="141"/>
      <c r="AJ46" s="141"/>
    </row>
    <row r="47" spans="1:36" x14ac:dyDescent="0.3">
      <c r="A47" s="213" t="s">
        <v>227</v>
      </c>
      <c r="B47" s="206" t="s">
        <v>242</v>
      </c>
      <c r="C47" s="240"/>
      <c r="D47" s="240"/>
      <c r="E47" s="240"/>
      <c r="F47" s="240"/>
      <c r="G47" s="292"/>
      <c r="H47" s="81" t="b">
        <f>IF(C47&lt;&gt;"",'CBL Score Standard'!$D105,IF(D47&lt;&gt;"",SUM('CBL Score Standard'!$D105:$E105),IF(E47&lt;&gt;"",SUM('CBL Score Standard'!$D105:$F105),IF(F47&lt;&gt;"",SUM('CBL Score Standard'!$D105:$G105),IF(G47&lt;&gt;"",SUM('CBL Score Standard'!$D105:$H105,0))))))</f>
        <v>0</v>
      </c>
      <c r="K47" s="161"/>
      <c r="L47" s="161"/>
      <c r="M47" s="76" t="s">
        <v>7</v>
      </c>
      <c r="N47" s="35" t="s">
        <v>53</v>
      </c>
      <c r="O47" s="61" t="s">
        <v>221</v>
      </c>
      <c r="P47" s="196"/>
      <c r="Q47" s="189" t="s">
        <v>222</v>
      </c>
      <c r="R47" s="197" t="s">
        <v>223</v>
      </c>
      <c r="S47" s="35"/>
      <c r="T47" s="58"/>
      <c r="U47" s="58"/>
      <c r="V47" s="58"/>
      <c r="W47" s="58"/>
      <c r="X47" s="58"/>
      <c r="Y47" s="46" t="s">
        <v>570</v>
      </c>
      <c r="Z47" s="142">
        <f t="shared" si="2"/>
        <v>0</v>
      </c>
      <c r="AA47" s="143"/>
      <c r="AB47" s="143"/>
      <c r="AC47" s="143"/>
      <c r="AD47" s="143"/>
      <c r="AE47" s="141"/>
      <c r="AF47" s="141"/>
      <c r="AG47" s="141"/>
      <c r="AH47" s="141"/>
      <c r="AI47" s="141"/>
      <c r="AJ47" s="141"/>
    </row>
    <row r="48" spans="1:36" x14ac:dyDescent="0.3">
      <c r="A48" s="213" t="s">
        <v>143</v>
      </c>
      <c r="B48" s="206" t="s">
        <v>362</v>
      </c>
      <c r="C48" s="292"/>
      <c r="D48" s="292"/>
      <c r="E48" s="292"/>
      <c r="F48" s="292"/>
      <c r="G48" s="292"/>
      <c r="H48" s="81" t="b">
        <f>IF(C48&lt;&gt;"",'CBL Score Standard'!$D106,IF(D48&lt;&gt;"",SUM('CBL Score Standard'!$D106:$E106),IF(E48&lt;&gt;"",SUM('CBL Score Standard'!$D106:$F106),IF(F48&lt;&gt;"",SUM('CBL Score Standard'!$D106:$G106),IF(G48&lt;&gt;"",SUM('CBL Score Standard'!$D106:$H106,0))))))</f>
        <v>0</v>
      </c>
      <c r="K48" s="161"/>
      <c r="L48" s="161"/>
      <c r="M48" s="76" t="s">
        <v>7</v>
      </c>
      <c r="N48" s="35" t="s">
        <v>53</v>
      </c>
      <c r="O48" s="61" t="s">
        <v>224</v>
      </c>
      <c r="P48" s="196"/>
      <c r="Q48" s="189" t="s">
        <v>225</v>
      </c>
      <c r="R48" s="197" t="s">
        <v>226</v>
      </c>
      <c r="S48" s="35"/>
      <c r="T48" s="58"/>
      <c r="U48" s="58"/>
      <c r="V48" s="58"/>
      <c r="W48" s="58"/>
      <c r="X48" s="58"/>
      <c r="Y48" s="46" t="s">
        <v>571</v>
      </c>
      <c r="Z48" s="142">
        <f t="shared" si="2"/>
        <v>0</v>
      </c>
      <c r="AA48" s="143"/>
      <c r="AB48" s="143"/>
      <c r="AC48" s="143"/>
      <c r="AD48" s="143"/>
      <c r="AE48" s="141"/>
      <c r="AF48" s="141"/>
      <c r="AG48" s="141"/>
      <c r="AH48" s="141"/>
      <c r="AI48" s="141"/>
      <c r="AJ48" s="141"/>
    </row>
    <row r="49" spans="1:40" ht="39.6" x14ac:dyDescent="0.3">
      <c r="A49" s="213" t="s">
        <v>143</v>
      </c>
      <c r="B49" s="206" t="s">
        <v>363</v>
      </c>
      <c r="C49" s="292"/>
      <c r="D49" s="292"/>
      <c r="E49" s="292"/>
      <c r="F49" s="292"/>
      <c r="G49" s="292"/>
      <c r="H49" s="81" t="b">
        <f>IF(C49&lt;&gt;"",'CBL Score Standard'!$D107,IF(D49&lt;&gt;"",SUM('CBL Score Standard'!$D107:$E107),IF(E49&lt;&gt;"",SUM('CBL Score Standard'!$D107:$F107),IF(F49&lt;&gt;"",SUM('CBL Score Standard'!$D107:$G107),IF(G49&lt;&gt;"",SUM('CBL Score Standard'!$D107:$H107,0))))))</f>
        <v>0</v>
      </c>
      <c r="K49" s="161"/>
      <c r="L49" s="161"/>
      <c r="M49" s="76" t="s">
        <v>7</v>
      </c>
      <c r="N49" s="35" t="s">
        <v>59</v>
      </c>
      <c r="O49" s="63" t="s">
        <v>614</v>
      </c>
      <c r="P49" s="196"/>
      <c r="Q49" s="189" t="s">
        <v>152</v>
      </c>
      <c r="R49" s="197" t="s">
        <v>154</v>
      </c>
      <c r="S49" s="35"/>
      <c r="T49" s="58"/>
      <c r="U49" s="104"/>
      <c r="V49" s="110"/>
      <c r="W49" s="58"/>
      <c r="X49" s="58"/>
      <c r="Y49" s="46" t="s">
        <v>569</v>
      </c>
      <c r="Z49" s="142">
        <f t="shared" si="2"/>
        <v>0</v>
      </c>
      <c r="AA49" s="143"/>
      <c r="AB49" s="143"/>
      <c r="AC49" s="143"/>
      <c r="AD49" s="143"/>
      <c r="AE49" s="141"/>
      <c r="AF49" s="141"/>
      <c r="AG49" s="141"/>
      <c r="AH49" s="141"/>
      <c r="AI49" s="141"/>
      <c r="AJ49" s="141"/>
    </row>
    <row r="50" spans="1:40" ht="27.6" x14ac:dyDescent="0.3">
      <c r="A50" s="213" t="s">
        <v>643</v>
      </c>
      <c r="B50" s="206" t="s">
        <v>414</v>
      </c>
      <c r="C50" s="292"/>
      <c r="D50" s="292"/>
      <c r="E50" s="292"/>
      <c r="F50" s="292"/>
      <c r="G50" s="292"/>
      <c r="H50" s="81" t="b">
        <f>IF(C50&lt;&gt;"",'CBL Score Standard'!$D108,IF(D50&lt;&gt;"",SUM('CBL Score Standard'!$D108:$E108),IF(E50&lt;&gt;"",SUM('CBL Score Standard'!$D108:$F108),IF(F50&lt;&gt;"",SUM('CBL Score Standard'!$D108:$G108),IF(G50&lt;&gt;"",SUM('CBL Score Standard'!$D108:$H108,0))))))</f>
        <v>0</v>
      </c>
      <c r="K50" s="161"/>
      <c r="L50" s="161"/>
      <c r="M50" s="76" t="s">
        <v>7</v>
      </c>
      <c r="N50" s="35" t="s">
        <v>59</v>
      </c>
      <c r="O50" s="63" t="s">
        <v>613</v>
      </c>
      <c r="P50" s="196"/>
      <c r="Q50" s="189" t="s">
        <v>152</v>
      </c>
      <c r="R50" s="197" t="s">
        <v>154</v>
      </c>
      <c r="S50" s="35"/>
      <c r="T50" s="58"/>
      <c r="U50" s="104"/>
      <c r="V50" s="110"/>
      <c r="W50" s="58"/>
      <c r="X50" s="58"/>
      <c r="Y50" s="46" t="s">
        <v>569</v>
      </c>
      <c r="Z50" s="142">
        <f t="shared" si="2"/>
        <v>0</v>
      </c>
      <c r="AA50" s="143"/>
      <c r="AB50" s="143"/>
      <c r="AC50" s="143"/>
      <c r="AD50" s="143"/>
      <c r="AE50" s="141"/>
      <c r="AF50" s="141"/>
      <c r="AG50" s="141"/>
      <c r="AH50" s="141"/>
      <c r="AI50" s="141"/>
      <c r="AJ50" s="141"/>
    </row>
    <row r="51" spans="1:40" ht="28.2" thickBot="1" x14ac:dyDescent="0.35">
      <c r="A51" s="213" t="s">
        <v>643</v>
      </c>
      <c r="B51" s="206" t="s">
        <v>475</v>
      </c>
      <c r="C51" s="292"/>
      <c r="D51" s="292"/>
      <c r="E51" s="292"/>
      <c r="F51" s="292"/>
      <c r="G51" s="292"/>
      <c r="H51" s="81" t="b">
        <f>IF(C51&lt;&gt;"",'CBL Score Standard'!$D109,IF(D51&lt;&gt;"",SUM('CBL Score Standard'!$D109:$E109),IF(E51&lt;&gt;"",SUM('CBL Score Standard'!$D109:$F109),IF(F51&lt;&gt;"",SUM('CBL Score Standard'!$D109:$G109),IF(G51&lt;&gt;"",SUM('CBL Score Standard'!$D109:$H109,0))))))</f>
        <v>0</v>
      </c>
      <c r="K51" s="161"/>
      <c r="L51" s="161"/>
      <c r="M51" s="76" t="s">
        <v>7</v>
      </c>
      <c r="N51" s="35" t="s">
        <v>56</v>
      </c>
      <c r="O51" s="63" t="s">
        <v>67</v>
      </c>
      <c r="P51" s="196"/>
      <c r="Q51" s="230" t="s">
        <v>575</v>
      </c>
      <c r="R51" s="231" t="s">
        <v>576</v>
      </c>
      <c r="S51" s="58"/>
      <c r="T51" s="58"/>
      <c r="U51" s="58"/>
      <c r="V51" s="58"/>
      <c r="W51" s="58"/>
      <c r="X51" s="58"/>
      <c r="Y51" s="46" t="s">
        <v>572</v>
      </c>
      <c r="Z51" s="142">
        <f t="shared" si="2"/>
        <v>0</v>
      </c>
      <c r="AA51" s="143"/>
      <c r="AB51" s="143"/>
      <c r="AC51" s="143"/>
      <c r="AD51" s="143"/>
      <c r="AE51" s="141"/>
      <c r="AF51" s="141"/>
      <c r="AG51" s="141"/>
      <c r="AH51" s="141"/>
      <c r="AI51" s="141"/>
      <c r="AJ51" s="141"/>
    </row>
    <row r="52" spans="1:40" ht="28.2" thickBot="1" x14ac:dyDescent="0.35">
      <c r="A52" s="213" t="s">
        <v>643</v>
      </c>
      <c r="B52" s="206" t="s">
        <v>592</v>
      </c>
      <c r="C52" s="292"/>
      <c r="D52" s="292"/>
      <c r="E52" s="292"/>
      <c r="F52" s="292"/>
      <c r="G52" s="292"/>
      <c r="H52" s="81" t="b">
        <f>IF(C52&lt;&gt;"",'CBL Score Standard'!$D110,IF(D52&lt;&gt;"",SUM('CBL Score Standard'!$D110:$E110),IF(E52&lt;&gt;"",SUM('CBL Score Standard'!$D110:$F110),IF(F52&lt;&gt;"",SUM('CBL Score Standard'!$D110:$G110),IF(G52&lt;&gt;"",SUM('CBL Score Standard'!$D110:$H110,0))))))</f>
        <v>0</v>
      </c>
      <c r="K52" s="161"/>
      <c r="L52" s="161"/>
      <c r="M52" s="76" t="s">
        <v>7</v>
      </c>
      <c r="N52" s="35" t="s">
        <v>55</v>
      </c>
      <c r="O52" s="63" t="s">
        <v>1</v>
      </c>
      <c r="P52" s="196"/>
      <c r="Q52" s="230" t="s">
        <v>577</v>
      </c>
      <c r="R52" s="231" t="s">
        <v>314</v>
      </c>
      <c r="S52" s="58"/>
      <c r="T52" s="58"/>
      <c r="U52" s="58"/>
      <c r="V52" s="58"/>
      <c r="W52" s="58"/>
      <c r="X52" s="58"/>
      <c r="Y52" s="46" t="s">
        <v>573</v>
      </c>
      <c r="Z52" s="142">
        <f t="shared" si="2"/>
        <v>0</v>
      </c>
      <c r="AA52" s="143"/>
      <c r="AB52" s="143"/>
      <c r="AC52" s="143"/>
      <c r="AD52" s="143"/>
      <c r="AE52" s="141"/>
      <c r="AF52" s="141"/>
      <c r="AG52" s="141"/>
      <c r="AH52" s="141"/>
      <c r="AI52" s="141"/>
      <c r="AJ52" s="141"/>
    </row>
    <row r="53" spans="1:40" ht="28.8" x14ac:dyDescent="0.3">
      <c r="A53" s="213" t="s">
        <v>643</v>
      </c>
      <c r="B53" s="206" t="s">
        <v>593</v>
      </c>
      <c r="C53" s="292"/>
      <c r="D53" s="292"/>
      <c r="E53" s="292"/>
      <c r="F53" s="292"/>
      <c r="G53" s="292"/>
      <c r="H53" s="81" t="b">
        <f>IF(C53&lt;&gt;"",'CBL Score Standard'!$D111,IF(D53&lt;&gt;"",SUM('CBL Score Standard'!$D111:$E111),IF(E53&lt;&gt;"",SUM('CBL Score Standard'!$D111:$F111),IF(F53&lt;&gt;"",SUM('CBL Score Standard'!$D111:$G111),IF(G53&lt;&gt;"",SUM('CBL Score Standard'!$D111:$H111,0))))))</f>
        <v>0</v>
      </c>
      <c r="K53" s="161"/>
      <c r="L53" s="161"/>
      <c r="M53" s="76" t="s">
        <v>7</v>
      </c>
      <c r="N53" s="35" t="s">
        <v>56</v>
      </c>
      <c r="O53" s="63" t="s">
        <v>383</v>
      </c>
      <c r="P53" s="196"/>
      <c r="Q53" s="189" t="s">
        <v>384</v>
      </c>
      <c r="R53" s="197" t="s">
        <v>264</v>
      </c>
      <c r="S53" s="35" t="s">
        <v>564</v>
      </c>
      <c r="T53" s="58" t="s">
        <v>72</v>
      </c>
      <c r="U53" s="104"/>
      <c r="V53" s="58"/>
      <c r="W53" s="58"/>
      <c r="X53" s="58"/>
      <c r="Y53" s="139" t="s">
        <v>568</v>
      </c>
      <c r="Z53" s="142">
        <f t="shared" si="2"/>
        <v>0</v>
      </c>
      <c r="AA53" s="143"/>
      <c r="AB53" s="143"/>
      <c r="AC53" s="143"/>
      <c r="AD53" s="143"/>
      <c r="AE53" s="141"/>
      <c r="AF53" s="141"/>
      <c r="AG53" s="141"/>
      <c r="AH53" s="141"/>
      <c r="AI53" s="141"/>
      <c r="AJ53" s="141"/>
    </row>
    <row r="54" spans="1:40" x14ac:dyDescent="0.3">
      <c r="A54" s="213" t="s">
        <v>643</v>
      </c>
      <c r="B54" s="111" t="s">
        <v>640</v>
      </c>
      <c r="C54" s="292"/>
      <c r="D54" s="292"/>
      <c r="E54" s="292"/>
      <c r="F54" s="292"/>
      <c r="G54" s="292"/>
      <c r="H54" s="81" t="b">
        <f>IF(C54&lt;&gt;"",'CBL Score Standard'!$D112,IF(D54&lt;&gt;"",SUM('CBL Score Standard'!$D112:$E112),IF(E54&lt;&gt;"",SUM('CBL Score Standard'!$D112:$F112),IF(F54&lt;&gt;"",SUM('CBL Score Standard'!$D112:$G112),IF(G54&lt;&gt;"",SUM('CBL Score Standard'!$D112:$H112,0))))))</f>
        <v>0</v>
      </c>
      <c r="K54" s="161"/>
      <c r="L54" s="161"/>
      <c r="M54" s="76" t="s">
        <v>7</v>
      </c>
      <c r="N54" s="35" t="s">
        <v>56</v>
      </c>
      <c r="O54" s="63" t="s">
        <v>385</v>
      </c>
      <c r="P54" s="188"/>
      <c r="Q54" s="189" t="s">
        <v>387</v>
      </c>
      <c r="R54" s="189" t="s">
        <v>386</v>
      </c>
      <c r="S54" s="35"/>
      <c r="T54" s="58"/>
      <c r="U54" s="58"/>
      <c r="V54" s="58"/>
      <c r="W54" s="58"/>
      <c r="X54" s="58"/>
      <c r="Y54" s="139" t="s">
        <v>566</v>
      </c>
      <c r="Z54" s="142">
        <f t="shared" si="2"/>
        <v>0</v>
      </c>
      <c r="AA54" s="143"/>
      <c r="AB54" s="143"/>
      <c r="AC54" s="143"/>
      <c r="AD54" s="143"/>
      <c r="AE54" s="141"/>
      <c r="AF54" s="141"/>
      <c r="AG54" s="141"/>
      <c r="AH54" s="141"/>
      <c r="AI54" s="141"/>
      <c r="AJ54" s="141"/>
    </row>
    <row r="55" spans="1:40" customFormat="1" x14ac:dyDescent="0.3">
      <c r="A55" s="213" t="s">
        <v>643</v>
      </c>
      <c r="B55" s="111" t="s">
        <v>641</v>
      </c>
      <c r="C55" s="291"/>
      <c r="D55" s="291"/>
      <c r="E55" s="292"/>
      <c r="F55" s="292"/>
      <c r="G55" s="292"/>
      <c r="H55" s="81" t="b">
        <f>IF(C55&lt;&gt;"",'CBL Score Standard'!$D113,IF(D55&lt;&gt;"",SUM('CBL Score Standard'!$D113:$E113),IF(E55&lt;&gt;"",SUM('CBL Score Standard'!$D113:$F113),IF(F55&lt;&gt;"",SUM('CBL Score Standard'!$D113:$G113),IF(G55&lt;&gt;"",SUM('CBL Score Standard'!$D113:$H113,0))))))</f>
        <v>0</v>
      </c>
      <c r="K55" s="162"/>
      <c r="L55" s="162"/>
      <c r="M55" s="76" t="s">
        <v>7</v>
      </c>
      <c r="N55" s="35" t="s">
        <v>54</v>
      </c>
      <c r="O55" s="63" t="s">
        <v>229</v>
      </c>
      <c r="P55" s="236"/>
      <c r="Q55" s="190" t="s">
        <v>634</v>
      </c>
      <c r="R55" s="192" t="s">
        <v>561</v>
      </c>
      <c r="S55" s="35"/>
      <c r="T55" s="58"/>
      <c r="U55" s="58"/>
      <c r="V55" s="58"/>
      <c r="W55" s="58"/>
      <c r="X55" s="58"/>
      <c r="Y55" s="43" t="s">
        <v>230</v>
      </c>
      <c r="Z55" s="142">
        <f t="shared" si="2"/>
        <v>0</v>
      </c>
      <c r="AA55" s="143"/>
      <c r="AB55" s="143"/>
      <c r="AC55" s="143"/>
      <c r="AD55" s="143"/>
      <c r="AE55" s="141"/>
      <c r="AF55" s="141"/>
      <c r="AG55" s="141"/>
      <c r="AH55" s="141"/>
      <c r="AI55" s="141"/>
      <c r="AJ55" s="141"/>
    </row>
    <row r="56" spans="1:40" customFormat="1" x14ac:dyDescent="0.3">
      <c r="A56" s="213" t="s">
        <v>643</v>
      </c>
      <c r="B56" s="206" t="s">
        <v>679</v>
      </c>
      <c r="C56" s="240"/>
      <c r="D56" s="292"/>
      <c r="E56" s="292"/>
      <c r="F56" s="292"/>
      <c r="G56" s="292"/>
      <c r="H56" s="81" t="b">
        <f>IF(C56&lt;&gt;"",'CBL Score Standard'!$D114,IF(D56&lt;&gt;"",SUM('CBL Score Standard'!$D114:$E114),IF(E56&lt;&gt;"",SUM('CBL Score Standard'!$D114:$F114),IF(F56&lt;&gt;"",SUM('CBL Score Standard'!$D114:$G114),IF(G56&lt;&gt;"",SUM('CBL Score Standard'!$D114:$H114,0))))))</f>
        <v>0</v>
      </c>
      <c r="K56" s="3"/>
      <c r="L56" s="3"/>
      <c r="M56" s="3"/>
      <c r="N56" s="66"/>
      <c r="O56" s="3"/>
      <c r="P56" s="182"/>
      <c r="Q56" s="182"/>
      <c r="R56" s="182"/>
      <c r="S56" s="3"/>
      <c r="T56" s="56"/>
      <c r="U56" s="56"/>
      <c r="V56" s="56"/>
      <c r="W56" s="56"/>
      <c r="X56" s="56"/>
      <c r="Y56" s="3"/>
      <c r="Z56" s="3"/>
      <c r="AA56" s="3"/>
      <c r="AB56" s="3"/>
      <c r="AC56" s="3"/>
      <c r="AD56" s="3"/>
      <c r="AE56" s="3"/>
      <c r="AF56" s="3"/>
      <c r="AG56" s="3"/>
      <c r="AH56" s="3"/>
      <c r="AI56" s="3"/>
      <c r="AJ56" s="3"/>
    </row>
    <row r="57" spans="1:40" ht="26.4" x14ac:dyDescent="0.45">
      <c r="A57" s="213" t="s">
        <v>643</v>
      </c>
      <c r="B57" s="206" t="s">
        <v>186</v>
      </c>
      <c r="C57" s="240"/>
      <c r="D57" s="292"/>
      <c r="E57" s="292"/>
      <c r="F57" s="292"/>
      <c r="G57" s="292"/>
      <c r="H57" s="81" t="b">
        <f>IF(C57&lt;&gt;"",'CBL Score Standard'!$D115,IF(D57&lt;&gt;"",SUM('CBL Score Standard'!$D115:$E115),IF(E57&lt;&gt;"",SUM('CBL Score Standard'!$D115:$F115),IF(F57&lt;&gt;"",SUM('CBL Score Standard'!$D115:$G115),IF(G57&lt;&gt;"",SUM('CBL Score Standard'!$D115:$H115,0))))))</f>
        <v>0</v>
      </c>
      <c r="K57" s="360" t="s">
        <v>231</v>
      </c>
      <c r="L57" s="361"/>
      <c r="M57" s="361"/>
      <c r="N57" s="361"/>
      <c r="O57" s="361"/>
      <c r="P57" s="361"/>
      <c r="Q57" s="361"/>
      <c r="R57" s="361"/>
      <c r="S57" s="361"/>
      <c r="T57" s="361"/>
      <c r="U57" s="361"/>
      <c r="V57" s="361"/>
      <c r="W57" s="361"/>
      <c r="X57" s="361"/>
      <c r="Y57" s="153"/>
      <c r="Z57" s="146"/>
      <c r="AA57" s="153"/>
      <c r="AB57" s="153"/>
      <c r="AC57" s="153"/>
      <c r="AD57" s="153"/>
      <c r="AE57" s="153"/>
      <c r="AF57" s="153"/>
      <c r="AG57" s="153"/>
      <c r="AH57" s="153"/>
      <c r="AI57" s="153"/>
      <c r="AJ57" s="153"/>
    </row>
    <row r="58" spans="1:40" ht="27.6" x14ac:dyDescent="0.3">
      <c r="A58" s="213" t="s">
        <v>643</v>
      </c>
      <c r="B58" s="111" t="s">
        <v>644</v>
      </c>
      <c r="C58" s="291"/>
      <c r="D58" s="291"/>
      <c r="E58" s="291"/>
      <c r="F58" s="291"/>
      <c r="G58" s="291"/>
      <c r="H58" s="81" t="b">
        <f>IF(C58&lt;&gt;"",'CBL Score Standard'!$D116,IF(D58&lt;&gt;"",SUM('CBL Score Standard'!$D116:$E116),IF(E58&lt;&gt;"",SUM('CBL Score Standard'!$D116:$F116),IF(F58&lt;&gt;"",SUM('CBL Score Standard'!$D116:$G116),IF(G58&lt;&gt;"",SUM('CBL Score Standard'!$D116:$H116,0))))))</f>
        <v>0</v>
      </c>
      <c r="K58" s="159" t="s">
        <v>132</v>
      </c>
      <c r="L58" s="159" t="s">
        <v>91</v>
      </c>
      <c r="M58" s="369" t="s">
        <v>75</v>
      </c>
      <c r="N58" s="371" t="s">
        <v>133</v>
      </c>
      <c r="O58" s="155" t="s">
        <v>134</v>
      </c>
      <c r="P58" s="243" t="s">
        <v>135</v>
      </c>
      <c r="Q58" s="243" t="s">
        <v>136</v>
      </c>
      <c r="R58" s="243" t="s">
        <v>137</v>
      </c>
      <c r="S58" s="164" t="s">
        <v>138</v>
      </c>
      <c r="T58" s="156" t="s">
        <v>334</v>
      </c>
      <c r="U58" s="156" t="s">
        <v>332</v>
      </c>
      <c r="V58" s="156" t="s">
        <v>333</v>
      </c>
      <c r="W58" s="156" t="s">
        <v>365</v>
      </c>
      <c r="X58" s="156" t="s">
        <v>366</v>
      </c>
      <c r="Y58" s="159" t="s">
        <v>139</v>
      </c>
      <c r="Z58" s="373" t="s">
        <v>598</v>
      </c>
      <c r="AA58" s="359" t="s">
        <v>597</v>
      </c>
      <c r="AB58" s="359"/>
      <c r="AC58" s="359" t="s">
        <v>599</v>
      </c>
      <c r="AD58" s="359"/>
      <c r="AE58" s="359" t="s">
        <v>600</v>
      </c>
      <c r="AF58" s="359"/>
      <c r="AG58" s="359" t="s">
        <v>601</v>
      </c>
      <c r="AH58" s="359"/>
      <c r="AI58" s="359" t="s">
        <v>602</v>
      </c>
      <c r="AJ58" s="359"/>
    </row>
    <row r="59" spans="1:40" ht="27.6" x14ac:dyDescent="0.3">
      <c r="A59" s="213" t="s">
        <v>643</v>
      </c>
      <c r="B59" s="206" t="s">
        <v>189</v>
      </c>
      <c r="C59" s="240"/>
      <c r="D59" s="240"/>
      <c r="E59" s="292"/>
      <c r="F59" s="292"/>
      <c r="G59" s="292"/>
      <c r="H59" s="81" t="b">
        <f>IF(C59&lt;&gt;"",'CBL Score Standard'!$D117,IF(D59&lt;&gt;"",SUM('CBL Score Standard'!$D117:$E117),IF(E59&lt;&gt;"",SUM('CBL Score Standard'!$D117:$F117),IF(F59&lt;&gt;"",SUM('CBL Score Standard'!$D117:$G117),IF(G59&lt;&gt;"",SUM('CBL Score Standard'!$D117:$H117,0))))))</f>
        <v>0</v>
      </c>
      <c r="K59" s="158"/>
      <c r="L59" s="158"/>
      <c r="M59" s="370"/>
      <c r="N59" s="372"/>
      <c r="O59" s="154"/>
      <c r="P59" s="186" t="s">
        <v>140</v>
      </c>
      <c r="Q59" s="242"/>
      <c r="R59" s="242"/>
      <c r="S59" s="163"/>
      <c r="T59" s="156"/>
      <c r="U59" s="156"/>
      <c r="V59" s="156"/>
      <c r="W59" s="156"/>
      <c r="X59" s="156"/>
      <c r="Y59" s="158"/>
      <c r="Z59" s="374"/>
      <c r="AA59" s="152" t="s">
        <v>603</v>
      </c>
      <c r="AB59" s="152" t="s">
        <v>604</v>
      </c>
      <c r="AC59" s="152" t="s">
        <v>603</v>
      </c>
      <c r="AD59" s="152" t="s">
        <v>604</v>
      </c>
      <c r="AE59" s="152" t="s">
        <v>603</v>
      </c>
      <c r="AF59" s="152" t="s">
        <v>604</v>
      </c>
      <c r="AG59" s="152" t="s">
        <v>603</v>
      </c>
      <c r="AH59" s="152" t="s">
        <v>604</v>
      </c>
      <c r="AI59" s="152" t="s">
        <v>603</v>
      </c>
      <c r="AJ59" s="152" t="s">
        <v>604</v>
      </c>
    </row>
    <row r="60" spans="1:40" x14ac:dyDescent="0.3">
      <c r="A60" s="150" t="s">
        <v>56</v>
      </c>
      <c r="B60" s="206" t="s">
        <v>383</v>
      </c>
      <c r="C60" s="240"/>
      <c r="D60" s="240"/>
      <c r="E60" s="292"/>
      <c r="F60" s="292"/>
      <c r="G60" s="292"/>
      <c r="H60" s="81" t="b">
        <f>IF(C60&lt;&gt;"",'CBL Score Standard'!$D118,IF(D60&lt;&gt;"",SUM('CBL Score Standard'!$D118:$E118),IF(E60&lt;&gt;"",SUM('CBL Score Standard'!$D118:$F118),IF(F60&lt;&gt;"",SUM('CBL Score Standard'!$D118:$G118),IF(G60&lt;&gt;"",SUM('CBL Score Standard'!$D118:$H118,0))))))</f>
        <v>0</v>
      </c>
      <c r="K60" s="160" t="s">
        <v>141</v>
      </c>
      <c r="L60" s="160" t="s">
        <v>142</v>
      </c>
      <c r="M60" s="76" t="s">
        <v>8</v>
      </c>
      <c r="N60" s="47" t="s">
        <v>2</v>
      </c>
      <c r="O60" s="36" t="s">
        <v>232</v>
      </c>
      <c r="P60" s="200"/>
      <c r="Q60" s="199"/>
      <c r="R60" s="201"/>
      <c r="S60" s="35"/>
      <c r="T60" s="58"/>
      <c r="U60" s="58"/>
      <c r="V60" s="58" t="str">
        <f t="shared" ref="V60:V69" si="3">IF(AND(W60="Y",X60="Y"),"Passed",IF(T60="M","Passed", ""))</f>
        <v/>
      </c>
      <c r="W60" s="58"/>
      <c r="X60" s="58"/>
      <c r="Y60" s="46"/>
      <c r="Z60" s="142">
        <f t="shared" ref="Z60:Z69" si="4">DATEDIF(AA60,AB60,"m")/12+DATEDIF(AC60,AD60,"m")/12+DATEDIF(AE60,AF60,"m")/12+DATEDIF(AG60,AH60,"m")/12+DATEDIF(AI60,AJ60,"m")/12</f>
        <v>0</v>
      </c>
      <c r="AA60" s="143"/>
      <c r="AB60" s="143"/>
      <c r="AC60" s="143"/>
      <c r="AD60" s="143"/>
      <c r="AE60" s="141"/>
      <c r="AF60" s="141"/>
      <c r="AG60" s="141"/>
      <c r="AH60" s="141"/>
      <c r="AI60" s="141"/>
      <c r="AJ60" s="141"/>
    </row>
    <row r="61" spans="1:40" ht="27.6" x14ac:dyDescent="0.3">
      <c r="A61" s="213" t="s">
        <v>56</v>
      </c>
      <c r="B61" s="206" t="s">
        <v>385</v>
      </c>
      <c r="C61" s="240"/>
      <c r="D61" s="240"/>
      <c r="E61" s="240"/>
      <c r="F61" s="292"/>
      <c r="G61" s="292"/>
      <c r="H61" s="81" t="b">
        <f>IF(C61&lt;&gt;"",'CBL Score Standard'!$D119,IF(D61&lt;&gt;"",SUM('CBL Score Standard'!$D119:$E119),IF(E61&lt;&gt;"",SUM('CBL Score Standard'!$D119:$F119),IF(F61&lt;&gt;"",SUM('CBL Score Standard'!$D119:$G119),IF(G61&lt;&gt;"",SUM('CBL Score Standard'!$D119:$H119,0))))))</f>
        <v>0</v>
      </c>
      <c r="K61" s="161"/>
      <c r="L61" s="161"/>
      <c r="M61" s="76" t="s">
        <v>8</v>
      </c>
      <c r="N61" s="47" t="s">
        <v>63</v>
      </c>
      <c r="O61" s="36" t="s">
        <v>234</v>
      </c>
      <c r="P61" s="200"/>
      <c r="Q61" s="199"/>
      <c r="R61" s="201"/>
      <c r="S61" s="35"/>
      <c r="T61" s="58"/>
      <c r="U61" s="58"/>
      <c r="V61" s="58" t="str">
        <f t="shared" si="3"/>
        <v/>
      </c>
      <c r="W61" s="58"/>
      <c r="X61" s="58"/>
      <c r="Y61" s="46"/>
      <c r="Z61" s="142">
        <f t="shared" si="4"/>
        <v>0</v>
      </c>
      <c r="AA61" s="143"/>
      <c r="AB61" s="143"/>
      <c r="AC61" s="143"/>
      <c r="AD61" s="143"/>
      <c r="AE61" s="141"/>
      <c r="AF61" s="141"/>
      <c r="AG61" s="141"/>
      <c r="AH61" s="141"/>
      <c r="AI61" s="141"/>
      <c r="AJ61" s="141"/>
    </row>
    <row r="62" spans="1:40" ht="26.4" x14ac:dyDescent="0.3">
      <c r="A62" s="213" t="s">
        <v>56</v>
      </c>
      <c r="B62" s="206" t="s">
        <v>235</v>
      </c>
      <c r="C62" s="240"/>
      <c r="D62" s="240"/>
      <c r="E62" s="240"/>
      <c r="F62" s="292"/>
      <c r="G62" s="292"/>
      <c r="H62" s="81" t="b">
        <f>IF(C62&lt;&gt;"",'CBL Score Standard'!$D120,IF(D62&lt;&gt;"",SUM('CBL Score Standard'!$D120:$E120),IF(E62&lt;&gt;"",SUM('CBL Score Standard'!$D120:$F120),IF(F62&lt;&gt;"",SUM('CBL Score Standard'!$D120:$G120),IF(G62&lt;&gt;"",SUM('CBL Score Standard'!$D120:$H120,0))))))</f>
        <v>0</v>
      </c>
      <c r="K62" s="161"/>
      <c r="L62" s="161"/>
      <c r="M62" s="76" t="s">
        <v>8</v>
      </c>
      <c r="N62" s="35" t="s">
        <v>56</v>
      </c>
      <c r="O62" s="36" t="s">
        <v>235</v>
      </c>
      <c r="P62" s="200"/>
      <c r="Q62" s="199"/>
      <c r="R62" s="201"/>
      <c r="S62" s="35"/>
      <c r="T62" s="58"/>
      <c r="U62" s="58"/>
      <c r="V62" s="58" t="str">
        <f t="shared" si="3"/>
        <v/>
      </c>
      <c r="W62" s="58"/>
      <c r="X62" s="58"/>
      <c r="Y62" s="46"/>
      <c r="Z62" s="142">
        <f t="shared" si="4"/>
        <v>0</v>
      </c>
      <c r="AA62" s="143"/>
      <c r="AB62" s="143"/>
      <c r="AC62" s="143"/>
      <c r="AD62" s="143"/>
      <c r="AE62" s="141"/>
      <c r="AF62" s="141"/>
      <c r="AG62" s="141"/>
      <c r="AH62" s="141"/>
      <c r="AI62" s="141"/>
      <c r="AJ62" s="141"/>
    </row>
    <row r="63" spans="1:40" ht="12.75" customHeight="1" x14ac:dyDescent="0.3">
      <c r="A63" s="213" t="s">
        <v>59</v>
      </c>
      <c r="B63" s="206" t="s">
        <v>237</v>
      </c>
      <c r="C63" s="240"/>
      <c r="D63" s="240"/>
      <c r="E63" s="240"/>
      <c r="F63" s="292"/>
      <c r="G63" s="292"/>
      <c r="H63" s="81" t="b">
        <f>IF(C63&lt;&gt;"",'CBL Score Standard'!$D121,IF(D63&lt;&gt;"",SUM('CBL Score Standard'!$D121:$E121),IF(E63&lt;&gt;"",SUM('CBL Score Standard'!$D121:$F121),IF(F63&lt;&gt;"",SUM('CBL Score Standard'!$D121:$G121),IF(G63&lt;&gt;"",SUM('CBL Score Standard'!$D121:$H121,0))))))</f>
        <v>0</v>
      </c>
      <c r="K63" s="161"/>
      <c r="L63" s="161"/>
      <c r="M63" s="76" t="s">
        <v>8</v>
      </c>
      <c r="N63" s="35" t="s">
        <v>55</v>
      </c>
      <c r="O63" s="36" t="s">
        <v>236</v>
      </c>
      <c r="P63" s="200"/>
      <c r="Q63" s="199"/>
      <c r="R63" s="201"/>
      <c r="S63" s="35"/>
      <c r="T63" s="58"/>
      <c r="U63" s="58"/>
      <c r="V63" s="58" t="str">
        <f t="shared" si="3"/>
        <v/>
      </c>
      <c r="W63" s="58"/>
      <c r="X63" s="58"/>
      <c r="Y63" s="46"/>
      <c r="Z63" s="142">
        <f t="shared" si="4"/>
        <v>0</v>
      </c>
      <c r="AA63" s="143"/>
      <c r="AB63" s="143"/>
      <c r="AC63" s="143"/>
      <c r="AD63" s="143"/>
      <c r="AE63" s="141"/>
      <c r="AF63" s="141"/>
      <c r="AG63" s="141"/>
      <c r="AH63" s="141"/>
      <c r="AI63" s="141"/>
      <c r="AJ63" s="141"/>
    </row>
    <row r="64" spans="1:40" s="182" customFormat="1" ht="12.75" customHeight="1" x14ac:dyDescent="0.3">
      <c r="A64" s="213" t="s">
        <v>56</v>
      </c>
      <c r="B64" s="206" t="s">
        <v>67</v>
      </c>
      <c r="C64" s="240"/>
      <c r="D64" s="240"/>
      <c r="E64" s="292"/>
      <c r="F64" s="292"/>
      <c r="G64" s="292"/>
      <c r="H64" s="212" t="b">
        <f>IF(C64&lt;&gt;"",'CBL Score Standard'!$D122,IF(D64&lt;&gt;"",SUM('CBL Score Standard'!$D122:$E122),IF(E64&lt;&gt;"",SUM('CBL Score Standard'!$D122:$F122),IF(F64&lt;&gt;"",SUM('CBL Score Standard'!$D122:$G122),IF(G64&lt;&gt;"",SUM('CBL Score Standard'!$D122:$H122,0))))))</f>
        <v>0</v>
      </c>
      <c r="K64" s="253"/>
      <c r="L64" s="253"/>
      <c r="M64" s="207"/>
      <c r="N64" s="290"/>
      <c r="O64" s="189"/>
      <c r="P64" s="200"/>
      <c r="Q64" s="199"/>
      <c r="R64" s="201"/>
      <c r="S64" s="187"/>
      <c r="T64" s="237"/>
      <c r="U64" s="237"/>
      <c r="V64" s="237"/>
      <c r="W64" s="237"/>
      <c r="X64" s="237"/>
      <c r="Y64" s="198"/>
      <c r="Z64" s="234"/>
      <c r="AA64" s="235"/>
      <c r="AB64" s="235"/>
      <c r="AC64" s="235"/>
      <c r="AD64" s="235"/>
      <c r="AE64" s="233"/>
      <c r="AF64" s="233"/>
      <c r="AG64" s="233"/>
      <c r="AH64" s="233"/>
      <c r="AI64" s="233"/>
      <c r="AJ64" s="233"/>
      <c r="AK64" s="181"/>
      <c r="AL64" s="181"/>
      <c r="AM64" s="181"/>
      <c r="AN64" s="181"/>
    </row>
    <row r="65" spans="1:40" s="182" customFormat="1" ht="12.75" customHeight="1" thickBot="1" x14ac:dyDescent="0.35">
      <c r="A65" s="214" t="s">
        <v>55</v>
      </c>
      <c r="B65" s="206" t="s">
        <v>1</v>
      </c>
      <c r="C65" s="240"/>
      <c r="D65" s="240"/>
      <c r="E65" s="292"/>
      <c r="F65" s="292"/>
      <c r="G65" s="292"/>
      <c r="H65" s="212" t="b">
        <f>IF(C65&lt;&gt;"",'CBL Score Standard'!$D123,IF(D65&lt;&gt;"",SUM('CBL Score Standard'!$D123:$E123),IF(E65&lt;&gt;"",SUM('CBL Score Standard'!$D123:$F123),IF(F65&lt;&gt;"",SUM('CBL Score Standard'!$D123:$G123),IF(G65&lt;&gt;"",SUM('CBL Score Standard'!$D123:$H123,0))))))</f>
        <v>0</v>
      </c>
      <c r="K65" s="253"/>
      <c r="L65" s="253"/>
      <c r="M65" s="207"/>
      <c r="N65" s="290"/>
      <c r="O65" s="189"/>
      <c r="P65" s="200"/>
      <c r="Q65" s="199"/>
      <c r="R65" s="201"/>
      <c r="S65" s="187"/>
      <c r="T65" s="237"/>
      <c r="U65" s="237"/>
      <c r="V65" s="237"/>
      <c r="W65" s="237"/>
      <c r="X65" s="237"/>
      <c r="Y65" s="198"/>
      <c r="Z65" s="234"/>
      <c r="AA65" s="235"/>
      <c r="AB65" s="235"/>
      <c r="AC65" s="235"/>
      <c r="AD65" s="235"/>
      <c r="AE65" s="233"/>
      <c r="AF65" s="233"/>
      <c r="AG65" s="233"/>
      <c r="AH65" s="233"/>
      <c r="AI65" s="233"/>
      <c r="AJ65" s="233"/>
      <c r="AK65" s="181"/>
      <c r="AL65" s="181"/>
      <c r="AM65" s="181"/>
      <c r="AN65" s="181"/>
    </row>
    <row r="66" spans="1:40" ht="15" thickBot="1" x14ac:dyDescent="0.35">
      <c r="A66" s="362" t="s">
        <v>79</v>
      </c>
      <c r="B66" s="363"/>
      <c r="C66" s="364"/>
      <c r="D66" s="364"/>
      <c r="E66" s="364"/>
      <c r="F66" s="364"/>
      <c r="G66" s="364"/>
      <c r="H66" s="9">
        <f>SUM(H8:H63)</f>
        <v>0</v>
      </c>
      <c r="K66" s="161"/>
      <c r="L66" s="161"/>
      <c r="M66" s="76" t="s">
        <v>8</v>
      </c>
      <c r="N66" s="47" t="s">
        <v>53</v>
      </c>
      <c r="O66" s="36" t="s">
        <v>637</v>
      </c>
      <c r="P66" s="200"/>
      <c r="Q66" s="199"/>
      <c r="R66" s="201"/>
      <c r="S66" s="35"/>
      <c r="T66" s="58"/>
      <c r="U66" s="58"/>
      <c r="V66" s="58" t="str">
        <f t="shared" si="3"/>
        <v/>
      </c>
      <c r="W66" s="58"/>
      <c r="X66" s="58"/>
      <c r="Y66" s="46"/>
      <c r="Z66" s="142">
        <f t="shared" si="4"/>
        <v>0</v>
      </c>
      <c r="AA66" s="143"/>
      <c r="AB66" s="143"/>
      <c r="AC66" s="143"/>
      <c r="AD66" s="143"/>
      <c r="AE66" s="141"/>
      <c r="AF66" s="141"/>
      <c r="AG66" s="141"/>
      <c r="AH66" s="141"/>
      <c r="AI66" s="141"/>
      <c r="AJ66" s="141"/>
    </row>
    <row r="67" spans="1:40" ht="28.2" thickBot="1" x14ac:dyDescent="0.35">
      <c r="A67" s="84" t="s">
        <v>83</v>
      </c>
      <c r="B67" s="85"/>
      <c r="C67" s="100">
        <v>0.72727272727272729</v>
      </c>
      <c r="D67" s="100">
        <v>0.35</v>
      </c>
      <c r="E67" s="100">
        <v>0</v>
      </c>
      <c r="F67" s="100">
        <v>0</v>
      </c>
      <c r="G67" s="100">
        <v>0</v>
      </c>
      <c r="H67" s="86">
        <v>0</v>
      </c>
      <c r="K67" s="161"/>
      <c r="L67" s="161"/>
      <c r="M67" s="76" t="s">
        <v>8</v>
      </c>
      <c r="N67" s="47" t="s">
        <v>59</v>
      </c>
      <c r="O67" s="36" t="s">
        <v>237</v>
      </c>
      <c r="P67" s="200"/>
      <c r="Q67" s="199"/>
      <c r="R67" s="201"/>
      <c r="S67" s="35"/>
      <c r="T67" s="58"/>
      <c r="U67" s="58"/>
      <c r="V67" s="58" t="str">
        <f t="shared" si="3"/>
        <v/>
      </c>
      <c r="W67" s="58"/>
      <c r="X67" s="58"/>
      <c r="Y67" s="46"/>
      <c r="Z67" s="142">
        <f t="shared" si="4"/>
        <v>0</v>
      </c>
      <c r="AA67" s="143"/>
      <c r="AB67" s="143"/>
      <c r="AC67" s="143"/>
      <c r="AD67" s="143"/>
      <c r="AE67" s="141"/>
      <c r="AF67" s="141"/>
      <c r="AG67" s="141"/>
      <c r="AH67" s="141"/>
      <c r="AI67" s="141"/>
      <c r="AJ67" s="141"/>
    </row>
    <row r="68" spans="1:40" ht="15" thickBot="1" x14ac:dyDescent="0.35">
      <c r="A68" s="365" t="s">
        <v>81</v>
      </c>
      <c r="B68" s="366"/>
      <c r="C68" s="367"/>
      <c r="D68" s="367"/>
      <c r="E68" s="367"/>
      <c r="F68" s="367"/>
      <c r="G68" s="368"/>
      <c r="H68" s="87">
        <v>0</v>
      </c>
      <c r="K68" s="161"/>
      <c r="L68" s="161"/>
      <c r="M68" s="76" t="s">
        <v>8</v>
      </c>
      <c r="N68" s="47" t="s">
        <v>55</v>
      </c>
      <c r="O68" s="36" t="s">
        <v>473</v>
      </c>
      <c r="P68" s="200"/>
      <c r="Q68" s="199"/>
      <c r="R68" s="201"/>
      <c r="S68" s="35"/>
      <c r="T68" s="58"/>
      <c r="U68" s="58"/>
      <c r="V68" s="58" t="str">
        <f t="shared" si="3"/>
        <v/>
      </c>
      <c r="W68" s="58"/>
      <c r="X68" s="58"/>
      <c r="Y68" s="46"/>
      <c r="Z68" s="142">
        <f t="shared" si="4"/>
        <v>0</v>
      </c>
      <c r="AA68" s="143"/>
      <c r="AB68" s="143"/>
      <c r="AC68" s="143"/>
      <c r="AD68" s="143"/>
      <c r="AE68" s="141"/>
      <c r="AF68" s="141"/>
      <c r="AG68" s="141"/>
      <c r="AH68" s="141"/>
      <c r="AI68" s="141"/>
      <c r="AJ68" s="141"/>
    </row>
    <row r="69" spans="1:40" x14ac:dyDescent="0.3">
      <c r="C69" s="101"/>
      <c r="D69" s="101"/>
      <c r="E69" s="101"/>
      <c r="F69" s="101"/>
      <c r="G69" s="101"/>
      <c r="K69" s="162"/>
      <c r="L69" s="162"/>
      <c r="M69" s="76" t="s">
        <v>8</v>
      </c>
      <c r="N69" s="47" t="s">
        <v>148</v>
      </c>
      <c r="O69" s="36" t="s">
        <v>360</v>
      </c>
      <c r="P69" s="195"/>
      <c r="Q69" s="190" t="s">
        <v>215</v>
      </c>
      <c r="R69" s="192" t="s">
        <v>238</v>
      </c>
      <c r="S69" s="35"/>
      <c r="T69" s="58"/>
      <c r="U69" s="58"/>
      <c r="V69" s="58" t="str">
        <f t="shared" si="3"/>
        <v/>
      </c>
      <c r="W69" s="58"/>
      <c r="X69" s="58"/>
      <c r="Y69" s="40" t="s">
        <v>239</v>
      </c>
      <c r="Z69" s="142">
        <f t="shared" si="4"/>
        <v>0</v>
      </c>
      <c r="AA69" s="143"/>
      <c r="AB69" s="143"/>
      <c r="AC69" s="143"/>
      <c r="AD69" s="143"/>
      <c r="AE69" s="141"/>
      <c r="AF69" s="141"/>
      <c r="AG69" s="141"/>
      <c r="AH69" s="141"/>
      <c r="AI69" s="141"/>
      <c r="AJ69" s="141"/>
    </row>
    <row r="70" spans="1:40" x14ac:dyDescent="0.3">
      <c r="C70" s="101"/>
      <c r="D70" s="101"/>
      <c r="E70" s="101"/>
      <c r="F70" s="101"/>
      <c r="G70" s="101"/>
      <c r="K70" s="3"/>
      <c r="L70" s="3"/>
      <c r="M70" s="3"/>
      <c r="N70" s="66"/>
      <c r="O70" s="3"/>
      <c r="P70" s="182"/>
      <c r="Q70" s="182"/>
      <c r="R70" s="182"/>
      <c r="S70" s="3"/>
      <c r="T70" s="56"/>
      <c r="U70" s="56"/>
      <c r="V70" s="56"/>
      <c r="W70" s="56"/>
      <c r="X70" s="56"/>
      <c r="Y70" s="3"/>
      <c r="Z70" s="3"/>
      <c r="AA70" s="3"/>
      <c r="AB70" s="3"/>
      <c r="AC70" s="3"/>
      <c r="AD70" s="3"/>
      <c r="AE70" s="3"/>
      <c r="AF70" s="3"/>
      <c r="AG70" s="3"/>
      <c r="AH70" s="3"/>
      <c r="AI70" s="3"/>
      <c r="AJ70" s="3"/>
    </row>
    <row r="71" spans="1:40" ht="23.4" x14ac:dyDescent="0.45">
      <c r="C71" s="101"/>
      <c r="D71" s="101"/>
      <c r="E71" s="101"/>
      <c r="F71" s="101"/>
      <c r="G71" s="101"/>
      <c r="K71" s="360" t="s">
        <v>240</v>
      </c>
      <c r="L71" s="361"/>
      <c r="M71" s="361"/>
      <c r="N71" s="361"/>
      <c r="O71" s="361"/>
      <c r="P71" s="361"/>
      <c r="Q71" s="361"/>
      <c r="R71" s="361"/>
      <c r="S71" s="361"/>
      <c r="T71" s="361"/>
      <c r="U71" s="361"/>
      <c r="V71" s="361"/>
      <c r="W71" s="361"/>
      <c r="X71" s="361"/>
      <c r="Y71" s="153"/>
      <c r="Z71" s="146"/>
      <c r="AA71" s="153"/>
      <c r="AB71" s="153"/>
      <c r="AC71" s="153"/>
      <c r="AD71" s="153"/>
      <c r="AE71" s="153"/>
      <c r="AF71" s="153"/>
      <c r="AG71" s="153"/>
      <c r="AH71" s="153"/>
      <c r="AI71" s="153"/>
      <c r="AJ71" s="153"/>
    </row>
    <row r="72" spans="1:40" ht="27.6" x14ac:dyDescent="0.3">
      <c r="B72" s="101"/>
      <c r="C72" s="101"/>
      <c r="D72" s="101"/>
      <c r="E72" s="101"/>
      <c r="F72" s="101"/>
      <c r="G72" s="101"/>
      <c r="K72" s="159" t="s">
        <v>132</v>
      </c>
      <c r="L72" s="159" t="s">
        <v>91</v>
      </c>
      <c r="M72" s="369" t="s">
        <v>75</v>
      </c>
      <c r="N72" s="371" t="s">
        <v>133</v>
      </c>
      <c r="O72" s="155" t="s">
        <v>134</v>
      </c>
      <c r="P72" s="243" t="s">
        <v>135</v>
      </c>
      <c r="Q72" s="243" t="s">
        <v>136</v>
      </c>
      <c r="R72" s="243" t="s">
        <v>137</v>
      </c>
      <c r="S72" s="164" t="s">
        <v>138</v>
      </c>
      <c r="T72" s="156" t="s">
        <v>334</v>
      </c>
      <c r="U72" s="156" t="s">
        <v>332</v>
      </c>
      <c r="V72" s="156" t="s">
        <v>333</v>
      </c>
      <c r="W72" s="156" t="s">
        <v>365</v>
      </c>
      <c r="X72" s="156" t="s">
        <v>369</v>
      </c>
      <c r="Y72" s="159" t="s">
        <v>139</v>
      </c>
      <c r="Z72" s="373" t="s">
        <v>598</v>
      </c>
      <c r="AA72" s="359" t="s">
        <v>597</v>
      </c>
      <c r="AB72" s="359"/>
      <c r="AC72" s="359" t="s">
        <v>599</v>
      </c>
      <c r="AD72" s="359"/>
      <c r="AE72" s="359" t="s">
        <v>600</v>
      </c>
      <c r="AF72" s="359"/>
      <c r="AG72" s="359" t="s">
        <v>601</v>
      </c>
      <c r="AH72" s="359"/>
      <c r="AI72" s="359" t="s">
        <v>602</v>
      </c>
      <c r="AJ72" s="359"/>
    </row>
    <row r="73" spans="1:40" ht="27.6" x14ac:dyDescent="0.3">
      <c r="B73" s="101"/>
      <c r="C73" s="101"/>
      <c r="D73" s="101"/>
      <c r="E73" s="101"/>
      <c r="F73" s="101"/>
      <c r="G73" s="101"/>
      <c r="K73" s="158"/>
      <c r="L73" s="158"/>
      <c r="M73" s="370"/>
      <c r="N73" s="372"/>
      <c r="O73" s="154"/>
      <c r="P73" s="186" t="s">
        <v>140</v>
      </c>
      <c r="Q73" s="242"/>
      <c r="R73" s="242"/>
      <c r="S73" s="163"/>
      <c r="T73" s="156"/>
      <c r="U73" s="156"/>
      <c r="V73" s="156"/>
      <c r="W73" s="156"/>
      <c r="X73" s="156"/>
      <c r="Y73" s="158"/>
      <c r="Z73" s="374"/>
      <c r="AA73" s="152" t="s">
        <v>603</v>
      </c>
      <c r="AB73" s="152" t="s">
        <v>604</v>
      </c>
      <c r="AC73" s="152" t="s">
        <v>603</v>
      </c>
      <c r="AD73" s="152" t="s">
        <v>604</v>
      </c>
      <c r="AE73" s="152" t="s">
        <v>603</v>
      </c>
      <c r="AF73" s="152" t="s">
        <v>604</v>
      </c>
      <c r="AG73" s="152" t="s">
        <v>603</v>
      </c>
      <c r="AH73" s="152" t="s">
        <v>604</v>
      </c>
      <c r="AI73" s="152" t="s">
        <v>603</v>
      </c>
      <c r="AJ73" s="152" t="s">
        <v>604</v>
      </c>
    </row>
    <row r="74" spans="1:40" x14ac:dyDescent="0.3">
      <c r="B74" s="101"/>
      <c r="C74" s="101"/>
      <c r="D74" s="101"/>
      <c r="E74" s="101"/>
      <c r="F74" s="101"/>
      <c r="G74" s="101"/>
      <c r="K74" s="160" t="s">
        <v>141</v>
      </c>
      <c r="L74" s="160" t="s">
        <v>142</v>
      </c>
      <c r="M74" s="76" t="s">
        <v>9</v>
      </c>
      <c r="N74" s="47" t="s">
        <v>233</v>
      </c>
      <c r="O74" s="36" t="s">
        <v>241</v>
      </c>
      <c r="P74" s="202"/>
      <c r="Q74" s="203"/>
      <c r="R74" s="204"/>
      <c r="S74" s="35"/>
      <c r="T74" s="58"/>
      <c r="U74" s="58"/>
      <c r="V74" s="58" t="str">
        <f>IF(AND(W74="Y",X74="Y"),"Passed",IF(T74="M","Passed", ""))</f>
        <v/>
      </c>
      <c r="W74" s="58"/>
      <c r="X74" s="58"/>
      <c r="Y74" s="48"/>
      <c r="Z74" s="142">
        <f t="shared" ref="Z74:Z77" si="5">DATEDIF(AA74,AB74,"m")/12+DATEDIF(AC74,AD74,"m")/12+DATEDIF(AE74,AF74,"m")/12+DATEDIF(AG74,AH74,"m")/12+DATEDIF(AI74,AJ74,"m")/12</f>
        <v>0</v>
      </c>
      <c r="AA74" s="143"/>
      <c r="AB74" s="143"/>
      <c r="AC74" s="143"/>
      <c r="AD74" s="143"/>
      <c r="AE74" s="141"/>
      <c r="AF74" s="141"/>
      <c r="AG74" s="141"/>
      <c r="AH74" s="141"/>
      <c r="AI74" s="141"/>
      <c r="AJ74" s="141"/>
    </row>
    <row r="75" spans="1:40" x14ac:dyDescent="0.3">
      <c r="B75" s="101"/>
      <c r="C75" s="101"/>
      <c r="D75" s="101"/>
      <c r="E75" s="101"/>
      <c r="F75" s="101"/>
      <c r="G75" s="101"/>
      <c r="K75" s="161"/>
      <c r="L75" s="161"/>
      <c r="M75" s="76" t="s">
        <v>9</v>
      </c>
      <c r="N75" s="47" t="s">
        <v>227</v>
      </c>
      <c r="O75" s="36" t="s">
        <v>242</v>
      </c>
      <c r="P75" s="202"/>
      <c r="Q75" s="203"/>
      <c r="R75" s="204"/>
      <c r="S75" s="35"/>
      <c r="T75" s="58"/>
      <c r="U75" s="58"/>
      <c r="V75" s="58" t="str">
        <f>IF(AND(W75="Y",X75="Y"),"Passed",IF(T75="M","Passed", ""))</f>
        <v/>
      </c>
      <c r="W75" s="58"/>
      <c r="X75" s="58"/>
      <c r="Y75" s="48"/>
      <c r="Z75" s="142">
        <f t="shared" si="5"/>
        <v>0</v>
      </c>
      <c r="AA75" s="143"/>
      <c r="AB75" s="143"/>
      <c r="AC75" s="143"/>
      <c r="AD75" s="143"/>
      <c r="AE75" s="141"/>
      <c r="AF75" s="141"/>
      <c r="AG75" s="141"/>
      <c r="AH75" s="141"/>
      <c r="AI75" s="141"/>
      <c r="AJ75" s="141"/>
    </row>
    <row r="76" spans="1:40" ht="41.4" x14ac:dyDescent="0.3">
      <c r="B76" s="101"/>
      <c r="C76" s="101"/>
      <c r="D76" s="101"/>
      <c r="E76" s="101"/>
      <c r="F76" s="101"/>
      <c r="G76" s="101"/>
      <c r="K76" s="161"/>
      <c r="L76" s="161"/>
      <c r="M76" s="76" t="s">
        <v>9</v>
      </c>
      <c r="N76" s="47" t="s">
        <v>3</v>
      </c>
      <c r="O76" s="36" t="s">
        <v>474</v>
      </c>
      <c r="P76" s="202"/>
      <c r="Q76" s="203"/>
      <c r="R76" s="204"/>
      <c r="S76" s="35"/>
      <c r="T76" s="58"/>
      <c r="U76" s="58"/>
      <c r="V76" s="58" t="str">
        <f>IF(AND(W76="Y",X76="Y"),"Passed",IF(T76="M","Passed", ""))</f>
        <v/>
      </c>
      <c r="W76" s="58"/>
      <c r="X76" s="58"/>
      <c r="Y76" s="48"/>
      <c r="Z76" s="142">
        <f t="shared" si="5"/>
        <v>0</v>
      </c>
      <c r="AA76" s="143"/>
      <c r="AB76" s="143"/>
      <c r="AC76" s="143"/>
      <c r="AD76" s="143"/>
      <c r="AE76" s="141"/>
      <c r="AF76" s="141"/>
      <c r="AG76" s="141"/>
      <c r="AH76" s="141"/>
      <c r="AI76" s="141"/>
      <c r="AJ76" s="141"/>
    </row>
    <row r="77" spans="1:40" ht="12.75" customHeight="1" x14ac:dyDescent="0.3">
      <c r="B77" s="101"/>
      <c r="C77" s="101"/>
      <c r="D77" s="101"/>
      <c r="E77" s="101"/>
      <c r="F77" s="101"/>
      <c r="G77" s="101"/>
      <c r="K77" s="162"/>
      <c r="L77" s="162"/>
      <c r="M77" s="76" t="s">
        <v>9</v>
      </c>
      <c r="N77" s="47" t="s">
        <v>3</v>
      </c>
      <c r="O77" s="36" t="s">
        <v>243</v>
      </c>
      <c r="P77" s="202"/>
      <c r="Q77" s="203"/>
      <c r="R77" s="204"/>
      <c r="S77" s="35"/>
      <c r="T77" s="58"/>
      <c r="U77" s="58"/>
      <c r="V77" s="58" t="str">
        <f>IF(AND(W77="Y",X77="Y"),"Passed",IF(T77="M","Passed", ""))</f>
        <v/>
      </c>
      <c r="W77" s="58"/>
      <c r="X77" s="58"/>
      <c r="Y77" s="48"/>
      <c r="Z77" s="142">
        <f t="shared" si="5"/>
        <v>0</v>
      </c>
      <c r="AA77" s="143"/>
      <c r="AB77" s="143"/>
      <c r="AC77" s="143"/>
      <c r="AD77" s="143"/>
      <c r="AE77" s="141"/>
      <c r="AF77" s="141"/>
      <c r="AG77" s="141"/>
      <c r="AH77" s="141"/>
      <c r="AI77" s="141"/>
      <c r="AJ77" s="141"/>
    </row>
    <row r="78" spans="1:40" x14ac:dyDescent="0.3">
      <c r="B78" s="101"/>
      <c r="C78" s="101"/>
      <c r="D78" s="101"/>
      <c r="E78" s="101"/>
      <c r="F78" s="101"/>
      <c r="G78" s="101"/>
      <c r="K78" s="3"/>
      <c r="L78" s="3"/>
      <c r="M78" s="3"/>
      <c r="N78" s="66"/>
      <c r="O78" s="3"/>
      <c r="P78" s="182"/>
      <c r="Q78" s="182"/>
      <c r="R78" s="182"/>
      <c r="S78" s="3"/>
      <c r="T78" s="56"/>
      <c r="U78" s="56"/>
      <c r="V78" s="56"/>
      <c r="W78" s="56"/>
      <c r="X78" s="56"/>
      <c r="Y78" s="3"/>
      <c r="Z78" s="3"/>
      <c r="AA78" s="3"/>
      <c r="AB78" s="3"/>
      <c r="AC78" s="3"/>
      <c r="AD78" s="3"/>
      <c r="AE78" s="3"/>
      <c r="AF78" s="3"/>
      <c r="AG78" s="3"/>
      <c r="AH78" s="3"/>
      <c r="AI78" s="3"/>
      <c r="AJ78" s="3"/>
    </row>
    <row r="79" spans="1:40" x14ac:dyDescent="0.3">
      <c r="B79" s="101"/>
      <c r="C79" s="101"/>
      <c r="D79" s="101"/>
      <c r="E79" s="101"/>
      <c r="F79" s="101"/>
      <c r="G79" s="101"/>
      <c r="K79" s="3"/>
      <c r="L79" s="3"/>
      <c r="M79" s="3"/>
      <c r="N79" s="66"/>
      <c r="O79" s="3"/>
      <c r="P79" s="182"/>
      <c r="Q79" s="182"/>
      <c r="R79" s="182"/>
      <c r="S79" s="3"/>
      <c r="T79" s="56"/>
      <c r="U79" s="56"/>
      <c r="V79" s="56"/>
      <c r="W79" s="56"/>
      <c r="X79" s="56"/>
      <c r="Y79" s="3"/>
      <c r="Z79" s="3"/>
      <c r="AA79" s="3"/>
      <c r="AB79" s="3"/>
      <c r="AC79" s="3"/>
      <c r="AD79" s="3"/>
      <c r="AE79" s="3"/>
      <c r="AF79" s="3"/>
      <c r="AG79" s="3"/>
      <c r="AH79" s="3"/>
      <c r="AI79" s="3"/>
      <c r="AJ79" s="3"/>
    </row>
    <row r="80" spans="1:40" x14ac:dyDescent="0.3">
      <c r="B80" s="101"/>
      <c r="C80" s="101"/>
      <c r="D80" s="101"/>
      <c r="E80" s="101"/>
      <c r="F80" s="101"/>
      <c r="G80" s="101"/>
      <c r="K80" s="3"/>
      <c r="L80" s="3"/>
      <c r="M80" s="3"/>
      <c r="N80" s="66"/>
      <c r="O80" s="3"/>
      <c r="P80" s="182"/>
      <c r="Q80" s="182"/>
      <c r="R80" s="182"/>
      <c r="S80" s="3"/>
      <c r="T80" s="56"/>
      <c r="U80" s="56"/>
      <c r="V80" s="56"/>
      <c r="W80" s="56"/>
      <c r="X80" s="56"/>
      <c r="Y80" s="3"/>
      <c r="Z80" s="3"/>
      <c r="AA80" s="3"/>
      <c r="AB80" s="3"/>
      <c r="AC80" s="3"/>
      <c r="AD80" s="3"/>
      <c r="AE80" s="3"/>
      <c r="AF80" s="3"/>
      <c r="AG80" s="3"/>
      <c r="AH80" s="3"/>
      <c r="AI80" s="3"/>
      <c r="AJ80" s="3"/>
    </row>
    <row r="81" spans="2:36" x14ac:dyDescent="0.3">
      <c r="B81" s="101"/>
      <c r="C81" s="101"/>
      <c r="D81" s="101"/>
      <c r="E81" s="101"/>
      <c r="F81" s="101"/>
      <c r="G81" s="101"/>
      <c r="K81" s="3"/>
      <c r="L81" s="3"/>
      <c r="M81" s="3"/>
      <c r="N81" s="66"/>
      <c r="O81" s="3"/>
      <c r="P81" s="182"/>
      <c r="Q81" s="182"/>
      <c r="R81" s="182"/>
      <c r="S81" s="3"/>
      <c r="T81" s="56"/>
      <c r="U81" s="56"/>
      <c r="V81" s="56"/>
      <c r="W81" s="56"/>
      <c r="X81" s="56"/>
      <c r="Y81" s="3"/>
      <c r="Z81" s="3"/>
      <c r="AA81" s="3"/>
      <c r="AB81" s="3"/>
      <c r="AC81" s="3"/>
      <c r="AD81" s="3"/>
      <c r="AE81" s="3"/>
      <c r="AF81" s="3"/>
      <c r="AG81" s="3"/>
      <c r="AH81" s="3"/>
      <c r="AI81" s="3"/>
      <c r="AJ81" s="3"/>
    </row>
    <row r="82" spans="2:36" x14ac:dyDescent="0.3">
      <c r="B82" s="101"/>
      <c r="C82" s="101"/>
      <c r="D82" s="101"/>
      <c r="E82" s="101"/>
      <c r="F82" s="101"/>
      <c r="G82" s="101"/>
    </row>
    <row r="83" spans="2:36" x14ac:dyDescent="0.3">
      <c r="B83" s="101"/>
      <c r="C83" s="101"/>
      <c r="D83" s="101"/>
      <c r="E83" s="101"/>
      <c r="F83" s="101"/>
      <c r="G83" s="101"/>
    </row>
    <row r="84" spans="2:36" x14ac:dyDescent="0.3">
      <c r="B84" s="101"/>
      <c r="C84" s="101"/>
      <c r="D84" s="101"/>
      <c r="E84" s="101"/>
      <c r="F84" s="101"/>
      <c r="G84" s="101"/>
    </row>
    <row r="85" spans="2:36" x14ac:dyDescent="0.3">
      <c r="B85" s="101"/>
      <c r="C85" s="101"/>
      <c r="D85" s="101"/>
      <c r="E85" s="101"/>
      <c r="F85" s="101"/>
      <c r="G85" s="101"/>
    </row>
    <row r="86" spans="2:36" x14ac:dyDescent="0.3">
      <c r="B86" s="101"/>
      <c r="C86" s="101"/>
      <c r="D86" s="101"/>
      <c r="E86" s="101"/>
      <c r="F86" s="101"/>
      <c r="G86" s="101"/>
    </row>
    <row r="87" spans="2:36" x14ac:dyDescent="0.3">
      <c r="B87" s="101"/>
      <c r="C87" s="101"/>
      <c r="D87" s="101"/>
      <c r="E87" s="101"/>
      <c r="F87" s="101"/>
      <c r="G87" s="101"/>
    </row>
    <row r="88" spans="2:36" x14ac:dyDescent="0.3">
      <c r="B88" s="101"/>
      <c r="C88" s="101"/>
      <c r="D88" s="101"/>
      <c r="E88" s="101"/>
      <c r="F88" s="101"/>
      <c r="G88" s="101"/>
    </row>
    <row r="89" spans="2:36" x14ac:dyDescent="0.3">
      <c r="B89" s="101"/>
      <c r="C89" s="101"/>
      <c r="D89" s="101"/>
      <c r="E89" s="101"/>
      <c r="F89" s="101"/>
      <c r="G89" s="101"/>
    </row>
    <row r="90" spans="2:36" x14ac:dyDescent="0.3">
      <c r="B90" s="101"/>
      <c r="C90" s="101"/>
      <c r="D90" s="101"/>
      <c r="E90" s="101"/>
      <c r="F90" s="101"/>
      <c r="G90" s="101"/>
    </row>
    <row r="91" spans="2:36" x14ac:dyDescent="0.3">
      <c r="B91" s="101"/>
      <c r="C91" s="101"/>
      <c r="D91" s="101"/>
      <c r="E91" s="101"/>
      <c r="F91" s="101"/>
      <c r="G91" s="101"/>
    </row>
    <row r="92" spans="2:36" x14ac:dyDescent="0.3">
      <c r="B92" s="101"/>
      <c r="C92" s="101"/>
      <c r="D92" s="101"/>
      <c r="E92" s="101"/>
      <c r="F92" s="101"/>
      <c r="G92" s="101"/>
    </row>
    <row r="93" spans="2:36" x14ac:dyDescent="0.3">
      <c r="B93" s="101"/>
      <c r="C93" s="101"/>
      <c r="D93" s="101"/>
      <c r="E93" s="101"/>
      <c r="F93" s="101"/>
      <c r="G93" s="101"/>
    </row>
    <row r="94" spans="2:36" x14ac:dyDescent="0.3">
      <c r="B94" s="101"/>
      <c r="C94" s="101"/>
      <c r="D94" s="101"/>
      <c r="E94" s="101"/>
      <c r="F94" s="101"/>
      <c r="G94" s="101"/>
    </row>
    <row r="95" spans="2:36" x14ac:dyDescent="0.3">
      <c r="B95" s="101"/>
      <c r="C95" s="101"/>
      <c r="D95" s="101"/>
      <c r="E95" s="101"/>
      <c r="F95" s="101"/>
      <c r="G95" s="101"/>
    </row>
    <row r="96" spans="2:36" x14ac:dyDescent="0.3">
      <c r="B96" s="101"/>
      <c r="C96" s="101"/>
      <c r="D96" s="101"/>
      <c r="E96" s="101"/>
      <c r="F96" s="101"/>
      <c r="G96" s="101"/>
    </row>
    <row r="97" spans="2:7" x14ac:dyDescent="0.3">
      <c r="B97" s="101"/>
      <c r="C97" s="101"/>
      <c r="D97" s="101"/>
      <c r="E97" s="101"/>
      <c r="F97" s="101"/>
      <c r="G97" s="101"/>
    </row>
    <row r="98" spans="2:7" x14ac:dyDescent="0.3">
      <c r="B98" s="101"/>
      <c r="C98" s="101"/>
      <c r="D98" s="101"/>
      <c r="E98" s="101"/>
      <c r="F98" s="101"/>
      <c r="G98" s="101"/>
    </row>
    <row r="99" spans="2:7" x14ac:dyDescent="0.3">
      <c r="B99" s="101"/>
      <c r="C99" s="101"/>
      <c r="D99" s="101"/>
      <c r="E99" s="101"/>
      <c r="F99" s="101"/>
      <c r="G99" s="101"/>
    </row>
    <row r="100" spans="2:7" x14ac:dyDescent="0.3">
      <c r="B100" s="101"/>
      <c r="C100" s="101"/>
      <c r="D100" s="101"/>
      <c r="E100" s="101"/>
      <c r="F100" s="101"/>
      <c r="G100" s="101"/>
    </row>
    <row r="101" spans="2:7" x14ac:dyDescent="0.3">
      <c r="B101" s="101"/>
      <c r="C101" s="101"/>
      <c r="D101" s="101"/>
      <c r="E101" s="101"/>
      <c r="F101" s="101"/>
      <c r="G101" s="101"/>
    </row>
    <row r="102" spans="2:7" x14ac:dyDescent="0.3">
      <c r="B102" s="101"/>
      <c r="C102" s="101"/>
      <c r="D102" s="101"/>
      <c r="E102" s="101"/>
      <c r="F102" s="101"/>
      <c r="G102" s="101"/>
    </row>
    <row r="103" spans="2:7" x14ac:dyDescent="0.3">
      <c r="B103" s="101"/>
      <c r="C103" s="101"/>
      <c r="D103" s="101"/>
      <c r="E103" s="101"/>
      <c r="F103" s="101"/>
      <c r="G103" s="101"/>
    </row>
    <row r="104" spans="2:7" x14ac:dyDescent="0.3">
      <c r="B104" s="101"/>
      <c r="C104" s="101"/>
      <c r="D104" s="101"/>
      <c r="E104" s="101"/>
      <c r="F104" s="101"/>
      <c r="G104" s="101"/>
    </row>
    <row r="105" spans="2:7" x14ac:dyDescent="0.3">
      <c r="B105" s="101"/>
      <c r="C105" s="101"/>
      <c r="D105" s="101"/>
      <c r="E105" s="101"/>
      <c r="F105" s="101"/>
      <c r="G105" s="101"/>
    </row>
    <row r="106" spans="2:7" x14ac:dyDescent="0.3">
      <c r="B106" s="101"/>
      <c r="C106" s="101"/>
      <c r="D106" s="101"/>
      <c r="E106" s="101"/>
      <c r="F106" s="101"/>
      <c r="G106" s="101"/>
    </row>
    <row r="107" spans="2:7" x14ac:dyDescent="0.3">
      <c r="B107" s="101"/>
      <c r="C107" s="101"/>
      <c r="D107" s="101"/>
      <c r="E107" s="101"/>
      <c r="F107" s="101"/>
      <c r="G107" s="101"/>
    </row>
    <row r="108" spans="2:7" x14ac:dyDescent="0.3">
      <c r="B108" s="101"/>
      <c r="C108" s="101"/>
      <c r="D108" s="101"/>
      <c r="E108" s="101"/>
      <c r="F108" s="101"/>
      <c r="G108" s="101"/>
    </row>
    <row r="109" spans="2:7" x14ac:dyDescent="0.3">
      <c r="B109" s="101"/>
      <c r="C109" s="101"/>
      <c r="D109" s="101"/>
      <c r="E109" s="101"/>
      <c r="F109" s="101"/>
      <c r="G109" s="101"/>
    </row>
    <row r="110" spans="2:7" x14ac:dyDescent="0.3">
      <c r="B110" s="101"/>
      <c r="C110" s="101"/>
      <c r="D110" s="101"/>
      <c r="E110" s="101"/>
      <c r="F110" s="101"/>
      <c r="G110" s="101"/>
    </row>
    <row r="111" spans="2:7" x14ac:dyDescent="0.3">
      <c r="B111" s="101"/>
      <c r="C111" s="101"/>
      <c r="D111" s="101"/>
      <c r="E111" s="101"/>
      <c r="F111" s="101"/>
      <c r="G111" s="101"/>
    </row>
    <row r="112" spans="2:7" x14ac:dyDescent="0.3">
      <c r="B112" s="101"/>
      <c r="C112" s="101"/>
      <c r="D112" s="101"/>
      <c r="E112" s="101"/>
      <c r="F112" s="101"/>
      <c r="G112" s="101"/>
    </row>
    <row r="113" spans="2:7" x14ac:dyDescent="0.3">
      <c r="B113" s="101"/>
      <c r="C113" s="101"/>
      <c r="D113" s="101"/>
      <c r="E113" s="101"/>
      <c r="F113" s="101"/>
      <c r="G113" s="101"/>
    </row>
    <row r="114" spans="2:7" x14ac:dyDescent="0.3">
      <c r="B114" s="101"/>
      <c r="C114" s="101"/>
      <c r="D114" s="101"/>
      <c r="E114" s="101"/>
      <c r="F114" s="101"/>
      <c r="G114" s="101"/>
    </row>
    <row r="115" spans="2:7" x14ac:dyDescent="0.3">
      <c r="B115" s="101"/>
      <c r="C115" s="101"/>
      <c r="D115" s="101"/>
      <c r="E115" s="101"/>
      <c r="F115" s="101"/>
      <c r="G115" s="101"/>
    </row>
    <row r="116" spans="2:7" x14ac:dyDescent="0.3">
      <c r="B116" s="101"/>
      <c r="C116" s="101"/>
      <c r="D116" s="101"/>
      <c r="E116" s="101"/>
      <c r="F116" s="101"/>
      <c r="G116" s="101"/>
    </row>
    <row r="117" spans="2:7" x14ac:dyDescent="0.3">
      <c r="B117" s="101"/>
      <c r="C117" s="101"/>
      <c r="D117" s="101"/>
      <c r="E117" s="101"/>
      <c r="F117" s="101"/>
      <c r="G117" s="101"/>
    </row>
    <row r="118" spans="2:7" x14ac:dyDescent="0.3">
      <c r="B118" s="101"/>
      <c r="C118" s="101"/>
      <c r="D118" s="101"/>
      <c r="E118" s="101"/>
      <c r="F118" s="101"/>
      <c r="G118" s="101"/>
    </row>
    <row r="119" spans="2:7" x14ac:dyDescent="0.3">
      <c r="B119" s="101"/>
      <c r="C119" s="101"/>
      <c r="D119" s="101"/>
      <c r="E119" s="101"/>
      <c r="F119" s="101"/>
      <c r="G119" s="101"/>
    </row>
    <row r="120" spans="2:7" x14ac:dyDescent="0.3">
      <c r="B120" s="101"/>
      <c r="C120" s="101"/>
      <c r="D120" s="101"/>
      <c r="E120" s="101"/>
      <c r="F120" s="101"/>
      <c r="G120" s="101"/>
    </row>
    <row r="121" spans="2:7" x14ac:dyDescent="0.3">
      <c r="B121" s="101"/>
      <c r="C121" s="101"/>
      <c r="D121" s="101"/>
      <c r="E121" s="101"/>
      <c r="F121" s="101"/>
      <c r="G121" s="101"/>
    </row>
    <row r="122" spans="2:7" x14ac:dyDescent="0.3">
      <c r="B122" s="101"/>
      <c r="C122" s="101"/>
      <c r="D122" s="101"/>
      <c r="E122" s="101"/>
      <c r="F122" s="101"/>
      <c r="G122" s="101"/>
    </row>
    <row r="123" spans="2:7" x14ac:dyDescent="0.3">
      <c r="B123" s="101"/>
      <c r="C123" s="101"/>
      <c r="D123" s="101"/>
      <c r="E123" s="101"/>
      <c r="F123" s="101"/>
      <c r="G123" s="101"/>
    </row>
    <row r="124" spans="2:7" x14ac:dyDescent="0.3">
      <c r="B124" s="101"/>
      <c r="C124" s="101"/>
      <c r="D124" s="101"/>
      <c r="E124" s="101"/>
      <c r="F124" s="101"/>
      <c r="G124" s="101"/>
    </row>
    <row r="125" spans="2:7" x14ac:dyDescent="0.3">
      <c r="B125" s="101"/>
      <c r="C125" s="101"/>
      <c r="D125" s="101"/>
      <c r="E125" s="101"/>
      <c r="F125" s="101"/>
      <c r="G125" s="101"/>
    </row>
    <row r="126" spans="2:7" x14ac:dyDescent="0.3">
      <c r="B126" s="101"/>
      <c r="C126" s="101"/>
      <c r="D126" s="101"/>
      <c r="E126" s="101"/>
      <c r="F126" s="101"/>
      <c r="G126" s="101"/>
    </row>
    <row r="127" spans="2:7" x14ac:dyDescent="0.3">
      <c r="C127" s="101"/>
      <c r="D127" s="101"/>
      <c r="E127" s="101"/>
      <c r="F127" s="101"/>
      <c r="G127" s="101"/>
    </row>
    <row r="128" spans="2: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row r="198" spans="3:7" x14ac:dyDescent="0.3">
      <c r="C198" s="101"/>
      <c r="D198" s="101"/>
      <c r="E198" s="101"/>
      <c r="F198" s="101"/>
      <c r="G198" s="101"/>
    </row>
  </sheetData>
  <customSheetViews>
    <customSheetView guid="{6D9FC8F7-6352-4BF1-890A-27BF36FADC03}" showGridLines="0" fitToPage="1" topLeftCell="K1">
      <selection activeCell="P51" sqref="P51"/>
      <pageMargins left="0.25" right="0" top="0.25" bottom="0.25" header="0.3" footer="0"/>
      <pageSetup scale="30" fitToHeight="0" orientation="landscape" r:id="rId1"/>
    </customSheetView>
    <customSheetView guid="{040B64FF-F135-4C7F-9498-A8399C10673D}" showGridLines="0" fitToPage="1" topLeftCell="A37">
      <selection activeCell="B57" sqref="B57"/>
      <pageMargins left="0.25" right="0" top="0.25" bottom="0.25" header="0.3" footer="0"/>
      <pageSetup scale="30" fitToHeight="0" orientation="landscape" r:id="rId2"/>
    </customSheetView>
    <customSheetView guid="{3F51B73C-8999-4BDD-B7BB-CFA8C5D5F118}" showGridLines="0" fitToPage="1" topLeftCell="K1">
      <selection activeCell="P51" sqref="P51"/>
      <pageMargins left="0.25" right="0" top="0.25" bottom="0.25" header="0.3" footer="0"/>
      <pageSetup scale="30" fitToHeight="0" orientation="landscape" r:id="rId3"/>
    </customSheetView>
    <customSheetView guid="{3BEDB203-29A8-4A82-B140-5CE8D0753F8B}" showGridLines="0" fitToPage="1" topLeftCell="A37">
      <selection activeCell="B57" sqref="B57"/>
      <pageMargins left="0.25" right="0" top="0.25" bottom="0.25" header="0.3" footer="0"/>
      <pageSetup scale="30" fitToHeight="0" orientation="landscape" r:id="rId4"/>
    </customSheetView>
  </customSheetViews>
  <mergeCells count="48">
    <mergeCell ref="Z72:Z73"/>
    <mergeCell ref="AA72:AB72"/>
    <mergeCell ref="AC72:AD72"/>
    <mergeCell ref="AE72:AF72"/>
    <mergeCell ref="AE38:AF38"/>
    <mergeCell ref="AG38:AH38"/>
    <mergeCell ref="AI38:AJ38"/>
    <mergeCell ref="N17:N18"/>
    <mergeCell ref="Z17:Z18"/>
    <mergeCell ref="AA17:AB17"/>
    <mergeCell ref="AC17:AD17"/>
    <mergeCell ref="AE17:AF17"/>
    <mergeCell ref="K37:X37"/>
    <mergeCell ref="M38:M39"/>
    <mergeCell ref="N38:N39"/>
    <mergeCell ref="Z38:Z39"/>
    <mergeCell ref="AA38:AB38"/>
    <mergeCell ref="AC38:AD38"/>
    <mergeCell ref="AI2:AJ2"/>
    <mergeCell ref="M17:M18"/>
    <mergeCell ref="A1:H1"/>
    <mergeCell ref="AI17:AJ17"/>
    <mergeCell ref="K1:X1"/>
    <mergeCell ref="K16:X16"/>
    <mergeCell ref="M2:M3"/>
    <mergeCell ref="N2:N3"/>
    <mergeCell ref="Z2:Z3"/>
    <mergeCell ref="AA2:AB2"/>
    <mergeCell ref="AC2:AD2"/>
    <mergeCell ref="AE2:AF2"/>
    <mergeCell ref="AG2:AH2"/>
    <mergeCell ref="AG17:AH17"/>
    <mergeCell ref="AI72:AJ72"/>
    <mergeCell ref="K57:X57"/>
    <mergeCell ref="AI58:AJ58"/>
    <mergeCell ref="A66:G66"/>
    <mergeCell ref="A68:G68"/>
    <mergeCell ref="K71:X71"/>
    <mergeCell ref="AG58:AH58"/>
    <mergeCell ref="AA58:AB58"/>
    <mergeCell ref="AC58:AD58"/>
    <mergeCell ref="AE58:AF58"/>
    <mergeCell ref="M58:M59"/>
    <mergeCell ref="N58:N59"/>
    <mergeCell ref="M72:M73"/>
    <mergeCell ref="N72:N73"/>
    <mergeCell ref="Z58:Z59"/>
    <mergeCell ref="AG72:AH72"/>
  </mergeCells>
  <conditionalFormatting sqref="C7:D7 F7:H7">
    <cfRule type="containsText" dxfId="405" priority="22" operator="containsText" text="N/A">
      <formula>NOT(ISERROR(SEARCH("N/A",C7)))</formula>
    </cfRule>
    <cfRule type="containsText" dxfId="404" priority="23" operator="containsText" text="Blank">
      <formula>NOT(ISERROR(SEARCH("Blank",C7)))</formula>
    </cfRule>
    <cfRule type="containsText" dxfId="403" priority="24" operator="containsText" text="M">
      <formula>NOT(ISERROR(SEARCH("M",C7)))</formula>
    </cfRule>
  </conditionalFormatting>
  <conditionalFormatting sqref="B127:B1048576 B1:B7 B66:B71">
    <cfRule type="duplicateValues" dxfId="402" priority="13"/>
  </conditionalFormatting>
  <conditionalFormatting sqref="Z4 Z51:Z55 Z40:Z43 Z45:Z49 Z19:Z35">
    <cfRule type="cellIs" dxfId="401" priority="11" operator="greaterThan">
      <formula>0</formula>
    </cfRule>
  </conditionalFormatting>
  <conditionalFormatting sqref="Z5:Z14">
    <cfRule type="cellIs" dxfId="400" priority="10" operator="greaterThan">
      <formula>0</formula>
    </cfRule>
  </conditionalFormatting>
  <conditionalFormatting sqref="Z60:Z69">
    <cfRule type="cellIs" dxfId="399" priority="9" operator="greaterThan">
      <formula>0</formula>
    </cfRule>
  </conditionalFormatting>
  <conditionalFormatting sqref="Z74:Z77">
    <cfRule type="cellIs" dxfId="398" priority="8" operator="greaterThan">
      <formula>0</formula>
    </cfRule>
  </conditionalFormatting>
  <conditionalFormatting sqref="Z50">
    <cfRule type="cellIs" dxfId="397" priority="7" operator="greaterThan">
      <formula>0</formula>
    </cfRule>
  </conditionalFormatting>
  <conditionalFormatting sqref="Z44">
    <cfRule type="cellIs" dxfId="396" priority="6" operator="greaterThan">
      <formula>0</formula>
    </cfRule>
  </conditionalFormatting>
  <conditionalFormatting sqref="B29">
    <cfRule type="duplicateValues" dxfId="395" priority="4"/>
  </conditionalFormatting>
  <conditionalFormatting sqref="B30">
    <cfRule type="duplicateValues" dxfId="394" priority="3"/>
  </conditionalFormatting>
  <conditionalFormatting sqref="B55">
    <cfRule type="duplicateValues" dxfId="393" priority="2"/>
  </conditionalFormatting>
  <conditionalFormatting sqref="B56:B65 B31:B54 B8:B12 B14:B28">
    <cfRule type="duplicateValues" dxfId="392" priority="5"/>
  </conditionalFormatting>
  <conditionalFormatting sqref="B13">
    <cfRule type="duplicateValues" dxfId="391" priority="1"/>
  </conditionalFormatting>
  <dataValidations count="3">
    <dataValidation type="list" allowBlank="1" showInputMessage="1" showErrorMessage="1" sqref="X33 X19 X21 X4:X10 W72:W81 W2:W15 W58:W70 X12 W17:W36 W38:W56">
      <formula1>"Y, N"</formula1>
    </dataValidation>
    <dataValidation type="list" allowBlank="1" showInputMessage="1" showErrorMessage="1" sqref="T72:T81 T58:T70 T2:T15 T17:T36 T38:T56">
      <formula1>"M, O, N/A"</formula1>
    </dataValidation>
    <dataValidation type="list" allowBlank="1" showInputMessage="1" showErrorMessage="1" sqref="V58:V70 V72:V81 V38:V56 V17:V36 V2:V15">
      <formula1>"Passed, Failed, N/A"</formula1>
    </dataValidation>
  </dataValidations>
  <hyperlinks>
    <hyperlink ref="Y4" r:id="rId5" display="http://collab.lge.com/main/x/gOGHLw"/>
    <hyperlink ref="Y7" r:id="rId6" display="http://collab.lge.com/main/x/AocBNg"/>
    <hyperlink ref="Y8" r:id="rId7"/>
    <hyperlink ref="Y19" r:id="rId8"/>
    <hyperlink ref="Y20" r:id="rId9"/>
    <hyperlink ref="Y22" r:id="rId10"/>
    <hyperlink ref="Y30" r:id="rId11"/>
    <hyperlink ref="Y31" r:id="rId12"/>
    <hyperlink ref="Y34" r:id="rId13"/>
    <hyperlink ref="Y41" r:id="rId14"/>
    <hyperlink ref="Y42" r:id="rId15" display="http://collab.lge.com/main/x/j9smN"/>
    <hyperlink ref="Y43" r:id="rId16"/>
    <hyperlink ref="Y45" r:id="rId17"/>
    <hyperlink ref="Y55" r:id="rId18"/>
    <hyperlink ref="Y35" r:id="rId19"/>
    <hyperlink ref="Y53" r:id="rId20"/>
    <hyperlink ref="Y11" r:id="rId21"/>
    <hyperlink ref="Y44" r:id="rId22"/>
  </hyperlinks>
  <pageMargins left="0.25" right="0" top="0.25" bottom="0.25" header="0.3" footer="0"/>
  <pageSetup scale="30" fitToHeight="0" orientation="landscape" r:id="rId23"/>
  <drawing r:id="rId24"/>
  <legacyDrawing r:id="rId25"/>
  <controls>
    <mc:AlternateContent xmlns:mc="http://schemas.openxmlformats.org/markup-compatibility/2006">
      <mc:Choice Requires="x14">
        <control shapeId="490498" r:id="rId26" name="CommandButton2">
          <controlPr defaultSize="0" autoLine="0" r:id="rId27">
            <anchor moveWithCells="1">
              <from>
                <xdr:col>8</xdr:col>
                <xdr:colOff>121920</xdr:colOff>
                <xdr:row>9</xdr:row>
                <xdr:rowOff>68580</xdr:rowOff>
              </from>
              <to>
                <xdr:col>9</xdr:col>
                <xdr:colOff>441960</xdr:colOff>
                <xdr:row>11</xdr:row>
                <xdr:rowOff>152400</xdr:rowOff>
              </to>
            </anchor>
          </controlPr>
        </control>
      </mc:Choice>
      <mc:Fallback>
        <control shapeId="490498" r:id="rId26" name="CommandButton2"/>
      </mc:Fallback>
    </mc:AlternateContent>
    <mc:AlternateContent xmlns:mc="http://schemas.openxmlformats.org/markup-compatibility/2006">
      <mc:Choice Requires="x14">
        <control shapeId="490497" r:id="rId28" name="CommandButton1">
          <controlPr defaultSize="0" autoLine="0" r:id="rId29">
            <anchor moveWithCells="1">
              <from>
                <xdr:col>8</xdr:col>
                <xdr:colOff>114300</xdr:colOff>
                <xdr:row>6</xdr:row>
                <xdr:rowOff>106680</xdr:rowOff>
              </from>
              <to>
                <xdr:col>9</xdr:col>
                <xdr:colOff>403860</xdr:colOff>
                <xdr:row>7</xdr:row>
                <xdr:rowOff>99060</xdr:rowOff>
              </to>
            </anchor>
          </controlPr>
        </control>
      </mc:Choice>
      <mc:Fallback>
        <control shapeId="490497" r:id="rId28" name="CommandButton1"/>
      </mc:Fallback>
    </mc:AlternateContent>
    <mc:AlternateContent xmlns:mc="http://schemas.openxmlformats.org/markup-compatibility/2006">
      <mc:Choice Requires="x14">
        <control shapeId="490515" r:id="rId30" name="CommandButton3">
          <controlPr defaultSize="0" autoLine="0" r:id="rId31">
            <anchor moveWithCells="1">
              <from>
                <xdr:col>8</xdr:col>
                <xdr:colOff>114300</xdr:colOff>
                <xdr:row>6</xdr:row>
                <xdr:rowOff>106680</xdr:rowOff>
              </from>
              <to>
                <xdr:col>9</xdr:col>
                <xdr:colOff>403860</xdr:colOff>
                <xdr:row>7</xdr:row>
                <xdr:rowOff>99060</xdr:rowOff>
              </to>
            </anchor>
          </controlPr>
        </control>
      </mc:Choice>
      <mc:Fallback>
        <control shapeId="490515" r:id="rId30" name="CommandButton3"/>
      </mc:Fallback>
    </mc:AlternateContent>
    <mc:AlternateContent xmlns:mc="http://schemas.openxmlformats.org/markup-compatibility/2006">
      <mc:Choice Requires="x14">
        <control shapeId="490516" r:id="rId32" name="CommandButton4">
          <controlPr defaultSize="0" autoLine="0" r:id="rId33">
            <anchor moveWithCells="1">
              <from>
                <xdr:col>8</xdr:col>
                <xdr:colOff>121920</xdr:colOff>
                <xdr:row>9</xdr:row>
                <xdr:rowOff>68580</xdr:rowOff>
              </from>
              <to>
                <xdr:col>9</xdr:col>
                <xdr:colOff>441960</xdr:colOff>
                <xdr:row>11</xdr:row>
                <xdr:rowOff>152400</xdr:rowOff>
              </to>
            </anchor>
          </controlPr>
        </control>
      </mc:Choice>
      <mc:Fallback>
        <control shapeId="490516" r:id="rId32" name="CommandButton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pageSetUpPr fitToPage="1"/>
  </sheetPr>
  <dimension ref="A1:X196"/>
  <sheetViews>
    <sheetView showGridLines="0" zoomScaleNormal="100" workbookViewId="0">
      <selection activeCell="C28" sqref="C2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3.4" customHeight="1" x14ac:dyDescent="0.3">
      <c r="A2" s="70" t="s">
        <v>357</v>
      </c>
      <c r="B2" s="58" t="s">
        <v>274</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42719</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4.1452054794520548</v>
      </c>
      <c r="C4" s="3"/>
      <c r="D4" s="3"/>
      <c r="E4" s="3"/>
      <c r="F4" s="3"/>
      <c r="G4" s="3"/>
      <c r="H4" s="3"/>
      <c r="K4" s="107" t="s">
        <v>141</v>
      </c>
      <c r="L4" s="107" t="s">
        <v>142</v>
      </c>
      <c r="M4" s="254" t="s">
        <v>5</v>
      </c>
      <c r="N4" s="255" t="s">
        <v>143</v>
      </c>
      <c r="O4" s="256" t="s">
        <v>362</v>
      </c>
      <c r="P4" s="258"/>
      <c r="Q4" s="261" t="s">
        <v>145</v>
      </c>
      <c r="R4" s="261" t="s">
        <v>211</v>
      </c>
      <c r="S4" s="237" t="s">
        <v>274</v>
      </c>
      <c r="T4" s="107"/>
      <c r="U4" s="307"/>
      <c r="V4" s="107" t="s">
        <v>364</v>
      </c>
      <c r="W4" s="107" t="s">
        <v>367</v>
      </c>
      <c r="X4" s="107" t="s">
        <v>367</v>
      </c>
    </row>
    <row r="5" spans="1:24" ht="12.75" customHeight="1" x14ac:dyDescent="0.3">
      <c r="A5" s="70" t="s">
        <v>377</v>
      </c>
      <c r="B5" s="95">
        <v>6</v>
      </c>
      <c r="C5" s="97"/>
      <c r="D5" s="3"/>
      <c r="E5" s="3"/>
      <c r="F5" s="3"/>
      <c r="G5" s="3"/>
      <c r="H5" s="3"/>
      <c r="K5" s="107"/>
      <c r="L5" s="107"/>
      <c r="M5" s="254" t="s">
        <v>5</v>
      </c>
      <c r="N5" s="255" t="s">
        <v>143</v>
      </c>
      <c r="O5" s="256" t="s">
        <v>363</v>
      </c>
      <c r="P5" s="259" t="s">
        <v>144</v>
      </c>
      <c r="Q5" s="259" t="s">
        <v>149</v>
      </c>
      <c r="R5" s="259" t="s">
        <v>150</v>
      </c>
      <c r="S5" s="237" t="s">
        <v>274</v>
      </c>
      <c r="T5" s="107"/>
      <c r="U5" s="308"/>
      <c r="V5" s="107" t="s">
        <v>364</v>
      </c>
      <c r="W5" s="107" t="s">
        <v>367</v>
      </c>
      <c r="X5" s="107" t="s">
        <v>367</v>
      </c>
    </row>
    <row r="6" spans="1:24" thickBot="1" x14ac:dyDescent="0.35">
      <c r="A6" s="70" t="s">
        <v>378</v>
      </c>
      <c r="B6" s="95">
        <f ca="1">B4+B5</f>
        <v>10.145205479452056</v>
      </c>
      <c r="C6" s="97"/>
      <c r="K6" s="107"/>
      <c r="L6" s="107"/>
      <c r="M6" s="254" t="s">
        <v>5</v>
      </c>
      <c r="N6" s="255" t="s">
        <v>148</v>
      </c>
      <c r="O6" s="256" t="s">
        <v>148</v>
      </c>
      <c r="P6" s="259" t="s">
        <v>144</v>
      </c>
      <c r="Q6" s="259" t="s">
        <v>149</v>
      </c>
      <c r="R6" s="259" t="s">
        <v>150</v>
      </c>
      <c r="S6" s="237" t="s">
        <v>274</v>
      </c>
      <c r="T6" s="107"/>
      <c r="U6" s="308"/>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274</v>
      </c>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K9" s="107"/>
      <c r="L9" s="107"/>
      <c r="M9" s="254" t="s">
        <v>5</v>
      </c>
      <c r="N9" s="255" t="s">
        <v>678</v>
      </c>
      <c r="O9" s="257" t="s">
        <v>592</v>
      </c>
      <c r="P9" s="259" t="s">
        <v>144</v>
      </c>
      <c r="Q9" s="259" t="s">
        <v>153</v>
      </c>
      <c r="R9" s="259" t="s">
        <v>263</v>
      </c>
      <c r="S9" s="237" t="s">
        <v>274</v>
      </c>
      <c r="T9" s="107"/>
      <c r="U9" s="308"/>
      <c r="V9" s="107" t="s">
        <v>364</v>
      </c>
      <c r="W9" s="107"/>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K10" s="107"/>
      <c r="L10" s="107"/>
      <c r="M10" s="254" t="s">
        <v>5</v>
      </c>
      <c r="N10" s="255" t="s">
        <v>678</v>
      </c>
      <c r="O10" s="257" t="s">
        <v>593</v>
      </c>
      <c r="P10" s="259" t="s">
        <v>144</v>
      </c>
      <c r="Q10" s="259" t="s">
        <v>590</v>
      </c>
      <c r="R10" s="259" t="s">
        <v>274</v>
      </c>
      <c r="S10" s="237" t="s">
        <v>274</v>
      </c>
      <c r="T10" s="107"/>
      <c r="U10" s="308"/>
      <c r="V10" s="107" t="s">
        <v>364</v>
      </c>
      <c r="W10" s="107" t="s">
        <v>367</v>
      </c>
      <c r="X10" s="107" t="s">
        <v>367</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K11" s="107"/>
      <c r="L11" s="107"/>
      <c r="M11" s="254" t="s">
        <v>5</v>
      </c>
      <c r="N11" s="255" t="s">
        <v>678</v>
      </c>
      <c r="O11" s="252" t="s">
        <v>640</v>
      </c>
      <c r="P11" s="259" t="s">
        <v>144</v>
      </c>
      <c r="Q11" s="262" t="s">
        <v>648</v>
      </c>
      <c r="R11" s="262" t="s">
        <v>329</v>
      </c>
      <c r="S11" s="237"/>
      <c r="T11" s="107"/>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K12" s="107"/>
      <c r="L12" s="107"/>
      <c r="M12" s="254" t="s">
        <v>5</v>
      </c>
      <c r="N12" s="255" t="s">
        <v>678</v>
      </c>
      <c r="O12" s="252" t="s">
        <v>641</v>
      </c>
      <c r="P12" s="259" t="s">
        <v>144</v>
      </c>
      <c r="Q12" s="262" t="s">
        <v>371</v>
      </c>
      <c r="R12" s="262" t="s">
        <v>372</v>
      </c>
      <c r="S12" s="237"/>
      <c r="T12" s="107"/>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K13" s="107"/>
      <c r="L13" s="107"/>
      <c r="M13" s="254" t="s">
        <v>5</v>
      </c>
      <c r="N13" s="255" t="s">
        <v>31</v>
      </c>
      <c r="O13" s="257" t="s">
        <v>173</v>
      </c>
      <c r="P13" s="260"/>
      <c r="Q13" s="263" t="s">
        <v>170</v>
      </c>
      <c r="R13" s="264" t="s">
        <v>170</v>
      </c>
      <c r="S13" s="237" t="s">
        <v>274</v>
      </c>
      <c r="T13" s="107"/>
      <c r="U13" s="308"/>
      <c r="V13" s="107" t="s">
        <v>364</v>
      </c>
      <c r="W13" s="107" t="s">
        <v>367</v>
      </c>
      <c r="X13" s="107" t="s">
        <v>367</v>
      </c>
    </row>
    <row r="14" spans="1:24" ht="13.8" x14ac:dyDescent="0.3">
      <c r="A14" s="213" t="s">
        <v>55</v>
      </c>
      <c r="B14" s="206" t="s">
        <v>617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K15" s="107"/>
      <c r="L15" s="107"/>
      <c r="M15" s="254" t="s">
        <v>5</v>
      </c>
      <c r="N15" s="255" t="s">
        <v>54</v>
      </c>
      <c r="O15" s="257" t="s">
        <v>388</v>
      </c>
      <c r="P15" s="259"/>
      <c r="Q15" s="259" t="s">
        <v>215</v>
      </c>
      <c r="R15" s="259" t="s">
        <v>216</v>
      </c>
      <c r="S15" s="107" t="s">
        <v>274</v>
      </c>
      <c r="T15" s="107"/>
      <c r="U15" s="308"/>
      <c r="V15" s="107" t="s">
        <v>364</v>
      </c>
      <c r="W15" s="107" t="s">
        <v>367</v>
      </c>
      <c r="X15" s="107" t="s">
        <v>367</v>
      </c>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K16" s="107"/>
      <c r="L16" s="107"/>
      <c r="M16" s="254" t="s">
        <v>5</v>
      </c>
      <c r="N16" s="255" t="s">
        <v>41</v>
      </c>
      <c r="O16" s="257" t="s">
        <v>412</v>
      </c>
      <c r="P16" s="260"/>
      <c r="Q16" s="259" t="s">
        <v>371</v>
      </c>
      <c r="R16" s="259" t="s">
        <v>372</v>
      </c>
      <c r="S16" s="107" t="s">
        <v>274</v>
      </c>
      <c r="T16" s="107"/>
      <c r="U16" s="308"/>
      <c r="V16" s="107"/>
      <c r="W16" s="107"/>
      <c r="X16" s="107"/>
    </row>
    <row r="17" spans="1:24" ht="23.4" customHeight="1" x14ac:dyDescent="0.3">
      <c r="A17" s="213" t="s">
        <v>55</v>
      </c>
      <c r="B17" s="206" t="s">
        <v>192</v>
      </c>
      <c r="C17" s="240"/>
      <c r="D17" s="240"/>
      <c r="E17" s="240"/>
      <c r="F17" s="240" t="s">
        <v>77</v>
      </c>
      <c r="G17" s="240"/>
      <c r="H17" s="212">
        <f>IF(C17&lt;&gt;"",'CBL Score Standard'!$D75,IF(D17&lt;&gt;"",SUM('CBL Score Standard'!$D75:$E75),IF(E17&lt;&gt;"",SUM('CBL Score Standard'!$D75:$F75),IF(F17&lt;&gt;"",SUM('CBL Score Standard'!$D75:$G75),IF(G17&lt;&gt;"",SUM('CBL Score Standard'!$D75:$H75,0))))))</f>
        <v>0</v>
      </c>
      <c r="K17" s="107"/>
      <c r="L17" s="107"/>
      <c r="M17" s="254" t="s">
        <v>5</v>
      </c>
      <c r="N17" s="255" t="s">
        <v>143</v>
      </c>
      <c r="O17" s="252" t="s">
        <v>647</v>
      </c>
      <c r="P17" s="260"/>
      <c r="Q17" s="262" t="s">
        <v>590</v>
      </c>
      <c r="R17" s="262" t="s">
        <v>274</v>
      </c>
      <c r="S17" s="107"/>
      <c r="T17" s="107"/>
      <c r="U17" s="107"/>
      <c r="V17" s="107"/>
      <c r="W17" s="107"/>
      <c r="X17" s="107"/>
    </row>
    <row r="18" spans="1:24" ht="13.8" x14ac:dyDescent="0.3">
      <c r="A18" s="213" t="s">
        <v>55</v>
      </c>
      <c r="B18" s="206" t="s">
        <v>194</v>
      </c>
      <c r="C18" s="240"/>
      <c r="D18" s="240" t="s">
        <v>77</v>
      </c>
      <c r="E18" s="240"/>
      <c r="F18" s="240"/>
      <c r="G18" s="240"/>
      <c r="H18" s="212">
        <f>IF(C18&lt;&gt;"",'CBL Score Standard'!$D76,IF(D18&lt;&gt;"",SUM('CBL Score Standard'!$D76:$E76),IF(E18&lt;&gt;"",SUM('CBL Score Standard'!$D76:$F76),IF(F18&lt;&gt;"",SUM('CBL Score Standard'!$D76:$G76),IF(G18&lt;&gt;"",SUM('CBL Score Standard'!$D76:$H76,0))))))</f>
        <v>0</v>
      </c>
      <c r="K18" s="107"/>
      <c r="L18" s="107"/>
      <c r="M18" s="254" t="s">
        <v>5</v>
      </c>
      <c r="N18" s="255" t="s">
        <v>46</v>
      </c>
      <c r="O18" s="252" t="s">
        <v>169</v>
      </c>
      <c r="P18" s="260"/>
      <c r="Q18" s="262" t="s">
        <v>170</v>
      </c>
      <c r="R18" s="262" t="s">
        <v>651</v>
      </c>
      <c r="S18" s="107" t="s">
        <v>274</v>
      </c>
      <c r="T18" s="107"/>
      <c r="U18" s="308"/>
      <c r="V18" s="107" t="s">
        <v>364</v>
      </c>
      <c r="W18" s="107" t="s">
        <v>367</v>
      </c>
      <c r="X18" s="107" t="s">
        <v>367</v>
      </c>
    </row>
    <row r="19" spans="1:24" ht="12.75" customHeight="1" x14ac:dyDescent="0.3">
      <c r="A19" s="213" t="s">
        <v>55</v>
      </c>
      <c r="B19" s="206" t="s">
        <v>196</v>
      </c>
      <c r="C19" s="240"/>
      <c r="D19" s="240" t="s">
        <v>77</v>
      </c>
      <c r="E19" s="240"/>
      <c r="F19" s="240"/>
      <c r="G19" s="240"/>
      <c r="H19" s="212">
        <f>IF(C19&lt;&gt;"",'CBL Score Standard'!$D77,IF(D19&lt;&gt;"",SUM('CBL Score Standard'!$D77:$E77),IF(E19&lt;&gt;"",SUM('CBL Score Standard'!$D77:$F77),IF(F19&lt;&gt;"",SUM('CBL Score Standard'!$D77:$G77),IF(G19&lt;&gt;"",SUM('CBL Score Standard'!$D77:$H77,0))))))</f>
        <v>0</v>
      </c>
      <c r="K19" s="107" t="s">
        <v>141</v>
      </c>
      <c r="L19" s="107" t="s">
        <v>142</v>
      </c>
      <c r="M19" s="266" t="s">
        <v>6</v>
      </c>
      <c r="N19" s="267" t="s">
        <v>41</v>
      </c>
      <c r="O19" s="268" t="s">
        <v>176</v>
      </c>
      <c r="P19" s="272"/>
      <c r="Q19" s="269" t="s">
        <v>177</v>
      </c>
      <c r="R19" s="269" t="s">
        <v>344</v>
      </c>
      <c r="S19" s="302" t="s">
        <v>274</v>
      </c>
      <c r="U19" s="309"/>
      <c r="W19" s="296" t="s">
        <v>367</v>
      </c>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K20" s="107"/>
      <c r="L20" s="107"/>
      <c r="M20" s="266" t="s">
        <v>6</v>
      </c>
      <c r="N20" s="267" t="s">
        <v>56</v>
      </c>
      <c r="O20" s="270" t="s">
        <v>180</v>
      </c>
      <c r="P20" s="272"/>
      <c r="Q20" s="269" t="s">
        <v>170</v>
      </c>
      <c r="R20" s="269" t="s">
        <v>651</v>
      </c>
      <c r="S20" s="237" t="s">
        <v>274</v>
      </c>
      <c r="T20" s="107" t="s">
        <v>72</v>
      </c>
      <c r="U20" s="308">
        <v>43752</v>
      </c>
      <c r="V20" s="107" t="s">
        <v>364</v>
      </c>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K21" s="107"/>
      <c r="L21" s="107"/>
      <c r="M21" s="266" t="s">
        <v>6</v>
      </c>
      <c r="N21" s="267" t="s">
        <v>678</v>
      </c>
      <c r="O21" s="252" t="s">
        <v>680</v>
      </c>
      <c r="P21" s="273"/>
      <c r="Q21" s="269" t="s">
        <v>152</v>
      </c>
      <c r="R21" s="269" t="s">
        <v>154</v>
      </c>
      <c r="S21" s="237" t="s">
        <v>274</v>
      </c>
      <c r="T21" s="107"/>
      <c r="U21" s="308"/>
      <c r="V21" s="107" t="s">
        <v>364</v>
      </c>
      <c r="W21" s="107" t="s">
        <v>367</v>
      </c>
      <c r="X21" s="107" t="s">
        <v>367</v>
      </c>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K22" s="107"/>
      <c r="L22" s="107"/>
      <c r="M22" s="266" t="s">
        <v>6</v>
      </c>
      <c r="N22" s="267" t="s">
        <v>678</v>
      </c>
      <c r="O22" s="270" t="s">
        <v>186</v>
      </c>
      <c r="P22" s="274">
        <v>44392</v>
      </c>
      <c r="Q22" s="269" t="s">
        <v>153</v>
      </c>
      <c r="R22" s="269" t="s">
        <v>263</v>
      </c>
      <c r="S22" s="237" t="s">
        <v>274</v>
      </c>
      <c r="T22" s="107"/>
      <c r="U22" s="308"/>
      <c r="V22" s="107"/>
      <c r="W22" s="107"/>
      <c r="X22" s="107"/>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K23" s="107"/>
      <c r="L23" s="107"/>
      <c r="M23" s="266" t="s">
        <v>6</v>
      </c>
      <c r="N23" s="267" t="s">
        <v>678</v>
      </c>
      <c r="O23" s="252" t="s">
        <v>652</v>
      </c>
      <c r="P23" s="273">
        <v>44378</v>
      </c>
      <c r="Q23" s="269" t="s">
        <v>590</v>
      </c>
      <c r="R23" s="269" t="s">
        <v>274</v>
      </c>
      <c r="S23" s="237" t="s">
        <v>274</v>
      </c>
      <c r="T23" s="107"/>
      <c r="U23" s="308"/>
      <c r="V23" s="107" t="s">
        <v>364</v>
      </c>
      <c r="W23" s="107" t="s">
        <v>367</v>
      </c>
      <c r="X23" s="107" t="s">
        <v>367</v>
      </c>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K24" s="107"/>
      <c r="L24" s="107"/>
      <c r="M24" s="266" t="s">
        <v>6</v>
      </c>
      <c r="N24" s="267" t="s">
        <v>678</v>
      </c>
      <c r="O24" s="270" t="s">
        <v>189</v>
      </c>
      <c r="P24" s="274"/>
      <c r="Q24" s="269" t="s">
        <v>225</v>
      </c>
      <c r="R24" s="269" t="s">
        <v>340</v>
      </c>
      <c r="S24" s="237" t="s">
        <v>274</v>
      </c>
      <c r="T24" s="107"/>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K25" s="107"/>
      <c r="L25" s="107"/>
      <c r="M25" s="266" t="s">
        <v>6</v>
      </c>
      <c r="N25" s="267" t="s">
        <v>55</v>
      </c>
      <c r="O25" s="270" t="s">
        <v>190</v>
      </c>
      <c r="P25" s="272"/>
      <c r="Q25" s="269" t="s">
        <v>373</v>
      </c>
      <c r="R25" s="269" t="s">
        <v>331</v>
      </c>
      <c r="S25" s="237" t="s">
        <v>274</v>
      </c>
      <c r="T25" s="107"/>
      <c r="U25" s="308"/>
      <c r="V25" s="107"/>
      <c r="W25" s="107"/>
      <c r="X25" s="107"/>
    </row>
    <row r="26" spans="1:24" ht="27.6"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K26" s="107"/>
      <c r="L26" s="107"/>
      <c r="M26" s="266" t="s">
        <v>6</v>
      </c>
      <c r="N26" s="267" t="s">
        <v>55</v>
      </c>
      <c r="O26" s="270" t="s">
        <v>192</v>
      </c>
      <c r="P26" s="272"/>
      <c r="Q26" s="271" t="s">
        <v>653</v>
      </c>
      <c r="R26" s="269" t="s">
        <v>275</v>
      </c>
      <c r="S26" s="237" t="s">
        <v>274</v>
      </c>
      <c r="T26" s="107"/>
      <c r="U26" s="308"/>
      <c r="V26" s="107" t="s">
        <v>364</v>
      </c>
      <c r="W26" s="107" t="s">
        <v>367</v>
      </c>
      <c r="X26" s="107" t="s">
        <v>367</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K27" s="107"/>
      <c r="L27" s="107"/>
      <c r="M27" s="266" t="s">
        <v>6</v>
      </c>
      <c r="N27" s="267" t="s">
        <v>55</v>
      </c>
      <c r="O27" s="270" t="s">
        <v>194</v>
      </c>
      <c r="P27" s="272"/>
      <c r="Q27" s="271" t="s">
        <v>654</v>
      </c>
      <c r="R27" s="271" t="s">
        <v>655</v>
      </c>
      <c r="S27" s="237" t="s">
        <v>274</v>
      </c>
      <c r="T27" s="107"/>
      <c r="U27" s="308"/>
      <c r="V27" s="107"/>
      <c r="W27" s="107"/>
      <c r="X27" s="107"/>
    </row>
    <row r="28" spans="1:24" ht="26.4"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K28" s="107"/>
      <c r="L28" s="107"/>
      <c r="M28" s="266" t="s">
        <v>6</v>
      </c>
      <c r="N28" s="267" t="s">
        <v>55</v>
      </c>
      <c r="O28" s="270" t="s">
        <v>196</v>
      </c>
      <c r="P28" s="272"/>
      <c r="Q28" s="269" t="s">
        <v>197</v>
      </c>
      <c r="R28" s="269" t="s">
        <v>256</v>
      </c>
      <c r="S28" s="237" t="s">
        <v>274</v>
      </c>
      <c r="T28" s="107"/>
      <c r="U28" s="308"/>
      <c r="V28" s="107"/>
      <c r="W28" s="107"/>
      <c r="X28" s="107"/>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K29" s="107"/>
      <c r="L29" s="107"/>
      <c r="M29" s="266" t="s">
        <v>6</v>
      </c>
      <c r="N29" s="267" t="s">
        <v>55</v>
      </c>
      <c r="O29" s="270" t="s">
        <v>200</v>
      </c>
      <c r="P29" s="272"/>
      <c r="Q29" s="269" t="s">
        <v>374</v>
      </c>
      <c r="R29" s="269" t="s">
        <v>375</v>
      </c>
      <c r="S29" s="107" t="s">
        <v>274</v>
      </c>
      <c r="T29" s="107"/>
      <c r="U29" s="308"/>
      <c r="V29" s="107"/>
      <c r="W29" s="107"/>
      <c r="X29" s="107"/>
    </row>
    <row r="30" spans="1:24" x14ac:dyDescent="0.3">
      <c r="A30" s="213" t="s">
        <v>59</v>
      </c>
      <c r="B30" s="206" t="s">
        <v>613</v>
      </c>
      <c r="C30" s="240"/>
      <c r="D30" s="240"/>
      <c r="E30" s="292"/>
      <c r="F30" s="292" t="s">
        <v>77</v>
      </c>
      <c r="G30" s="292"/>
      <c r="H30" s="212">
        <f>IF(C30&lt;&gt;"",'CBL Score Standard'!$D88,IF(D30&lt;&gt;"",SUM('CBL Score Standard'!$D88:$E88),IF(E30&lt;&gt;"",SUM('CBL Score Standard'!$D88:$F88),IF(F30&lt;&gt;"",SUM('CBL Score Standard'!$D88:$G88),IF(G30&lt;&gt;"",SUM('CBL Score Standard'!$D88:$H88,0))))))</f>
        <v>4.9624060150375938E-2</v>
      </c>
      <c r="K30" s="107"/>
      <c r="L30" s="107"/>
      <c r="M30" s="266" t="s">
        <v>6</v>
      </c>
      <c r="N30" s="267" t="s">
        <v>56</v>
      </c>
      <c r="O30" s="270" t="s">
        <v>390</v>
      </c>
      <c r="P30" s="272"/>
      <c r="Q30" s="269" t="s">
        <v>165</v>
      </c>
      <c r="R30" s="269" t="s">
        <v>339</v>
      </c>
      <c r="S30" s="237" t="s">
        <v>274</v>
      </c>
      <c r="T30" s="107" t="s">
        <v>72</v>
      </c>
      <c r="U30" s="308">
        <v>43761</v>
      </c>
      <c r="V30" s="107" t="s">
        <v>364</v>
      </c>
      <c r="W30" s="107" t="s">
        <v>367</v>
      </c>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K31" s="107"/>
      <c r="L31" s="107"/>
      <c r="M31" s="266" t="s">
        <v>6</v>
      </c>
      <c r="N31" s="267" t="s">
        <v>53</v>
      </c>
      <c r="O31" s="270" t="s">
        <v>361</v>
      </c>
      <c r="P31" s="272"/>
      <c r="Q31" s="269"/>
      <c r="R31" s="269"/>
      <c r="S31" s="237" t="s">
        <v>274</v>
      </c>
      <c r="T31" s="107"/>
      <c r="U31" s="308"/>
      <c r="V31" s="107"/>
      <c r="W31" s="107"/>
      <c r="X31" s="107" t="s">
        <v>367</v>
      </c>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K32" s="107"/>
      <c r="L32" s="107"/>
      <c r="M32" s="266" t="s">
        <v>6</v>
      </c>
      <c r="N32" s="267" t="s">
        <v>54</v>
      </c>
      <c r="O32" s="270" t="s">
        <v>335</v>
      </c>
      <c r="P32" s="272"/>
      <c r="Q32" s="269" t="s">
        <v>207</v>
      </c>
      <c r="R32" s="269" t="s">
        <v>319</v>
      </c>
      <c r="S32" s="107" t="s">
        <v>274</v>
      </c>
      <c r="T32" s="107"/>
      <c r="U32" s="308"/>
      <c r="V32" s="107"/>
      <c r="W32" s="107"/>
      <c r="X32" s="107" t="s">
        <v>367</v>
      </c>
    </row>
    <row r="33" spans="1:24" ht="13.8"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K33" s="107" t="s">
        <v>141</v>
      </c>
      <c r="L33" s="107" t="s">
        <v>142</v>
      </c>
      <c r="M33" s="275" t="s">
        <v>7</v>
      </c>
      <c r="N33" s="276" t="s">
        <v>55</v>
      </c>
      <c r="O33" s="277" t="s">
        <v>183</v>
      </c>
      <c r="P33" s="283">
        <v>44266</v>
      </c>
      <c r="Q33" s="280" t="s">
        <v>218</v>
      </c>
      <c r="R33" s="280" t="s">
        <v>266</v>
      </c>
      <c r="S33" s="237" t="s">
        <v>274</v>
      </c>
      <c r="T33" s="107"/>
      <c r="U33" s="308"/>
      <c r="V33" s="107" t="s">
        <v>364</v>
      </c>
      <c r="W33" s="107" t="s">
        <v>367</v>
      </c>
      <c r="X33" s="107" t="s">
        <v>367</v>
      </c>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K34" s="107"/>
      <c r="L34" s="107"/>
      <c r="M34" s="275" t="s">
        <v>7</v>
      </c>
      <c r="N34" s="276" t="s">
        <v>56</v>
      </c>
      <c r="O34" s="277" t="s">
        <v>213</v>
      </c>
      <c r="P34" s="280"/>
      <c r="Q34" s="280" t="s">
        <v>162</v>
      </c>
      <c r="R34" s="280" t="s">
        <v>317</v>
      </c>
      <c r="S34" s="237" t="s">
        <v>274</v>
      </c>
      <c r="T34" s="107" t="s">
        <v>72</v>
      </c>
      <c r="U34" s="308"/>
      <c r="V34" s="107" t="s">
        <v>364</v>
      </c>
      <c r="W34" s="107" t="s">
        <v>367</v>
      </c>
      <c r="X34" s="107" t="s">
        <v>367</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K35" s="107"/>
      <c r="L35" s="107"/>
      <c r="M35" s="275" t="s">
        <v>7</v>
      </c>
      <c r="N35" s="276" t="s">
        <v>55</v>
      </c>
      <c r="O35" s="277" t="s">
        <v>595</v>
      </c>
      <c r="P35" s="283"/>
      <c r="Q35" s="281" t="s">
        <v>387</v>
      </c>
      <c r="R35" s="282" t="s">
        <v>386</v>
      </c>
      <c r="S35" s="237" t="s">
        <v>274</v>
      </c>
      <c r="T35" s="107"/>
      <c r="U35" s="308"/>
      <c r="V35" s="107" t="s">
        <v>364</v>
      </c>
      <c r="W35" s="237" t="s">
        <v>367</v>
      </c>
      <c r="X35" s="107" t="s">
        <v>367</v>
      </c>
    </row>
    <row r="36" spans="1:24" ht="27.6"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K36" s="107"/>
      <c r="L36" s="107"/>
      <c r="M36" s="275" t="s">
        <v>7</v>
      </c>
      <c r="N36" s="276" t="s">
        <v>55</v>
      </c>
      <c r="O36" s="277" t="s">
        <v>410</v>
      </c>
      <c r="P36" s="280"/>
      <c r="Q36" s="282" t="s">
        <v>661</v>
      </c>
      <c r="R36" s="280" t="s">
        <v>662</v>
      </c>
      <c r="S36" s="237" t="s">
        <v>274</v>
      </c>
      <c r="T36" s="107"/>
      <c r="U36" s="308"/>
      <c r="V36" s="107" t="s">
        <v>364</v>
      </c>
      <c r="W36" s="107" t="s">
        <v>367</v>
      </c>
      <c r="X36" s="107" t="s">
        <v>367</v>
      </c>
    </row>
    <row r="37" spans="1:24" ht="41.4"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K37" s="107"/>
      <c r="L37" s="107"/>
      <c r="M37" s="275" t="s">
        <v>7</v>
      </c>
      <c r="N37" s="276" t="s">
        <v>55</v>
      </c>
      <c r="O37" s="277" t="s">
        <v>656</v>
      </c>
      <c r="P37" s="283">
        <v>43985</v>
      </c>
      <c r="Q37" s="282" t="s">
        <v>663</v>
      </c>
      <c r="R37" s="282" t="s">
        <v>664</v>
      </c>
      <c r="S37" s="237"/>
      <c r="T37" s="107"/>
      <c r="U37" s="107"/>
      <c r="V37" s="107"/>
      <c r="W37" s="107"/>
      <c r="X37" s="107"/>
    </row>
    <row r="38" spans="1:24" ht="23.4" customHeight="1" x14ac:dyDescent="0.3">
      <c r="A38" s="213" t="s">
        <v>54</v>
      </c>
      <c r="B38" s="206" t="s">
        <v>388</v>
      </c>
      <c r="C38" s="292"/>
      <c r="D38" s="292"/>
      <c r="E38" s="292"/>
      <c r="F38" s="292" t="s">
        <v>77</v>
      </c>
      <c r="G38" s="292"/>
      <c r="H38" s="212">
        <f>IF(C38&lt;&gt;"",'CBL Score Standard'!$D96,IF(D38&lt;&gt;"",SUM('CBL Score Standard'!$D96:$E96),IF(E38&lt;&gt;"",SUM('CBL Score Standard'!$D96:$F96),IF(F38&lt;&gt;"",SUM('CBL Score Standard'!$D96:$G96),IF(G38&lt;&gt;"",SUM('CBL Score Standard'!$D96:$H96,0))))))</f>
        <v>0.18173788128858734</v>
      </c>
      <c r="K38" s="107"/>
      <c r="L38" s="107"/>
      <c r="M38" s="275" t="s">
        <v>7</v>
      </c>
      <c r="N38" s="276" t="s">
        <v>55</v>
      </c>
      <c r="O38" s="277" t="s">
        <v>657</v>
      </c>
      <c r="P38" s="283"/>
      <c r="Q38" s="280" t="s">
        <v>219</v>
      </c>
      <c r="R38" s="280" t="s">
        <v>256</v>
      </c>
      <c r="S38" s="237"/>
      <c r="T38" s="107"/>
      <c r="U38" s="107"/>
      <c r="V38" s="107"/>
      <c r="W38" s="107"/>
      <c r="X38" s="107"/>
    </row>
    <row r="39" spans="1:24" ht="13.8"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K39" s="107"/>
      <c r="L39" s="107"/>
      <c r="M39" s="275" t="s">
        <v>7</v>
      </c>
      <c r="N39" s="276" t="s">
        <v>53</v>
      </c>
      <c r="O39" s="277" t="s">
        <v>221</v>
      </c>
      <c r="P39" s="283"/>
      <c r="Q39" s="280" t="s">
        <v>222</v>
      </c>
      <c r="R39" s="280" t="s">
        <v>344</v>
      </c>
      <c r="S39" s="237" t="s">
        <v>274</v>
      </c>
      <c r="T39" s="107"/>
      <c r="U39" s="308"/>
      <c r="V39" s="107"/>
      <c r="W39" s="107"/>
      <c r="X39" s="107" t="s">
        <v>367</v>
      </c>
    </row>
    <row r="40" spans="1:24" ht="13.8" x14ac:dyDescent="0.3">
      <c r="A40" s="213" t="s">
        <v>54</v>
      </c>
      <c r="B40" s="206" t="s">
        <v>229</v>
      </c>
      <c r="C40" s="240"/>
      <c r="D40" s="240"/>
      <c r="E40" s="239"/>
      <c r="F40" s="292" t="s">
        <v>77</v>
      </c>
      <c r="G40" s="292"/>
      <c r="H40" s="212">
        <f>IF(C40&lt;&gt;"",'CBL Score Standard'!$D98,IF(D40&lt;&gt;"",SUM('CBL Score Standard'!$D98:$E98),IF(E40&lt;&gt;"",SUM('CBL Score Standard'!$D98:$F98),IF(F40&lt;&gt;"",SUM('CBL Score Standard'!$D98:$G98),IF(G40&lt;&gt;"",SUM('CBL Score Standard'!$D98:$H98,0))))))</f>
        <v>3.5338345864661655E-2</v>
      </c>
      <c r="K40" s="107"/>
      <c r="L40" s="107"/>
      <c r="M40" s="275" t="s">
        <v>7</v>
      </c>
      <c r="N40" s="276" t="s">
        <v>53</v>
      </c>
      <c r="O40" s="277" t="s">
        <v>224</v>
      </c>
      <c r="P40" s="283"/>
      <c r="Q40" s="280" t="s">
        <v>225</v>
      </c>
      <c r="R40" s="280" t="s">
        <v>340</v>
      </c>
      <c r="S40" s="237" t="s">
        <v>274</v>
      </c>
      <c r="T40" s="107" t="s">
        <v>72</v>
      </c>
      <c r="U40" s="308">
        <v>43761</v>
      </c>
      <c r="V40" s="107" t="s">
        <v>364</v>
      </c>
      <c r="W40" s="107"/>
      <c r="X40" s="107"/>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K41" s="107"/>
      <c r="L41" s="107"/>
      <c r="M41" s="275" t="s">
        <v>7</v>
      </c>
      <c r="N41" s="276" t="s">
        <v>658</v>
      </c>
      <c r="O41" s="278" t="s">
        <v>614</v>
      </c>
      <c r="P41" s="283"/>
      <c r="Q41" s="280" t="s">
        <v>152</v>
      </c>
      <c r="R41" s="280" t="s">
        <v>154</v>
      </c>
      <c r="S41" s="237" t="s">
        <v>274</v>
      </c>
      <c r="T41" s="107" t="s">
        <v>72</v>
      </c>
      <c r="U41" s="308">
        <v>43754</v>
      </c>
      <c r="V41" s="107" t="s">
        <v>364</v>
      </c>
      <c r="W41" s="107"/>
      <c r="X41" s="107" t="s">
        <v>367</v>
      </c>
    </row>
    <row r="42" spans="1:24" ht="12.75" customHeight="1"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K42" s="107"/>
      <c r="L42" s="107"/>
      <c r="M42" s="275" t="s">
        <v>7</v>
      </c>
      <c r="N42" s="276" t="s">
        <v>658</v>
      </c>
      <c r="O42" s="278" t="s">
        <v>613</v>
      </c>
      <c r="P42" s="283"/>
      <c r="Q42" s="280" t="s">
        <v>152</v>
      </c>
      <c r="R42" s="280" t="s">
        <v>154</v>
      </c>
      <c r="S42" s="107" t="s">
        <v>274</v>
      </c>
      <c r="T42" s="107" t="s">
        <v>72</v>
      </c>
      <c r="U42" s="308">
        <v>44008</v>
      </c>
      <c r="V42" s="107" t="s">
        <v>364</v>
      </c>
      <c r="W42" s="107"/>
      <c r="X42" s="107" t="s">
        <v>367</v>
      </c>
    </row>
    <row r="43" spans="1:24" ht="13.8" x14ac:dyDescent="0.3">
      <c r="A43" s="213" t="s">
        <v>53</v>
      </c>
      <c r="B43" s="206" t="s">
        <v>224</v>
      </c>
      <c r="C43" s="240"/>
      <c r="D43" s="240"/>
      <c r="E43" s="240"/>
      <c r="F43" s="292" t="s">
        <v>77</v>
      </c>
      <c r="G43" s="292"/>
      <c r="H43" s="212">
        <f>IF(C43&lt;&gt;"",'CBL Score Standard'!$D101,IF(D43&lt;&gt;"",SUM('CBL Score Standard'!$D101:$E101),IF(E43&lt;&gt;"",SUM('CBL Score Standard'!$D101:$F101),IF(F43&lt;&gt;"",SUM('CBL Score Standard'!$D101:$G101),IF(G43&lt;&gt;"",SUM('CBL Score Standard'!$D101:$H101,0))))))</f>
        <v>3.5338345864661655E-2</v>
      </c>
      <c r="K43" s="107"/>
      <c r="L43" s="107"/>
      <c r="M43" s="275" t="s">
        <v>7</v>
      </c>
      <c r="N43" s="276" t="s">
        <v>56</v>
      </c>
      <c r="O43" s="278" t="s">
        <v>659</v>
      </c>
      <c r="P43" s="283"/>
      <c r="Q43" s="280" t="s">
        <v>575</v>
      </c>
      <c r="R43" s="280" t="s">
        <v>265</v>
      </c>
      <c r="S43" s="237"/>
      <c r="T43" s="107"/>
      <c r="U43" s="107"/>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K44" s="107"/>
      <c r="L44" s="107"/>
      <c r="M44" s="275" t="s">
        <v>7</v>
      </c>
      <c r="N44" s="276" t="s">
        <v>55</v>
      </c>
      <c r="O44" s="278" t="s">
        <v>1</v>
      </c>
      <c r="P44" s="283"/>
      <c r="Q44" s="280" t="s">
        <v>577</v>
      </c>
      <c r="R44" s="280" t="s">
        <v>477</v>
      </c>
      <c r="S44" s="237" t="s">
        <v>274</v>
      </c>
      <c r="T44" s="107"/>
      <c r="U44" s="308">
        <v>43763</v>
      </c>
      <c r="V44" s="107" t="s">
        <v>364</v>
      </c>
      <c r="W44" s="107"/>
      <c r="X44" s="107" t="s">
        <v>367</v>
      </c>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K45" s="107"/>
      <c r="L45" s="107"/>
      <c r="M45" s="275" t="s">
        <v>7</v>
      </c>
      <c r="N45" s="276" t="s">
        <v>56</v>
      </c>
      <c r="O45" s="278" t="s">
        <v>383</v>
      </c>
      <c r="P45" s="283"/>
      <c r="Q45" s="280" t="s">
        <v>384</v>
      </c>
      <c r="R45" s="280"/>
      <c r="S45" s="107" t="s">
        <v>274</v>
      </c>
      <c r="T45" s="107"/>
      <c r="U45" s="308"/>
      <c r="V45" s="107"/>
      <c r="W45" s="107"/>
      <c r="X45" s="107" t="s">
        <v>367</v>
      </c>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K46" s="107"/>
      <c r="L46" s="107"/>
      <c r="M46" s="275" t="s">
        <v>7</v>
      </c>
      <c r="N46" s="276" t="s">
        <v>56</v>
      </c>
      <c r="O46" s="278" t="s">
        <v>385</v>
      </c>
      <c r="P46" s="280"/>
      <c r="Q46" s="280" t="s">
        <v>387</v>
      </c>
      <c r="R46" s="280" t="s">
        <v>386</v>
      </c>
      <c r="S46" s="237" t="s">
        <v>274</v>
      </c>
      <c r="T46" s="107"/>
      <c r="U46" s="308">
        <v>43669</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K47" s="107"/>
      <c r="L47" s="107"/>
      <c r="M47" s="275" t="s">
        <v>7</v>
      </c>
      <c r="N47" s="276" t="s">
        <v>54</v>
      </c>
      <c r="O47" s="278" t="s">
        <v>229</v>
      </c>
      <c r="P47" s="283"/>
      <c r="Q47" s="280" t="s">
        <v>665</v>
      </c>
      <c r="R47" s="280" t="s">
        <v>574</v>
      </c>
      <c r="S47" s="107" t="s">
        <v>274</v>
      </c>
      <c r="T47" s="107" t="s">
        <v>72</v>
      </c>
      <c r="U47" s="308">
        <v>43756</v>
      </c>
      <c r="V47" s="107" t="s">
        <v>364</v>
      </c>
      <c r="W47" s="107"/>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K48" s="107"/>
      <c r="L48" s="107"/>
      <c r="M48" s="275" t="s">
        <v>7</v>
      </c>
      <c r="N48" s="276" t="s">
        <v>148</v>
      </c>
      <c r="O48" s="279" t="s">
        <v>639</v>
      </c>
      <c r="P48" s="283" t="s">
        <v>228</v>
      </c>
      <c r="Q48" s="280" t="s">
        <v>666</v>
      </c>
      <c r="R48" s="280"/>
      <c r="S48" s="107"/>
      <c r="T48" s="107"/>
      <c r="U48" s="107"/>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K49" s="107"/>
      <c r="L49" s="107"/>
      <c r="M49" s="275" t="s">
        <v>7</v>
      </c>
      <c r="N49" s="276" t="s">
        <v>55</v>
      </c>
      <c r="O49" s="277" t="s">
        <v>660</v>
      </c>
      <c r="P49" s="283"/>
      <c r="Q49" s="280" t="s">
        <v>667</v>
      </c>
      <c r="R49" s="280" t="s">
        <v>316</v>
      </c>
      <c r="S49" s="107"/>
      <c r="T49" s="107"/>
      <c r="U49" s="107"/>
      <c r="V49" s="107"/>
      <c r="W49" s="107"/>
      <c r="X49" s="107"/>
    </row>
    <row r="50" spans="1:24" ht="13.8" x14ac:dyDescent="0.3">
      <c r="A50" s="213" t="s">
        <v>643</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K50" s="107"/>
      <c r="L50" s="107"/>
      <c r="M50" s="275" t="s">
        <v>7</v>
      </c>
      <c r="N50" s="276" t="s">
        <v>658</v>
      </c>
      <c r="O50" s="252" t="s">
        <v>638</v>
      </c>
      <c r="P50" s="283" t="s">
        <v>228</v>
      </c>
      <c r="Q50" s="280" t="s">
        <v>666</v>
      </c>
      <c r="R50" s="280"/>
      <c r="S50" s="107"/>
      <c r="T50" s="107"/>
      <c r="U50" s="107"/>
      <c r="V50" s="107"/>
      <c r="W50" s="107"/>
      <c r="X50" s="107"/>
    </row>
    <row r="51" spans="1:24" x14ac:dyDescent="0.3">
      <c r="A51" s="213" t="s">
        <v>643</v>
      </c>
      <c r="B51" s="206" t="s">
        <v>475</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K51" s="107" t="s">
        <v>141</v>
      </c>
      <c r="L51" s="107" t="s">
        <v>142</v>
      </c>
      <c r="M51" s="284" t="s">
        <v>8</v>
      </c>
      <c r="N51" s="285" t="s">
        <v>2</v>
      </c>
      <c r="O51" s="279" t="s">
        <v>232</v>
      </c>
      <c r="P51" s="286" t="s">
        <v>228</v>
      </c>
      <c r="Q51" s="286" t="s">
        <v>671</v>
      </c>
      <c r="R51" s="286"/>
      <c r="S51" s="237" t="s">
        <v>274</v>
      </c>
      <c r="T51" s="107" t="s">
        <v>72</v>
      </c>
      <c r="U51" s="107"/>
      <c r="V51" s="107"/>
      <c r="W51" s="107"/>
      <c r="X51" s="107"/>
    </row>
    <row r="52" spans="1:24" x14ac:dyDescent="0.3">
      <c r="A52" s="213" t="s">
        <v>643</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K52" s="107"/>
      <c r="L52" s="107"/>
      <c r="M52" s="284" t="s">
        <v>8</v>
      </c>
      <c r="N52" s="285" t="s">
        <v>63</v>
      </c>
      <c r="O52" s="279" t="s">
        <v>234</v>
      </c>
      <c r="P52" s="286" t="s">
        <v>228</v>
      </c>
      <c r="Q52" s="286" t="s">
        <v>672</v>
      </c>
      <c r="R52" s="286"/>
      <c r="S52" s="237" t="s">
        <v>274</v>
      </c>
      <c r="T52" s="107" t="s">
        <v>72</v>
      </c>
      <c r="U52" s="107"/>
      <c r="V52" s="107"/>
      <c r="W52" s="107"/>
      <c r="X52" s="107"/>
    </row>
    <row r="53" spans="1:24" x14ac:dyDescent="0.3">
      <c r="A53" s="213" t="s">
        <v>643</v>
      </c>
      <c r="B53" s="206" t="s">
        <v>593</v>
      </c>
      <c r="C53" s="292"/>
      <c r="D53" s="292"/>
      <c r="E53" s="292"/>
      <c r="F53" s="292" t="s">
        <v>77</v>
      </c>
      <c r="G53" s="292"/>
      <c r="H53" s="212">
        <f>IF(C53&lt;&gt;"",'CBL Score Standard'!$D111,IF(D53&lt;&gt;"",SUM('CBL Score Standard'!$D111:$E111),IF(E53&lt;&gt;"",SUM('CBL Score Standard'!$D111:$F111),IF(F53&lt;&gt;"",SUM('CBL Score Standard'!$D111:$G111),IF(G53&lt;&gt;"",SUM('CBL Score Standard'!$D111:$H111,0))))))</f>
        <v>0.18173788128858734</v>
      </c>
      <c r="K53" s="107"/>
      <c r="L53" s="107"/>
      <c r="M53" s="284" t="s">
        <v>8</v>
      </c>
      <c r="N53" s="285" t="s">
        <v>56</v>
      </c>
      <c r="O53" s="279" t="s">
        <v>669</v>
      </c>
      <c r="P53" s="286" t="s">
        <v>228</v>
      </c>
      <c r="Q53" s="286" t="s">
        <v>666</v>
      </c>
      <c r="R53" s="286"/>
      <c r="S53" s="107"/>
      <c r="T53" s="107"/>
      <c r="U53" s="107"/>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K54" s="107"/>
      <c r="L54" s="107"/>
      <c r="M54" s="284" t="s">
        <v>8</v>
      </c>
      <c r="N54" s="285" t="s">
        <v>55</v>
      </c>
      <c r="O54" s="279" t="s">
        <v>236</v>
      </c>
      <c r="P54" s="286" t="s">
        <v>228</v>
      </c>
      <c r="Q54" s="286" t="s">
        <v>673</v>
      </c>
      <c r="R54" s="286"/>
      <c r="S54" s="237" t="s">
        <v>274</v>
      </c>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K55" s="107"/>
      <c r="L55" s="107"/>
      <c r="M55" s="284" t="s">
        <v>8</v>
      </c>
      <c r="N55" s="285" t="s">
        <v>53</v>
      </c>
      <c r="O55" s="279" t="s">
        <v>670</v>
      </c>
      <c r="P55" s="286" t="s">
        <v>228</v>
      </c>
      <c r="Q55" s="286" t="s">
        <v>674</v>
      </c>
      <c r="R55" s="286"/>
      <c r="S55" s="107"/>
      <c r="T55" s="107"/>
      <c r="U55" s="107"/>
      <c r="V55" s="107"/>
      <c r="W55" s="107"/>
      <c r="X55" s="107"/>
    </row>
    <row r="56" spans="1:24" customFormat="1" x14ac:dyDescent="0.3">
      <c r="A56" s="213" t="s">
        <v>643</v>
      </c>
      <c r="B56" s="206" t="s">
        <v>679</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K56" s="107"/>
      <c r="L56" s="107"/>
      <c r="M56" s="284" t="s">
        <v>8</v>
      </c>
      <c r="N56" s="285" t="s">
        <v>59</v>
      </c>
      <c r="O56" s="279" t="s">
        <v>237</v>
      </c>
      <c r="P56" s="286" t="s">
        <v>228</v>
      </c>
      <c r="Q56" s="286" t="s">
        <v>675</v>
      </c>
      <c r="R56" s="286"/>
      <c r="S56" s="107" t="s">
        <v>274</v>
      </c>
      <c r="T56" s="107"/>
      <c r="U56" s="307"/>
      <c r="V56" s="107"/>
      <c r="W56" s="107"/>
      <c r="X56" s="107"/>
    </row>
    <row r="57" spans="1:24" ht="26.4" x14ac:dyDescent="0.3">
      <c r="A57" s="213" t="s">
        <v>643</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K57" s="107"/>
      <c r="L57" s="107"/>
      <c r="M57" s="284" t="s">
        <v>8</v>
      </c>
      <c r="N57" s="285" t="s">
        <v>55</v>
      </c>
      <c r="O57" s="279" t="s">
        <v>473</v>
      </c>
      <c r="P57" s="286" t="s">
        <v>228</v>
      </c>
      <c r="Q57" s="286" t="s">
        <v>672</v>
      </c>
      <c r="R57" s="286"/>
      <c r="S57" s="107" t="s">
        <v>274</v>
      </c>
      <c r="T57" s="107" t="s">
        <v>72</v>
      </c>
      <c r="U57" s="307"/>
      <c r="V57" s="107"/>
      <c r="W57" s="107"/>
      <c r="X57" s="107"/>
    </row>
    <row r="58" spans="1:24" ht="23.4" customHeight="1" x14ac:dyDescent="0.3">
      <c r="A58" s="213" t="s">
        <v>643</v>
      </c>
      <c r="B58" s="111" t="s">
        <v>644</v>
      </c>
      <c r="C58" s="291"/>
      <c r="D58" s="291"/>
      <c r="E58" s="291"/>
      <c r="F58" s="291" t="s">
        <v>77</v>
      </c>
      <c r="G58" s="291"/>
      <c r="H58" s="212">
        <f>IF(C58&lt;&gt;"",'CBL Score Standard'!$D116,IF(D58&lt;&gt;"",SUM('CBL Score Standard'!$D116:$E116),IF(E58&lt;&gt;"",SUM('CBL Score Standard'!$D116:$F116),IF(F58&lt;&gt;"",SUM('CBL Score Standard'!$D116:$G116),IF(G58&lt;&gt;"",SUM('CBL Score Standard'!$D116:$H116,0))))))</f>
        <v>5.9728589767100673E-2</v>
      </c>
      <c r="K58" s="107"/>
      <c r="L58" s="107"/>
      <c r="M58" s="284" t="s">
        <v>8</v>
      </c>
      <c r="N58" s="285" t="s">
        <v>148</v>
      </c>
      <c r="O58" s="279" t="s">
        <v>360</v>
      </c>
      <c r="P58" s="286" t="s">
        <v>228</v>
      </c>
      <c r="Q58" s="286" t="s">
        <v>676</v>
      </c>
      <c r="R58" s="286" t="s">
        <v>216</v>
      </c>
      <c r="S58" s="107" t="s">
        <v>274</v>
      </c>
      <c r="T58" s="107"/>
      <c r="U58" s="107"/>
      <c r="V58" s="107"/>
      <c r="W58" s="107"/>
      <c r="X58" s="107"/>
    </row>
    <row r="59" spans="1:24" ht="26.4" x14ac:dyDescent="0.25">
      <c r="A59" s="213" t="s">
        <v>643</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K59" s="107" t="s">
        <v>141</v>
      </c>
      <c r="L59" s="107" t="s">
        <v>142</v>
      </c>
      <c r="M59" s="287" t="s">
        <v>9</v>
      </c>
      <c r="N59" s="288" t="s">
        <v>233</v>
      </c>
      <c r="O59" s="289" t="s">
        <v>241</v>
      </c>
      <c r="P59" s="305"/>
      <c r="Q59" s="26"/>
      <c r="R59" s="26"/>
      <c r="S59" s="107"/>
      <c r="T59" s="107"/>
      <c r="U59" s="107"/>
      <c r="V59" s="107"/>
      <c r="W59" s="107"/>
      <c r="X59" s="107"/>
    </row>
    <row r="60" spans="1:24" ht="13.8" x14ac:dyDescent="0.25">
      <c r="A60" s="150" t="s">
        <v>56</v>
      </c>
      <c r="B60" s="206" t="s">
        <v>383</v>
      </c>
      <c r="C60" s="240"/>
      <c r="D60" s="240"/>
      <c r="E60" s="292" t="s">
        <v>77</v>
      </c>
      <c r="F60" s="292"/>
      <c r="G60" s="292"/>
      <c r="H60" s="212">
        <f>IF(C60&lt;&gt;"",'CBL Score Standard'!$D118,IF(D60&lt;&gt;"",SUM('CBL Score Standard'!$D118:$E118),IF(E60&lt;&gt;"",SUM('CBL Score Standard'!$D118:$F118),IF(F60&lt;&gt;"",SUM('CBL Score Standard'!$D118:$G118),IF(G60&lt;&gt;"",SUM('CBL Score Standard'!$D118:$H118,0))))))</f>
        <v>2.8571428571428571E-2</v>
      </c>
      <c r="K60" s="107"/>
      <c r="L60" s="107"/>
      <c r="M60" s="287" t="s">
        <v>9</v>
      </c>
      <c r="N60" s="288" t="s">
        <v>227</v>
      </c>
      <c r="O60" s="289" t="s">
        <v>242</v>
      </c>
      <c r="P60" s="305"/>
      <c r="Q60" s="26"/>
      <c r="R60" s="26"/>
      <c r="S60" s="107"/>
      <c r="T60" s="107"/>
      <c r="U60" s="107"/>
      <c r="V60" s="107"/>
      <c r="W60" s="107"/>
      <c r="X60" s="107"/>
    </row>
    <row r="61" spans="1:24" ht="26.4" x14ac:dyDescent="0.25">
      <c r="A61" s="213" t="s">
        <v>56</v>
      </c>
      <c r="B61" s="206" t="s">
        <v>385</v>
      </c>
      <c r="C61" s="240"/>
      <c r="D61" s="240"/>
      <c r="E61" s="240"/>
      <c r="F61" s="292" t="s">
        <v>77</v>
      </c>
      <c r="G61" s="292"/>
      <c r="H61" s="212">
        <f>IF(C61&lt;&gt;"",'CBL Score Standard'!$D119,IF(D61&lt;&gt;"",SUM('CBL Score Standard'!$D119:$E119),IF(E61&lt;&gt;"",SUM('CBL Score Standard'!$D119:$F119),IF(F61&lt;&gt;"",SUM('CBL Score Standard'!$D119:$G119),IF(G61&lt;&gt;"",SUM('CBL Score Standard'!$D119:$H119,0))))))</f>
        <v>3.5338345864661655E-2</v>
      </c>
      <c r="K61" s="107"/>
      <c r="L61" s="107"/>
      <c r="M61" s="287" t="s">
        <v>9</v>
      </c>
      <c r="N61" s="288" t="s">
        <v>3</v>
      </c>
      <c r="O61" s="289" t="s">
        <v>474</v>
      </c>
      <c r="P61" s="305"/>
      <c r="Q61" s="26"/>
      <c r="R61" s="26"/>
      <c r="S61" s="107"/>
      <c r="T61" s="107"/>
      <c r="U61" s="107"/>
      <c r="V61" s="107"/>
      <c r="W61" s="107"/>
      <c r="X61" s="107"/>
    </row>
    <row r="62" spans="1:24" ht="26.4" x14ac:dyDescent="0.25">
      <c r="A62" s="213" t="s">
        <v>56</v>
      </c>
      <c r="B62" s="206" t="s">
        <v>235</v>
      </c>
      <c r="C62" s="240"/>
      <c r="D62" s="240"/>
      <c r="E62" s="240"/>
      <c r="F62" s="292"/>
      <c r="G62" s="292"/>
      <c r="H62" s="212" t="b">
        <f>IF(C62&lt;&gt;"",'CBL Score Standard'!$D120,IF(D62&lt;&gt;"",SUM('CBL Score Standard'!$D120:$E120),IF(E62&lt;&gt;"",SUM('CBL Score Standard'!$D120:$F120),IF(F62&lt;&gt;"",SUM('CBL Score Standard'!$D120:$G120),IF(G62&lt;&gt;"",SUM('CBL Score Standard'!$D120:$H120,0))))))</f>
        <v>0</v>
      </c>
      <c r="K62" s="107"/>
      <c r="L62" s="107"/>
      <c r="M62" s="287" t="s">
        <v>9</v>
      </c>
      <c r="N62" s="288" t="s">
        <v>3</v>
      </c>
      <c r="O62" s="289" t="s">
        <v>243</v>
      </c>
      <c r="P62" s="305"/>
      <c r="Q62" s="26"/>
      <c r="R62" s="26"/>
      <c r="S62" s="107"/>
      <c r="T62" s="107"/>
      <c r="U62" s="107"/>
      <c r="V62" s="107"/>
      <c r="W62" s="107"/>
      <c r="X62" s="107"/>
    </row>
    <row r="63" spans="1:24" ht="12.75" customHeight="1" x14ac:dyDescent="0.3">
      <c r="A63" s="213" t="s">
        <v>59</v>
      </c>
      <c r="B63" s="206" t="s">
        <v>237</v>
      </c>
      <c r="C63" s="240"/>
      <c r="D63" s="240"/>
      <c r="E63" s="240"/>
      <c r="F63" s="292"/>
      <c r="G63" s="292"/>
      <c r="H63" s="212" t="b">
        <f>IF(C63&lt;&gt;"",'CBL Score Standard'!$D121,IF(D63&lt;&gt;"",SUM('CBL Score Standard'!$D121:$E121),IF(E63&lt;&gt;"",SUM('CBL Score Standard'!$D121:$F121),IF(F63&lt;&gt;"",SUM('CBL Score Standard'!$D121:$G121),IF(G63&lt;&gt;"",SUM('CBL Score Standard'!$D121:$H121,0))))))</f>
        <v>0</v>
      </c>
      <c r="K63" s="205"/>
      <c r="L63" s="205"/>
      <c r="M63" s="205"/>
      <c r="N63" s="306"/>
      <c r="O63" s="205"/>
      <c r="P63" s="205"/>
      <c r="Q63" s="205"/>
      <c r="R63" s="205"/>
    </row>
    <row r="64" spans="1:24" x14ac:dyDescent="0.3">
      <c r="A64" s="213" t="s">
        <v>56</v>
      </c>
      <c r="B64" s="206" t="s">
        <v>67</v>
      </c>
      <c r="C64" s="240"/>
      <c r="D64" s="240"/>
      <c r="E64" s="292"/>
      <c r="F64" s="292" t="s">
        <v>77</v>
      </c>
      <c r="G64" s="292"/>
      <c r="H64" s="212">
        <f>IF(C64&lt;&gt;"",'CBL Score Standard'!$D122,IF(D64&lt;&gt;"",SUM('CBL Score Standard'!$D122:$E122),IF(E64&lt;&gt;"",SUM('CBL Score Standard'!$D122:$F122),IF(F64&lt;&gt;"",SUM('CBL Score Standard'!$D122:$G122),IF(G64&lt;&gt;"",SUM('CBL Score Standard'!$D122:$H122,0))))))</f>
        <v>4.9624060150375938E-2</v>
      </c>
      <c r="K64" s="205"/>
      <c r="L64" s="205"/>
      <c r="M64" s="205"/>
      <c r="N64" s="306"/>
      <c r="O64" s="205"/>
      <c r="P64" s="205"/>
      <c r="Q64" s="205"/>
      <c r="R64" s="205"/>
    </row>
    <row r="65" spans="1:18" ht="15" thickBot="1" x14ac:dyDescent="0.35">
      <c r="A65" s="214" t="s">
        <v>55</v>
      </c>
      <c r="B65" s="206" t="s">
        <v>1</v>
      </c>
      <c r="C65" s="240"/>
      <c r="D65" s="240"/>
      <c r="E65" s="292"/>
      <c r="F65" s="292" t="s">
        <v>77</v>
      </c>
      <c r="G65" s="292"/>
      <c r="H65" s="212">
        <f>IF(C65&lt;&gt;"",'CBL Score Standard'!$D123,IF(D65&lt;&gt;"",SUM('CBL Score Standard'!$D123:$E123),IF(E65&lt;&gt;"",SUM('CBL Score Standard'!$D123:$F123),IF(F65&lt;&gt;"",SUM('CBL Score Standard'!$D123:$G123),IF(G65&lt;&gt;"",SUM('CBL Score Standard'!$D123:$H123,0))))))</f>
        <v>4.9624060150375938E-2</v>
      </c>
      <c r="K65" s="205"/>
      <c r="L65" s="205"/>
      <c r="M65" s="205"/>
      <c r="N65" s="306"/>
      <c r="O65" s="205"/>
      <c r="P65" s="205"/>
      <c r="Q65" s="205"/>
      <c r="R65" s="205"/>
    </row>
    <row r="66" spans="1:18" ht="15" thickBot="1" x14ac:dyDescent="0.35">
      <c r="A66" s="362" t="s">
        <v>79</v>
      </c>
      <c r="B66" s="363"/>
      <c r="C66" s="364"/>
      <c r="D66" s="364"/>
      <c r="E66" s="364"/>
      <c r="F66" s="364"/>
      <c r="G66" s="364"/>
      <c r="H66" s="183">
        <f>SUM(H8:H63)</f>
        <v>3.2656305397640448</v>
      </c>
      <c r="K66" s="205"/>
      <c r="L66" s="205"/>
      <c r="M66" s="205"/>
      <c r="N66" s="306"/>
      <c r="O66" s="205"/>
      <c r="P66" s="205"/>
      <c r="Q66" s="205"/>
      <c r="R66" s="205"/>
    </row>
    <row r="67" spans="1:18" ht="15" thickBot="1" x14ac:dyDescent="0.35">
      <c r="A67" s="215" t="s">
        <v>83</v>
      </c>
      <c r="B67" s="216"/>
      <c r="C67" s="225">
        <v>0.72727272727272729</v>
      </c>
      <c r="D67" s="225">
        <v>0.35</v>
      </c>
      <c r="E67" s="225">
        <v>0</v>
      </c>
      <c r="F67" s="225">
        <v>0</v>
      </c>
      <c r="G67" s="225">
        <v>0</v>
      </c>
      <c r="H67" s="217">
        <v>0</v>
      </c>
    </row>
    <row r="68" spans="1:18" ht="15" thickBot="1" x14ac:dyDescent="0.35">
      <c r="A68" s="365" t="s">
        <v>81</v>
      </c>
      <c r="B68" s="366"/>
      <c r="C68" s="367"/>
      <c r="D68" s="367"/>
      <c r="E68" s="367"/>
      <c r="F68" s="367"/>
      <c r="G68" s="368"/>
      <c r="H68" s="218">
        <v>0</v>
      </c>
    </row>
    <row r="69" spans="1:18" x14ac:dyDescent="0.3">
      <c r="C69" s="101"/>
      <c r="D69" s="101"/>
      <c r="E69" s="101"/>
      <c r="F69" s="101"/>
      <c r="G69" s="101"/>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sheetData>
  <autoFilter ref="A3:J70"/>
  <customSheetViews>
    <customSheetView guid="{6D9FC8F7-6352-4BF1-890A-27BF36FADC03}" showGridLines="0" fitToPage="1" showAutoFilter="1" topLeftCell="A13">
      <selection activeCell="A7" sqref="A7:H68"/>
      <pageMargins left="0.25" right="0" top="0.25" bottom="0.25" header="0.3" footer="0"/>
      <pageSetup scale="33" fitToHeight="0" orientation="landscape" r:id="rId1"/>
      <autoFilter ref="A3:J70"/>
    </customSheetView>
    <customSheetView guid="{040B64FF-F135-4C7F-9498-A8399C10673D}" showGridLines="0" fitToPage="1" showAutoFilter="1" topLeftCell="A13">
      <selection activeCell="A7" sqref="A7:H68"/>
      <pageMargins left="0.25" right="0" top="0.25" bottom="0.25" header="0.3" footer="0"/>
      <pageSetup scale="33" fitToHeight="0" orientation="landscape" r:id="rId2"/>
      <autoFilter ref="A3:J70"/>
    </customSheetView>
    <customSheetView guid="{3F51B73C-8999-4BDD-B7BB-CFA8C5D5F118}" showGridLines="0" fitToPage="1" showAutoFilter="1" hiddenColumns="1" topLeftCell="C1">
      <selection activeCell="K1" sqref="K1:AN1048576"/>
      <pageMargins left="0.25" right="0" top="0.25" bottom="0.25" header="0.3" footer="0"/>
      <pageSetup scale="33" fitToHeight="0" orientation="landscape" r:id="rId3"/>
      <autoFilter ref="A3:AA70"/>
    </customSheetView>
    <customSheetView guid="{61959E49-C4BC-41CB-B0BE-7EDA73DE356A}" showGridLines="0" fitToPage="1" showAutoFilter="1" hiddenColumns="1" topLeftCell="C1">
      <selection activeCell="P36" sqref="P36"/>
      <pageMargins left="0.25" right="0" top="0.25" bottom="0.25" header="0.3" footer="0"/>
      <pageSetup scale="33" fitToHeight="0" orientation="landscape" r:id="rId4"/>
      <autoFilter ref="A3:AB70"/>
    </customSheetView>
    <customSheetView guid="{9F775BAE-2403-40FE-95E3-B0411D9A7170}" showGridLines="0" fitToPage="1" showAutoFilter="1" hiddenColumns="1" topLeftCell="A13">
      <selection activeCell="V37" sqref="V37"/>
      <pageMargins left="0.25" right="0" top="0.25" bottom="0.25" header="0.3" footer="0"/>
      <pageSetup scale="33" fitToHeight="0" orientation="landscape" r:id="rId5"/>
      <autoFilter ref="A3:AB70"/>
    </customSheetView>
    <customSheetView guid="{B9E7682A-072E-4CF9-AE10-B3ED27CB27F8}" showGridLines="0" fitToPage="1" showAutoFilter="1" hiddenColumns="1" topLeftCell="I27">
      <selection activeCell="U54" sqref="U54:V54"/>
      <pageMargins left="0.25" right="0" top="0.25" bottom="0.25" header="0.3" footer="0"/>
      <pageSetup scale="33" fitToHeight="0" orientation="landscape" r:id="rId6"/>
      <autoFilter ref="A3:AB70"/>
    </customSheetView>
    <customSheetView guid="{3BEDB203-29A8-4A82-B140-5CE8D0753F8B}" showGridLines="0" fitToPage="1" showAutoFilter="1" topLeftCell="A13">
      <selection activeCell="A7" sqref="A7:H68"/>
      <pageMargins left="0.25" right="0" top="0.25" bottom="0.25" header="0.3" footer="0"/>
      <pageSetup scale="33" fitToHeight="0" orientation="landscape" r:id="rId7"/>
      <autoFilter ref="A3:J70"/>
    </customSheetView>
  </customSheetViews>
  <mergeCells count="6">
    <mergeCell ref="A68:G68"/>
    <mergeCell ref="M2:M3"/>
    <mergeCell ref="N2:N3"/>
    <mergeCell ref="S2:S3"/>
    <mergeCell ref="A1:H1"/>
    <mergeCell ref="A66:G66"/>
  </mergeCells>
  <conditionalFormatting sqref="O4:O9 O12:O18">
    <cfRule type="duplicateValues" dxfId="390" priority="17"/>
  </conditionalFormatting>
  <conditionalFormatting sqref="O10">
    <cfRule type="duplicateValues" dxfId="389" priority="16"/>
  </conditionalFormatting>
  <conditionalFormatting sqref="O11">
    <cfRule type="duplicateValues" dxfId="388" priority="15"/>
  </conditionalFormatting>
  <conditionalFormatting sqref="O19:O32">
    <cfRule type="duplicateValues" dxfId="387" priority="14"/>
  </conditionalFormatting>
  <conditionalFormatting sqref="O34:O50">
    <cfRule type="duplicateValues" dxfId="386" priority="13"/>
  </conditionalFormatting>
  <conditionalFormatting sqref="O33">
    <cfRule type="duplicateValues" dxfId="385" priority="12"/>
  </conditionalFormatting>
  <conditionalFormatting sqref="O51:O58">
    <cfRule type="duplicateValues" dxfId="384" priority="11"/>
  </conditionalFormatting>
  <conditionalFormatting sqref="O59:O62">
    <cfRule type="duplicateValues" dxfId="383" priority="10"/>
  </conditionalFormatting>
  <conditionalFormatting sqref="C7:D7 F7:H7">
    <cfRule type="containsText" dxfId="382" priority="7" operator="containsText" text="N/A">
      <formula>NOT(ISERROR(SEARCH("N/A",C7)))</formula>
    </cfRule>
    <cfRule type="containsText" dxfId="381" priority="8" operator="containsText" text="Blank">
      <formula>NOT(ISERROR(SEARCH("Blank",C7)))</formula>
    </cfRule>
    <cfRule type="containsText" dxfId="380" priority="9" operator="containsText" text="M">
      <formula>NOT(ISERROR(SEARCH("M",C7)))</formula>
    </cfRule>
  </conditionalFormatting>
  <conditionalFormatting sqref="B7 B66:B68">
    <cfRule type="duplicateValues" dxfId="379" priority="6"/>
  </conditionalFormatting>
  <conditionalFormatting sqref="B29">
    <cfRule type="duplicateValues" dxfId="378" priority="4"/>
  </conditionalFormatting>
  <conditionalFormatting sqref="B30">
    <cfRule type="duplicateValues" dxfId="377" priority="3"/>
  </conditionalFormatting>
  <conditionalFormatting sqref="B55">
    <cfRule type="duplicateValues" dxfId="376" priority="2"/>
  </conditionalFormatting>
  <conditionalFormatting sqref="B56:B65 B31:B54 B8:B12 B14:B28">
    <cfRule type="duplicateValues" dxfId="375" priority="5"/>
  </conditionalFormatting>
  <conditionalFormatting sqref="B13">
    <cfRule type="duplicateValues" dxfId="374" priority="1"/>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20:X62 T67:X1048576">
      <formula1>"M, O, N/A"</formula1>
    </dataValidation>
  </dataValidations>
  <pageMargins left="0.25" right="0" top="0.25" bottom="0.25" header="0.3" footer="0"/>
  <pageSetup scale="33" fitToHeight="0" orientation="landscape" r:id="rId8"/>
  <drawing r:id="rId9"/>
  <legacyDrawing r:id="rId10"/>
  <controls>
    <mc:AlternateContent xmlns:mc="http://schemas.openxmlformats.org/markup-compatibility/2006">
      <mc:Choice Requires="x14">
        <control shapeId="20494" r:id="rId11" name="CommandButton1">
          <controlPr defaultSize="0" autoLine="0" r:id="rId12">
            <anchor moveWithCells="1">
              <from>
                <xdr:col>8</xdr:col>
                <xdr:colOff>114300</xdr:colOff>
                <xdr:row>23</xdr:row>
                <xdr:rowOff>0</xdr:rowOff>
              </from>
              <to>
                <xdr:col>9</xdr:col>
                <xdr:colOff>403860</xdr:colOff>
                <xdr:row>25</xdr:row>
                <xdr:rowOff>7620</xdr:rowOff>
              </to>
            </anchor>
          </controlPr>
        </control>
      </mc:Choice>
      <mc:Fallback>
        <control shapeId="20494" r:id="rId11" name="CommandButton1"/>
      </mc:Fallback>
    </mc:AlternateContent>
    <mc:AlternateContent xmlns:mc="http://schemas.openxmlformats.org/markup-compatibility/2006">
      <mc:Choice Requires="x14">
        <control shapeId="20495" r:id="rId13" name="CommandButton2">
          <controlPr defaultSize="0" autoLine="0" r:id="rId14">
            <anchor moveWithCells="1">
              <from>
                <xdr:col>8</xdr:col>
                <xdr:colOff>99060</xdr:colOff>
                <xdr:row>31</xdr:row>
                <xdr:rowOff>38100</xdr:rowOff>
              </from>
              <to>
                <xdr:col>9</xdr:col>
                <xdr:colOff>419100</xdr:colOff>
                <xdr:row>33</xdr:row>
                <xdr:rowOff>129540</xdr:rowOff>
              </to>
            </anchor>
          </controlPr>
        </control>
      </mc:Choice>
      <mc:Fallback>
        <control shapeId="20495" r:id="rId13"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rgb="FF00B050"/>
    <pageSetUpPr fitToPage="1"/>
  </sheetPr>
  <dimension ref="A1:X197"/>
  <sheetViews>
    <sheetView showGridLines="0" topLeftCell="J46" zoomScale="70" zoomScaleNormal="70" workbookViewId="0">
      <selection activeCell="T4" sqref="T4:X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70" t="s">
        <v>357</v>
      </c>
      <c r="B2" s="58" t="s">
        <v>630</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43850</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1.0465753424657533</v>
      </c>
      <c r="C4" s="3"/>
      <c r="D4" s="3"/>
      <c r="E4" s="3"/>
      <c r="F4" s="3"/>
      <c r="G4" s="3"/>
      <c r="H4" s="3"/>
      <c r="K4" s="107" t="s">
        <v>141</v>
      </c>
      <c r="L4" s="107" t="s">
        <v>142</v>
      </c>
      <c r="M4" s="254" t="s">
        <v>5</v>
      </c>
      <c r="N4" s="255" t="s">
        <v>143</v>
      </c>
      <c r="O4" s="256" t="s">
        <v>362</v>
      </c>
      <c r="P4" s="258"/>
      <c r="Q4" s="261" t="s">
        <v>145</v>
      </c>
      <c r="R4" s="261" t="s">
        <v>211</v>
      </c>
      <c r="S4" s="237" t="s">
        <v>630</v>
      </c>
      <c r="T4" s="107" t="s">
        <v>72</v>
      </c>
      <c r="U4" s="307"/>
      <c r="V4" s="107" t="s">
        <v>364</v>
      </c>
      <c r="W4" s="107"/>
      <c r="X4" s="107"/>
    </row>
    <row r="5" spans="1:24" ht="12.75" customHeight="1" x14ac:dyDescent="0.3">
      <c r="A5" s="70" t="s">
        <v>377</v>
      </c>
      <c r="B5" s="95">
        <v>1</v>
      </c>
      <c r="C5" s="97"/>
      <c r="D5" s="3"/>
      <c r="E5" s="3"/>
      <c r="F5" s="3"/>
      <c r="G5" s="3"/>
      <c r="H5" s="3"/>
      <c r="K5" s="107"/>
      <c r="L5" s="107"/>
      <c r="M5" s="254" t="s">
        <v>5</v>
      </c>
      <c r="N5" s="255" t="s">
        <v>143</v>
      </c>
      <c r="O5" s="256" t="s">
        <v>363</v>
      </c>
      <c r="P5" s="259" t="s">
        <v>144</v>
      </c>
      <c r="Q5" s="259" t="s">
        <v>149</v>
      </c>
      <c r="R5" s="259" t="s">
        <v>150</v>
      </c>
      <c r="S5" s="237" t="s">
        <v>630</v>
      </c>
      <c r="T5" s="107" t="s">
        <v>72</v>
      </c>
      <c r="U5" s="308"/>
      <c r="V5" s="107" t="s">
        <v>364</v>
      </c>
      <c r="W5" s="107" t="s">
        <v>367</v>
      </c>
      <c r="X5" s="107"/>
    </row>
    <row r="6" spans="1:24" thickBot="1" x14ac:dyDescent="0.35">
      <c r="A6" s="70" t="s">
        <v>378</v>
      </c>
      <c r="B6" s="95">
        <f ca="1">B4+B5</f>
        <v>2.0465753424657533</v>
      </c>
      <c r="C6" s="97"/>
      <c r="K6" s="107"/>
      <c r="L6" s="107"/>
      <c r="M6" s="254" t="s">
        <v>5</v>
      </c>
      <c r="N6" s="255" t="s">
        <v>148</v>
      </c>
      <c r="O6" s="256" t="s">
        <v>148</v>
      </c>
      <c r="P6" s="259" t="s">
        <v>144</v>
      </c>
      <c r="Q6" s="259" t="s">
        <v>149</v>
      </c>
      <c r="R6" s="259" t="s">
        <v>150</v>
      </c>
      <c r="S6" s="237" t="s">
        <v>630</v>
      </c>
      <c r="T6" s="107" t="s">
        <v>72</v>
      </c>
      <c r="U6" s="308"/>
      <c r="V6" s="107" t="s">
        <v>364</v>
      </c>
      <c r="W6" s="107" t="s">
        <v>367</v>
      </c>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630</v>
      </c>
      <c r="T7" s="107" t="s">
        <v>72</v>
      </c>
      <c r="U7" s="308"/>
      <c r="V7" s="107" t="s">
        <v>364</v>
      </c>
      <c r="W7" s="237" t="s">
        <v>367</v>
      </c>
      <c r="X7" s="107"/>
    </row>
    <row r="8" spans="1:24" ht="13.8" x14ac:dyDescent="0.3">
      <c r="A8" s="210" t="s">
        <v>56</v>
      </c>
      <c r="B8" s="211" t="s">
        <v>180</v>
      </c>
      <c r="C8" s="240"/>
      <c r="D8" s="292"/>
      <c r="E8" s="292"/>
      <c r="F8" s="292"/>
      <c r="G8" s="292"/>
      <c r="H8" s="212" t="b">
        <f>IF(C8&lt;&gt;"",'CBL Score Standard'!$D66,IF(D8&lt;&gt;"",SUM('CBL Score Standard'!$D66:$E66),IF(E8&lt;&gt;"",SUM('CBL Score Standard'!$D66:$F66),IF(F8&lt;&gt;"",SUM('CBL Score Standard'!$D66:$G66),IF(G8&lt;&gt;"",SUM('CBL Score Standard'!$D66:$H66,0))))))</f>
        <v>0</v>
      </c>
      <c r="I8" s="3">
        <f t="shared" ref="I8:I39" si="0">VLOOKUP(B8,$O$4:$W$64,8,0)</f>
        <v>0</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t="str">
        <f t="shared" si="0"/>
        <v>Passed</v>
      </c>
      <c r="J9" s="182">
        <f t="shared" si="1"/>
        <v>0</v>
      </c>
      <c r="K9" s="107"/>
      <c r="L9" s="107"/>
      <c r="M9" s="254" t="s">
        <v>5</v>
      </c>
      <c r="N9" s="255" t="s">
        <v>678</v>
      </c>
      <c r="O9" s="257" t="s">
        <v>592</v>
      </c>
      <c r="P9" s="259" t="s">
        <v>144</v>
      </c>
      <c r="Q9" s="259" t="s">
        <v>153</v>
      </c>
      <c r="R9" s="259" t="s">
        <v>263</v>
      </c>
      <c r="S9" s="237"/>
      <c r="T9" s="107" t="s">
        <v>72</v>
      </c>
      <c r="U9" s="308"/>
      <c r="V9" s="107" t="s">
        <v>364</v>
      </c>
      <c r="W9" s="107" t="s">
        <v>367</v>
      </c>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t="s">
        <v>73</v>
      </c>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630</v>
      </c>
      <c r="T13" s="107"/>
      <c r="U13" s="308"/>
      <c r="V13" s="107"/>
      <c r="W13" s="107"/>
      <c r="X13" s="107"/>
    </row>
    <row r="14" spans="1:24" ht="13.8" x14ac:dyDescent="0.3">
      <c r="A14" s="213" t="s">
        <v>55</v>
      </c>
      <c r="B14" s="206" t="s">
        <v>617</v>
      </c>
      <c r="C14" s="240"/>
      <c r="D14" s="240"/>
      <c r="E14" s="240"/>
      <c r="F14" s="292"/>
      <c r="G14" s="292"/>
      <c r="H14" s="212" t="b">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630</v>
      </c>
      <c r="T15" s="107"/>
      <c r="U15" s="308"/>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630</v>
      </c>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t="s">
        <v>630</v>
      </c>
      <c r="T18" s="107" t="s">
        <v>72</v>
      </c>
      <c r="U18" s="308">
        <v>44075</v>
      </c>
      <c r="V18" s="107" t="s">
        <v>364</v>
      </c>
      <c r="W18" s="107"/>
      <c r="X18" s="107"/>
    </row>
    <row r="19" spans="1:24" ht="12.75" customHeight="1" x14ac:dyDescent="0.3">
      <c r="A19" s="213" t="s">
        <v>55</v>
      </c>
      <c r="B19" s="206" t="s">
        <v>196</v>
      </c>
      <c r="C19" s="240"/>
      <c r="D19" s="240" t="s">
        <v>77</v>
      </c>
      <c r="E19" s="240"/>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t="s">
        <v>630</v>
      </c>
      <c r="T19" s="133" t="s">
        <v>72</v>
      </c>
      <c r="U19" s="309">
        <v>44083</v>
      </c>
      <c r="V19" s="296" t="s">
        <v>364</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t="s">
        <v>630</v>
      </c>
      <c r="T20" s="107" t="s">
        <v>72</v>
      </c>
      <c r="U20" s="308"/>
      <c r="V20" s="107"/>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t="s">
        <v>72</v>
      </c>
      <c r="U21" s="308"/>
      <c r="V21" s="107"/>
      <c r="W21" s="107"/>
      <c r="X21" s="107"/>
    </row>
    <row r="22" spans="1:24" x14ac:dyDescent="0.3">
      <c r="A22" s="213" t="s">
        <v>55</v>
      </c>
      <c r="B22" s="206" t="s">
        <v>595</v>
      </c>
      <c r="C22" s="240"/>
      <c r="D22" s="240"/>
      <c r="E22" s="292"/>
      <c r="F22" s="292"/>
      <c r="G22" s="292"/>
      <c r="H22" s="212" t="b">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678</v>
      </c>
      <c r="O22" s="270" t="s">
        <v>186</v>
      </c>
      <c r="P22" s="274">
        <v>44392</v>
      </c>
      <c r="Q22" s="269" t="s">
        <v>153</v>
      </c>
      <c r="R22" s="269" t="s">
        <v>263</v>
      </c>
      <c r="S22" s="237" t="s">
        <v>630</v>
      </c>
      <c r="T22" s="107" t="s">
        <v>72</v>
      </c>
      <c r="U22" s="308">
        <v>44097</v>
      </c>
      <c r="V22" s="107" t="s">
        <v>364</v>
      </c>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t="str">
        <f t="shared" si="0"/>
        <v>Passed</v>
      </c>
      <c r="J23" s="182">
        <f t="shared" si="1"/>
        <v>0</v>
      </c>
      <c r="K23" s="107"/>
      <c r="L23" s="107"/>
      <c r="M23" s="266" t="s">
        <v>6</v>
      </c>
      <c r="N23" s="267" t="s">
        <v>678</v>
      </c>
      <c r="O23" s="252" t="s">
        <v>652</v>
      </c>
      <c r="P23" s="273">
        <v>44378</v>
      </c>
      <c r="Q23" s="269" t="s">
        <v>590</v>
      </c>
      <c r="R23" s="269" t="s">
        <v>274</v>
      </c>
      <c r="S23" s="237" t="s">
        <v>630</v>
      </c>
      <c r="T23" s="107" t="s">
        <v>73</v>
      </c>
      <c r="U23" s="308">
        <v>44092</v>
      </c>
      <c r="V23" s="107" t="s">
        <v>364</v>
      </c>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t="s">
        <v>630</v>
      </c>
      <c r="T24" s="107" t="s">
        <v>73</v>
      </c>
      <c r="U24" s="308">
        <v>44088</v>
      </c>
      <c r="V24" s="107" t="s">
        <v>364</v>
      </c>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t="s">
        <v>630</v>
      </c>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t="s">
        <v>630</v>
      </c>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c r="X28" s="107"/>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196</v>
      </c>
      <c r="P29" s="272"/>
      <c r="Q29" s="269" t="s">
        <v>197</v>
      </c>
      <c r="R29" s="269" t="s">
        <v>256</v>
      </c>
      <c r="S29" s="237" t="s">
        <v>630</v>
      </c>
      <c r="T29" s="107" t="s">
        <v>72</v>
      </c>
      <c r="U29" s="308">
        <v>44085</v>
      </c>
      <c r="V29" s="107" t="s">
        <v>364</v>
      </c>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t="str">
        <f t="shared" si="0"/>
        <v>Passed</v>
      </c>
      <c r="J30" s="182">
        <f t="shared" si="1"/>
        <v>0</v>
      </c>
      <c r="K30" s="107"/>
      <c r="L30" s="107"/>
      <c r="M30" s="266" t="s">
        <v>6</v>
      </c>
      <c r="N30" s="267" t="s">
        <v>55</v>
      </c>
      <c r="O30" s="270" t="s">
        <v>200</v>
      </c>
      <c r="P30" s="272"/>
      <c r="Q30" s="269" t="s">
        <v>374</v>
      </c>
      <c r="R30" s="269" t="s">
        <v>375</v>
      </c>
      <c r="S30" s="107" t="s">
        <v>630</v>
      </c>
      <c r="T30" s="107"/>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t="str">
        <f t="shared" si="1"/>
        <v>Y</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t="s">
        <v>630</v>
      </c>
      <c r="T32" s="107" t="s">
        <v>72</v>
      </c>
      <c r="U32" s="308">
        <v>44048</v>
      </c>
      <c r="V32" s="107" t="s">
        <v>364</v>
      </c>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t="s">
        <v>73</v>
      </c>
      <c r="U33" s="308"/>
      <c r="V33" s="107"/>
      <c r="W33" s="107"/>
      <c r="X33" s="107"/>
    </row>
    <row r="34" spans="1:24" ht="26.4" x14ac:dyDescent="0.3">
      <c r="A34" s="213" t="s">
        <v>31</v>
      </c>
      <c r="B34" s="206" t="s">
        <v>591</v>
      </c>
      <c r="C34" s="292"/>
      <c r="D34" s="292"/>
      <c r="E34" s="292"/>
      <c r="F34" s="292"/>
      <c r="G34" s="292"/>
      <c r="H34" s="212" t="b">
        <f>IF(C34&lt;&gt;"",'CBL Score Standard'!$D92,IF(D34&lt;&gt;"",SUM('CBL Score Standard'!$D92:$E92),IF(E34&lt;&gt;"",SUM('CBL Score Standard'!$D92:$F92),IF(F34&lt;&gt;"",SUM('CBL Score Standard'!$D92:$G92),IF(G34&lt;&gt;"",SUM('CBL Score Standard'!$D92:$H92,0))))))</f>
        <v>0</v>
      </c>
      <c r="I34" s="182" t="e">
        <f t="shared" si="0"/>
        <v>#N/A</v>
      </c>
      <c r="J34" s="182" t="e">
        <f t="shared" si="1"/>
        <v>#N/A</v>
      </c>
      <c r="K34" s="107"/>
      <c r="L34" s="107"/>
      <c r="M34" s="266" t="s">
        <v>6</v>
      </c>
      <c r="N34" s="267" t="s">
        <v>54</v>
      </c>
      <c r="O34" s="270" t="s">
        <v>335</v>
      </c>
      <c r="P34" s="272"/>
      <c r="Q34" s="269" t="s">
        <v>207</v>
      </c>
      <c r="R34" s="269" t="s">
        <v>319</v>
      </c>
      <c r="S34" s="107" t="s">
        <v>630</v>
      </c>
      <c r="T34" s="107"/>
      <c r="U34" s="308"/>
      <c r="V34" s="107"/>
      <c r="W34" s="107"/>
      <c r="X34" s="107"/>
    </row>
    <row r="35" spans="1:24" ht="13.8" x14ac:dyDescent="0.3">
      <c r="A35" s="213" t="s">
        <v>31</v>
      </c>
      <c r="B35" s="206" t="s">
        <v>173</v>
      </c>
      <c r="C35" s="292"/>
      <c r="D35" s="292"/>
      <c r="E35" s="292"/>
      <c r="F35" s="292"/>
      <c r="G35" s="292"/>
      <c r="H35" s="212" t="b">
        <f>IF(C35&lt;&gt;"",'CBL Score Standard'!$D93,IF(D35&lt;&gt;"",SUM('CBL Score Standard'!$D93:$E93),IF(E35&lt;&gt;"",SUM('CBL Score Standard'!$D93:$F93),IF(F35&lt;&gt;"",SUM('CBL Score Standard'!$D93:$G93),IF(G35&lt;&gt;"",SUM('CBL Score Standard'!$D93:$H93,0))))))</f>
        <v>0</v>
      </c>
      <c r="I35" s="182">
        <f t="shared" si="0"/>
        <v>0</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t="str">
        <f t="shared" si="0"/>
        <v>Passed</v>
      </c>
      <c r="J36" s="182">
        <f t="shared" si="1"/>
        <v>0</v>
      </c>
      <c r="K36" s="107"/>
      <c r="L36" s="107"/>
      <c r="M36" s="275" t="s">
        <v>7</v>
      </c>
      <c r="N36" s="276" t="s">
        <v>56</v>
      </c>
      <c r="O36" s="277" t="s">
        <v>213</v>
      </c>
      <c r="P36" s="280"/>
      <c r="Q36" s="280" t="s">
        <v>162</v>
      </c>
      <c r="R36" s="280" t="s">
        <v>317</v>
      </c>
      <c r="S36" s="237"/>
      <c r="T36" s="107" t="s">
        <v>72</v>
      </c>
      <c r="U36" s="308"/>
      <c r="V36" s="107"/>
      <c r="W36" s="107"/>
      <c r="X36" s="107"/>
    </row>
    <row r="37" spans="1:24" ht="13.8" x14ac:dyDescent="0.3">
      <c r="A37" s="213" t="s">
        <v>2</v>
      </c>
      <c r="B37" s="206" t="s">
        <v>232</v>
      </c>
      <c r="C37" s="240"/>
      <c r="D37" s="240" t="s">
        <v>77</v>
      </c>
      <c r="E37" s="240"/>
      <c r="F37" s="292"/>
      <c r="G37" s="292"/>
      <c r="H37" s="212">
        <f>IF(C37&lt;&gt;"",'CBL Score Standard'!$D95,IF(D37&lt;&gt;"",SUM('CBL Score Standard'!$D95:$E95),IF(E37&lt;&gt;"",SUM('CBL Score Standard'!$D95:$F95),IF(F37&lt;&gt;"",SUM('CBL Score Standard'!$D95:$G95),IF(G37&lt;&gt;"",SUM('CBL Score Standard'!$D95:$H95,0))))))</f>
        <v>0</v>
      </c>
      <c r="I37" s="182" t="str">
        <f t="shared" si="0"/>
        <v>Passed</v>
      </c>
      <c r="J37" s="182">
        <f t="shared" si="1"/>
        <v>0</v>
      </c>
      <c r="K37" s="107"/>
      <c r="L37" s="107"/>
      <c r="M37" s="275" t="s">
        <v>7</v>
      </c>
      <c r="N37" s="276" t="s">
        <v>55</v>
      </c>
      <c r="O37" s="277" t="s">
        <v>595</v>
      </c>
      <c r="P37" s="283"/>
      <c r="Q37" s="281" t="s">
        <v>387</v>
      </c>
      <c r="R37" s="282" t="s">
        <v>386</v>
      </c>
      <c r="S37" s="237"/>
      <c r="T37" s="107"/>
      <c r="U37" s="308"/>
      <c r="V37" s="107"/>
      <c r="W37" s="237"/>
      <c r="X37" s="107"/>
    </row>
    <row r="38" spans="1:24" ht="27.6" x14ac:dyDescent="0.3">
      <c r="A38" s="213" t="s">
        <v>54</v>
      </c>
      <c r="B38" s="206"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410</v>
      </c>
      <c r="P38" s="280"/>
      <c r="Q38" s="282" t="s">
        <v>661</v>
      </c>
      <c r="R38" s="280" t="s">
        <v>662</v>
      </c>
      <c r="S38" s="237" t="s">
        <v>630</v>
      </c>
      <c r="T38" s="107" t="s">
        <v>72</v>
      </c>
      <c r="U38" s="308">
        <v>44111</v>
      </c>
      <c r="V38" s="107" t="s">
        <v>364</v>
      </c>
      <c r="W38" s="107"/>
      <c r="X38" s="107"/>
    </row>
    <row r="39" spans="1:24" ht="41.4" x14ac:dyDescent="0.3">
      <c r="A39" s="213" t="s">
        <v>54</v>
      </c>
      <c r="B39" s="206" t="s">
        <v>335</v>
      </c>
      <c r="C39" s="240"/>
      <c r="D39" s="292"/>
      <c r="E39" s="292"/>
      <c r="F39" s="292"/>
      <c r="G39" s="292"/>
      <c r="H39" s="212" t="b">
        <f>IF(C39&lt;&gt;"",'CBL Score Standard'!$D97,IF(D39&lt;&gt;"",SUM('CBL Score Standard'!$D97:$E97),IF(E39&lt;&gt;"",SUM('CBL Score Standard'!$D97:$F97),IF(F39&lt;&gt;"",SUM('CBL Score Standard'!$D97:$G97),IF(G39&lt;&gt;"",SUM('CBL Score Standard'!$D97:$H97,0))))))</f>
        <v>0</v>
      </c>
      <c r="I39" s="182">
        <f t="shared" si="0"/>
        <v>0</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t="s">
        <v>73</v>
      </c>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t="s">
        <v>73</v>
      </c>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630</v>
      </c>
      <c r="T44" s="107" t="s">
        <v>73</v>
      </c>
      <c r="U44" s="308">
        <v>44008</v>
      </c>
      <c r="V44" s="107" t="s">
        <v>364</v>
      </c>
      <c r="W44" s="107"/>
      <c r="X44" s="107"/>
    </row>
    <row r="45" spans="1:24" ht="26.4" x14ac:dyDescent="0.3">
      <c r="A45" s="213" t="s">
        <v>41</v>
      </c>
      <c r="B45" s="206" t="s">
        <v>412</v>
      </c>
      <c r="C45" s="292"/>
      <c r="D45" s="292"/>
      <c r="E45" s="292"/>
      <c r="F45" s="292"/>
      <c r="G45" s="292"/>
      <c r="H45" s="212" t="b">
        <f>IF(C45&lt;&gt;"",'CBL Score Standard'!$D103,IF(D45&lt;&gt;"",SUM('CBL Score Standard'!$D103:$E103),IF(E45&lt;&gt;"",SUM('CBL Score Standard'!$D103:$F103),IF(F45&lt;&gt;"",SUM('CBL Score Standard'!$D103:$G103),IF(G45&lt;&gt;"",SUM('CBL Score Standard'!$D103:$H103,0))))))</f>
        <v>0</v>
      </c>
      <c r="I45" s="182">
        <f t="shared" si="2"/>
        <v>0</v>
      </c>
      <c r="J45" s="182">
        <f t="shared" si="3"/>
        <v>0</v>
      </c>
      <c r="K45" s="107"/>
      <c r="L45" s="107"/>
      <c r="M45" s="275" t="s">
        <v>7</v>
      </c>
      <c r="N45" s="276" t="s">
        <v>56</v>
      </c>
      <c r="O45" s="278" t="s">
        <v>659</v>
      </c>
      <c r="P45" s="283"/>
      <c r="Q45" s="280" t="s">
        <v>575</v>
      </c>
      <c r="R45" s="280" t="s">
        <v>265</v>
      </c>
      <c r="S45" s="237"/>
      <c r="T45" s="107" t="s">
        <v>72</v>
      </c>
      <c r="U45" s="107"/>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t="str">
        <f t="shared" si="2"/>
        <v>Passed</v>
      </c>
      <c r="J46" s="182">
        <f t="shared" si="3"/>
        <v>0</v>
      </c>
      <c r="K46" s="107"/>
      <c r="L46" s="107"/>
      <c r="M46" s="275" t="s">
        <v>7</v>
      </c>
      <c r="N46" s="276" t="s">
        <v>55</v>
      </c>
      <c r="O46" s="278" t="s">
        <v>1</v>
      </c>
      <c r="P46" s="283"/>
      <c r="Q46" s="280" t="s">
        <v>577</v>
      </c>
      <c r="R46" s="280" t="s">
        <v>477</v>
      </c>
      <c r="S46" s="237"/>
      <c r="T46" s="107" t="s">
        <v>72</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t="s">
        <v>72</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t="str">
        <f t="shared" si="2"/>
        <v>Passed</v>
      </c>
      <c r="J48" s="182">
        <f t="shared" si="3"/>
        <v>0</v>
      </c>
      <c r="K48" s="107"/>
      <c r="L48" s="107"/>
      <c r="M48" s="275" t="s">
        <v>7</v>
      </c>
      <c r="N48" s="276" t="s">
        <v>56</v>
      </c>
      <c r="O48" s="278" t="s">
        <v>385</v>
      </c>
      <c r="P48" s="280"/>
      <c r="Q48" s="280" t="s">
        <v>387</v>
      </c>
      <c r="R48" s="280" t="s">
        <v>386</v>
      </c>
      <c r="S48" s="237" t="s">
        <v>630</v>
      </c>
      <c r="T48" s="107" t="s">
        <v>72</v>
      </c>
      <c r="U48" s="308">
        <v>44113</v>
      </c>
      <c r="V48" s="107" t="s">
        <v>364</v>
      </c>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2"/>
        <v>Passed</v>
      </c>
      <c r="J49" s="182" t="str">
        <f t="shared" si="3"/>
        <v>Y</v>
      </c>
      <c r="K49" s="107"/>
      <c r="L49" s="107"/>
      <c r="M49" s="275" t="s">
        <v>7</v>
      </c>
      <c r="N49" s="276" t="s">
        <v>54</v>
      </c>
      <c r="O49" s="278" t="s">
        <v>229</v>
      </c>
      <c r="P49" s="283"/>
      <c r="Q49" s="280" t="s">
        <v>665</v>
      </c>
      <c r="R49" s="280" t="s">
        <v>574</v>
      </c>
      <c r="S49" s="107" t="s">
        <v>630</v>
      </c>
      <c r="T49" s="107" t="s">
        <v>72</v>
      </c>
      <c r="U49" s="308"/>
      <c r="V49" s="107"/>
      <c r="W49" s="107"/>
      <c r="X49" s="107"/>
    </row>
    <row r="50" spans="1:24" ht="13.8" x14ac:dyDescent="0.3">
      <c r="A50" s="213" t="s">
        <v>643</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2"/>
        <v>Passed</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2"/>
        <v>0</v>
      </c>
      <c r="J53" s="182">
        <f t="shared" si="3"/>
        <v>0</v>
      </c>
      <c r="K53" s="107" t="s">
        <v>141</v>
      </c>
      <c r="L53" s="107" t="s">
        <v>142</v>
      </c>
      <c r="M53" s="284" t="s">
        <v>8</v>
      </c>
      <c r="N53" s="285" t="s">
        <v>2</v>
      </c>
      <c r="O53" s="279" t="s">
        <v>232</v>
      </c>
      <c r="P53" s="286" t="s">
        <v>228</v>
      </c>
      <c r="Q53" s="286" t="s">
        <v>671</v>
      </c>
      <c r="R53" s="286"/>
      <c r="S53" s="237"/>
      <c r="T53" s="107"/>
      <c r="U53" s="107"/>
      <c r="V53" s="107" t="s">
        <v>364</v>
      </c>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t="str">
        <f t="shared" si="2"/>
        <v>Passed</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t="str">
        <f t="shared" si="2"/>
        <v>Passed</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8" si="4">VLOOKUP(B61,$O$4:$W$64,8,0)</f>
        <v>0</v>
      </c>
      <c r="J60" s="182">
        <f t="shared" ref="J60:J68" si="5">VLOOKUP(B61,$O$4:$W$64,9,0)</f>
        <v>0</v>
      </c>
      <c r="K60" s="107"/>
      <c r="L60" s="107"/>
      <c r="M60" s="284" t="s">
        <v>8</v>
      </c>
      <c r="N60" s="285" t="s">
        <v>148</v>
      </c>
      <c r="O60" s="279" t="s">
        <v>360</v>
      </c>
      <c r="P60" s="286" t="s">
        <v>228</v>
      </c>
      <c r="Q60" s="286" t="s">
        <v>676</v>
      </c>
      <c r="R60" s="286" t="s">
        <v>216</v>
      </c>
      <c r="S60" s="107"/>
      <c r="T60" s="107"/>
      <c r="U60" s="107"/>
      <c r="V60" s="107"/>
      <c r="W60" s="107"/>
      <c r="X60" s="107"/>
    </row>
    <row r="61" spans="1:24" ht="13.8" x14ac:dyDescent="0.25">
      <c r="A61" s="150" t="s">
        <v>56</v>
      </c>
      <c r="B61" s="206" t="s">
        <v>383</v>
      </c>
      <c r="C61" s="240"/>
      <c r="D61" s="240"/>
      <c r="E61" s="292"/>
      <c r="F61" s="292"/>
      <c r="G61" s="292"/>
      <c r="H61" s="212" t="b">
        <f>IF(C61&lt;&gt;"",'CBL Score Standard'!$D118,IF(D61&lt;&gt;"",SUM('CBL Score Standard'!$D118:$E118),IF(E61&lt;&gt;"",SUM('CBL Score Standard'!$D118:$F118),IF(F61&lt;&gt;"",SUM('CBL Score Standard'!$D118:$G118),IF(G61&lt;&gt;"",SUM('CBL Score Standard'!$D118:$H118,0))))))</f>
        <v>0</v>
      </c>
      <c r="I61" s="182" t="str">
        <f t="shared" si="4"/>
        <v>Passed</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t="s">
        <v>77</v>
      </c>
      <c r="E62" s="240"/>
      <c r="F62" s="292"/>
      <c r="G62" s="292"/>
      <c r="H62" s="212">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20" x14ac:dyDescent="0.3">
      <c r="A65" s="213" t="s">
        <v>56</v>
      </c>
      <c r="B65" s="206" t="s">
        <v>67</v>
      </c>
      <c r="C65" s="240"/>
      <c r="D65" s="240" t="s">
        <v>77</v>
      </c>
      <c r="E65" s="292"/>
      <c r="F65" s="292"/>
      <c r="G65" s="292"/>
      <c r="H65" s="212">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c r="T65" s="133"/>
    </row>
    <row r="66" spans="1:20"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I66" s="182" t="e">
        <f t="shared" si="4"/>
        <v>#N/A</v>
      </c>
      <c r="J66" s="182" t="e">
        <f t="shared" si="5"/>
        <v>#N/A</v>
      </c>
      <c r="K66" s="205"/>
      <c r="L66" s="205"/>
      <c r="M66" s="205"/>
      <c r="N66" s="306"/>
      <c r="O66" s="205"/>
      <c r="P66" s="205"/>
      <c r="Q66" s="205"/>
      <c r="R66" s="205"/>
    </row>
    <row r="67" spans="1:20" ht="15" thickBot="1" x14ac:dyDescent="0.35">
      <c r="A67" s="362" t="s">
        <v>79</v>
      </c>
      <c r="B67" s="363"/>
      <c r="C67" s="364"/>
      <c r="D67" s="364"/>
      <c r="E67" s="364"/>
      <c r="F67" s="364"/>
      <c r="G67" s="364"/>
      <c r="H67" s="183">
        <f>SUM(H8:H64)</f>
        <v>0.90447154471544711</v>
      </c>
      <c r="I67" s="182" t="e">
        <f t="shared" si="4"/>
        <v>#N/A</v>
      </c>
      <c r="J67" s="182" t="e">
        <f t="shared" si="5"/>
        <v>#N/A</v>
      </c>
      <c r="K67" s="205"/>
      <c r="L67" s="205"/>
      <c r="M67" s="205"/>
      <c r="N67" s="306"/>
      <c r="O67" s="205"/>
      <c r="P67" s="205"/>
      <c r="Q67" s="205"/>
      <c r="R67" s="205"/>
    </row>
    <row r="68" spans="1:20" ht="15" thickBot="1" x14ac:dyDescent="0.35">
      <c r="A68" s="215" t="s">
        <v>83</v>
      </c>
      <c r="B68" s="216"/>
      <c r="C68" s="225">
        <v>0.72727272727272729</v>
      </c>
      <c r="D68" s="225">
        <v>0.35</v>
      </c>
      <c r="E68" s="225">
        <v>0</v>
      </c>
      <c r="F68" s="225">
        <v>0</v>
      </c>
      <c r="G68" s="225">
        <v>0</v>
      </c>
      <c r="H68" s="217">
        <v>0</v>
      </c>
      <c r="I68" s="182" t="e">
        <f t="shared" si="4"/>
        <v>#N/A</v>
      </c>
      <c r="J68" s="182" t="e">
        <f t="shared" si="5"/>
        <v>#N/A</v>
      </c>
      <c r="K68" s="205"/>
      <c r="L68" s="205"/>
      <c r="M68" s="205"/>
      <c r="N68" s="306"/>
      <c r="O68" s="205"/>
      <c r="P68" s="205"/>
      <c r="Q68" s="205"/>
      <c r="R68" s="205"/>
    </row>
    <row r="69" spans="1:20" ht="15" thickBot="1" x14ac:dyDescent="0.35">
      <c r="A69" s="365" t="s">
        <v>81</v>
      </c>
      <c r="B69" s="366"/>
      <c r="C69" s="367"/>
      <c r="D69" s="367"/>
      <c r="E69" s="367"/>
      <c r="F69" s="367"/>
      <c r="G69" s="368"/>
      <c r="H69" s="218">
        <v>0</v>
      </c>
    </row>
    <row r="70" spans="1:20" x14ac:dyDescent="0.3">
      <c r="C70" s="101"/>
      <c r="D70" s="101"/>
      <c r="E70" s="101"/>
      <c r="F70" s="101"/>
      <c r="G70" s="101"/>
    </row>
    <row r="71" spans="1:20" x14ac:dyDescent="0.3">
      <c r="C71" s="101"/>
      <c r="D71" s="101"/>
      <c r="E71" s="101"/>
      <c r="F71" s="101"/>
      <c r="G71" s="101"/>
    </row>
    <row r="72" spans="1:20" x14ac:dyDescent="0.3">
      <c r="C72" s="101"/>
      <c r="D72" s="101"/>
      <c r="E72" s="101"/>
      <c r="F72" s="101"/>
      <c r="G72" s="101"/>
      <c r="O72" s="211" t="s">
        <v>180</v>
      </c>
      <c r="P72" s="296" t="str">
        <f t="shared" ref="P72:P103" si="6">VLOOKUP(O72,$O$4:$Q$64,3,0)</f>
        <v>Dao Thu Trang</v>
      </c>
    </row>
    <row r="73" spans="1:20" x14ac:dyDescent="0.3">
      <c r="C73" s="101"/>
      <c r="D73" s="101"/>
      <c r="E73" s="101"/>
      <c r="F73" s="101"/>
      <c r="G73" s="101"/>
      <c r="O73" s="206" t="s">
        <v>390</v>
      </c>
      <c r="P73" s="296" t="str">
        <f t="shared" si="6"/>
        <v>Pham Thi Thuy</v>
      </c>
    </row>
    <row r="74" spans="1:20" x14ac:dyDescent="0.3">
      <c r="C74" s="101"/>
      <c r="D74" s="101"/>
      <c r="E74" s="101"/>
      <c r="F74" s="101"/>
      <c r="G74" s="101"/>
      <c r="O74" s="206" t="s">
        <v>213</v>
      </c>
      <c r="P74" s="296" t="str">
        <f t="shared" si="6"/>
        <v>Nguyen Minh Quyen</v>
      </c>
    </row>
    <row r="75" spans="1:20" ht="12.75" customHeight="1" x14ac:dyDescent="0.3">
      <c r="C75" s="101"/>
      <c r="D75" s="101"/>
      <c r="E75" s="101"/>
      <c r="F75" s="101"/>
      <c r="G75" s="101"/>
      <c r="O75" s="206" t="s">
        <v>234</v>
      </c>
      <c r="P75" s="296" t="str">
        <f t="shared" si="6"/>
        <v>Mr. So</v>
      </c>
    </row>
    <row r="76" spans="1:20" x14ac:dyDescent="0.3">
      <c r="C76" s="101"/>
      <c r="D76" s="101"/>
      <c r="E76" s="101"/>
      <c r="F76" s="101"/>
      <c r="G76" s="101"/>
      <c r="O76" s="206" t="s">
        <v>241</v>
      </c>
      <c r="P76" s="296">
        <f t="shared" si="6"/>
        <v>0</v>
      </c>
    </row>
    <row r="77" spans="1:20" x14ac:dyDescent="0.3">
      <c r="C77" s="101"/>
      <c r="D77" s="101"/>
      <c r="E77" s="101"/>
      <c r="F77" s="101"/>
      <c r="G77" s="101"/>
      <c r="O77" s="111" t="s">
        <v>638</v>
      </c>
      <c r="P77" s="296" t="str">
        <f t="shared" si="6"/>
        <v>Vendor</v>
      </c>
    </row>
    <row r="78" spans="1:20" x14ac:dyDescent="0.3">
      <c r="C78" s="101"/>
      <c r="D78" s="101"/>
      <c r="E78" s="101"/>
      <c r="F78" s="101"/>
      <c r="G78" s="101"/>
      <c r="O78" s="277" t="s">
        <v>656</v>
      </c>
      <c r="P78" s="296" t="str">
        <f t="shared" si="6"/>
        <v>Do Thi Ngan 
Duong Ho Hanh</v>
      </c>
    </row>
    <row r="79" spans="1:20" x14ac:dyDescent="0.3">
      <c r="C79" s="101"/>
      <c r="D79" s="101"/>
      <c r="E79" s="101"/>
      <c r="F79" s="101"/>
      <c r="G79" s="101"/>
      <c r="O79" s="206" t="s">
        <v>183</v>
      </c>
      <c r="P79" s="296" t="str">
        <f t="shared" si="6"/>
        <v xml:space="preserve">Do Thi Ngan </v>
      </c>
    </row>
    <row r="80" spans="1:20" x14ac:dyDescent="0.3">
      <c r="C80" s="101"/>
      <c r="D80" s="101"/>
      <c r="E80" s="101"/>
      <c r="F80" s="101"/>
      <c r="G80" s="101"/>
      <c r="O80" s="206" t="s">
        <v>190</v>
      </c>
      <c r="P80" s="296" t="str">
        <f t="shared" si="6"/>
        <v>Le Hong Thuy</v>
      </c>
    </row>
    <row r="81" spans="3:16" x14ac:dyDescent="0.3">
      <c r="C81" s="101"/>
      <c r="D81" s="101"/>
      <c r="E81" s="101"/>
      <c r="F81" s="101"/>
      <c r="G81" s="101"/>
      <c r="O81" s="206" t="s">
        <v>192</v>
      </c>
      <c r="P81" s="296" t="str">
        <f t="shared" si="6"/>
        <v>Le Thanh Loc
Nguyen Thuy Vi</v>
      </c>
    </row>
    <row r="82" spans="3:16" x14ac:dyDescent="0.3">
      <c r="C82" s="101"/>
      <c r="D82" s="101"/>
      <c r="E82" s="101"/>
      <c r="F82" s="101"/>
      <c r="G82" s="101"/>
      <c r="O82" s="206" t="s">
        <v>194</v>
      </c>
      <c r="P82" s="296" t="str">
        <f t="shared" si="6"/>
        <v>Lang Thi Thuy
To Thi Van Anh</v>
      </c>
    </row>
    <row r="83" spans="3:16" x14ac:dyDescent="0.3">
      <c r="C83" s="101"/>
      <c r="D83" s="101"/>
      <c r="E83" s="101"/>
      <c r="F83" s="101"/>
      <c r="G83" s="101"/>
      <c r="O83" s="206" t="s">
        <v>196</v>
      </c>
      <c r="P83" s="296" t="str">
        <f t="shared" si="6"/>
        <v>Duong Ho Hanh</v>
      </c>
    </row>
    <row r="84" spans="3:16" x14ac:dyDescent="0.3">
      <c r="C84" s="101"/>
      <c r="D84" s="101"/>
      <c r="E84" s="101"/>
      <c r="F84" s="101"/>
      <c r="G84" s="101"/>
      <c r="O84" s="206" t="s">
        <v>200</v>
      </c>
      <c r="P84" s="296" t="str">
        <f t="shared" si="6"/>
        <v>Nguyen Thi Phuong</v>
      </c>
    </row>
    <row r="85" spans="3:16" x14ac:dyDescent="0.3">
      <c r="C85" s="101"/>
      <c r="D85" s="101"/>
      <c r="E85" s="101"/>
      <c r="F85" s="101"/>
      <c r="G85" s="101"/>
      <c r="O85" s="111" t="s">
        <v>642</v>
      </c>
      <c r="P85" s="296" t="str">
        <f t="shared" si="6"/>
        <v>Than Thi Men</v>
      </c>
    </row>
    <row r="86" spans="3:16" x14ac:dyDescent="0.3">
      <c r="C86" s="101"/>
      <c r="D86" s="101"/>
      <c r="E86" s="101"/>
      <c r="F86" s="101"/>
      <c r="G86" s="101"/>
      <c r="O86" s="206" t="s">
        <v>595</v>
      </c>
      <c r="P86" s="296" t="str">
        <f t="shared" si="6"/>
        <v>Do Thi Hue</v>
      </c>
    </row>
    <row r="87" spans="3:16" x14ac:dyDescent="0.3">
      <c r="C87" s="101"/>
      <c r="D87" s="101"/>
      <c r="E87" s="101"/>
      <c r="F87" s="101"/>
      <c r="G87" s="101"/>
      <c r="O87" s="206" t="s">
        <v>410</v>
      </c>
      <c r="P87" s="296" t="str">
        <f t="shared" si="6"/>
        <v>Nguyen Thi Diem Hang
Hoang Hong Nhung</v>
      </c>
    </row>
    <row r="88" spans="3:16" x14ac:dyDescent="0.3">
      <c r="C88" s="101"/>
      <c r="D88" s="101"/>
      <c r="E88" s="101"/>
      <c r="F88" s="101"/>
      <c r="G88" s="101"/>
      <c r="O88" s="206" t="s">
        <v>596</v>
      </c>
      <c r="P88" s="296" t="str">
        <f t="shared" si="6"/>
        <v xml:space="preserve">Duong Thi Ho Hanh </v>
      </c>
    </row>
    <row r="89" spans="3:16" x14ac:dyDescent="0.3">
      <c r="C89" s="101"/>
      <c r="D89" s="101"/>
      <c r="E89" s="101"/>
      <c r="F89" s="101"/>
      <c r="G89" s="101"/>
      <c r="O89" s="206" t="s">
        <v>236</v>
      </c>
      <c r="P89" s="296" t="str">
        <f t="shared" si="6"/>
        <v>Development - FEG</v>
      </c>
    </row>
    <row r="90" spans="3:16" x14ac:dyDescent="0.3">
      <c r="C90" s="101"/>
      <c r="D90" s="101"/>
      <c r="E90" s="101"/>
      <c r="F90" s="101"/>
      <c r="G90" s="101"/>
      <c r="O90" s="206" t="s">
        <v>473</v>
      </c>
      <c r="P90" s="296" t="str">
        <f t="shared" si="6"/>
        <v>Mr. So</v>
      </c>
    </row>
    <row r="91" spans="3:16" x14ac:dyDescent="0.3">
      <c r="C91" s="101"/>
      <c r="D91" s="101"/>
      <c r="E91" s="101"/>
      <c r="F91" s="101"/>
      <c r="G91" s="101"/>
      <c r="O91" s="206" t="s">
        <v>474</v>
      </c>
      <c r="P91" s="296">
        <f t="shared" si="6"/>
        <v>0</v>
      </c>
    </row>
    <row r="92" spans="3:16" x14ac:dyDescent="0.3">
      <c r="C92" s="101"/>
      <c r="D92" s="101"/>
      <c r="E92" s="101"/>
      <c r="F92" s="101"/>
      <c r="G92" s="101"/>
      <c r="O92" s="206" t="s">
        <v>243</v>
      </c>
      <c r="P92" s="296">
        <f t="shared" si="6"/>
        <v>0</v>
      </c>
    </row>
    <row r="93" spans="3:16" x14ac:dyDescent="0.3">
      <c r="C93" s="101"/>
      <c r="D93" s="101"/>
      <c r="E93" s="101"/>
      <c r="F93" s="101"/>
      <c r="G93" s="101"/>
      <c r="O93" s="206" t="s">
        <v>614</v>
      </c>
      <c r="P93" s="296" t="str">
        <f t="shared" si="6"/>
        <v>Nguyen Hong Lien</v>
      </c>
    </row>
    <row r="94" spans="3:16" x14ac:dyDescent="0.3">
      <c r="C94" s="101"/>
      <c r="D94" s="101"/>
      <c r="E94" s="101"/>
      <c r="F94" s="101"/>
      <c r="G94" s="101"/>
      <c r="O94" s="206" t="s">
        <v>613</v>
      </c>
      <c r="P94" s="296" t="str">
        <f t="shared" si="6"/>
        <v>Nguyen Hong Lien</v>
      </c>
    </row>
    <row r="95" spans="3:16" x14ac:dyDescent="0.3">
      <c r="C95" s="101"/>
      <c r="D95" s="101"/>
      <c r="E95" s="101"/>
      <c r="F95" s="101"/>
      <c r="G95" s="101"/>
      <c r="O95" s="206" t="s">
        <v>148</v>
      </c>
      <c r="P95" s="296" t="str">
        <f t="shared" si="6"/>
        <v>Trinh Hai Hanh</v>
      </c>
    </row>
    <row r="96" spans="3:16" x14ac:dyDescent="0.3">
      <c r="C96" s="101"/>
      <c r="D96" s="101"/>
      <c r="E96" s="101"/>
      <c r="F96" s="101"/>
      <c r="G96" s="101"/>
      <c r="O96" s="206" t="s">
        <v>360</v>
      </c>
      <c r="P96" s="296" t="str">
        <f t="shared" si="6"/>
        <v>Nguyen Diem Hang</v>
      </c>
    </row>
    <row r="97" spans="3:16" x14ac:dyDescent="0.3">
      <c r="C97" s="226"/>
      <c r="D97" s="101"/>
      <c r="E97" s="101"/>
      <c r="F97" s="101"/>
      <c r="G97" s="101"/>
      <c r="O97" s="111" t="s">
        <v>639</v>
      </c>
      <c r="P97" s="296" t="str">
        <f t="shared" si="6"/>
        <v>Vendor</v>
      </c>
    </row>
    <row r="98" spans="3:16" x14ac:dyDescent="0.3">
      <c r="C98" s="226"/>
      <c r="D98" s="101"/>
      <c r="E98" s="101"/>
      <c r="F98" s="101"/>
      <c r="G98" s="101"/>
      <c r="O98" s="226" t="s">
        <v>646</v>
      </c>
      <c r="P98" s="296" t="str">
        <f t="shared" si="6"/>
        <v>Trinh Hai Hanh</v>
      </c>
    </row>
    <row r="99" spans="3:16" x14ac:dyDescent="0.3">
      <c r="C99" s="101"/>
      <c r="D99" s="101"/>
      <c r="E99" s="101"/>
      <c r="F99" s="101"/>
      <c r="G99" s="101"/>
      <c r="O99" s="206" t="s">
        <v>173</v>
      </c>
      <c r="P99" s="296" t="str">
        <f t="shared" si="6"/>
        <v>Dao Thu Trang</v>
      </c>
    </row>
    <row r="100" spans="3:16" x14ac:dyDescent="0.3">
      <c r="C100" s="101"/>
      <c r="D100" s="101"/>
      <c r="E100" s="101"/>
      <c r="F100" s="101"/>
      <c r="G100" s="101"/>
      <c r="O100" s="206" t="s">
        <v>169</v>
      </c>
      <c r="P100" s="296" t="str">
        <f t="shared" si="6"/>
        <v>Dao Thu Trang</v>
      </c>
    </row>
    <row r="101" spans="3:16" x14ac:dyDescent="0.3">
      <c r="C101" s="101"/>
      <c r="D101" s="101"/>
      <c r="E101" s="101"/>
      <c r="F101" s="101"/>
      <c r="G101" s="101"/>
      <c r="O101" s="206" t="s">
        <v>232</v>
      </c>
      <c r="P101" s="296" t="str">
        <f t="shared" si="6"/>
        <v>Test Design Unit</v>
      </c>
    </row>
    <row r="102" spans="3:16" x14ac:dyDescent="0.3">
      <c r="C102" s="101"/>
      <c r="D102" s="101"/>
      <c r="E102" s="101"/>
      <c r="F102" s="101"/>
      <c r="G102" s="101"/>
      <c r="O102" s="257" t="s">
        <v>388</v>
      </c>
      <c r="P102" s="296" t="str">
        <f t="shared" si="6"/>
        <v>Nguyen Thi Diem Hang</v>
      </c>
    </row>
    <row r="103" spans="3:16" x14ac:dyDescent="0.3">
      <c r="C103" s="101"/>
      <c r="D103" s="101"/>
      <c r="E103" s="101"/>
      <c r="F103" s="101"/>
      <c r="G103" s="101"/>
      <c r="I103" s="226"/>
      <c r="J103" s="226"/>
      <c r="O103" s="257" t="s">
        <v>412</v>
      </c>
      <c r="P103" s="296" t="str">
        <f t="shared" si="6"/>
        <v>Nguyen Hung Duy</v>
      </c>
    </row>
    <row r="104" spans="3:16" x14ac:dyDescent="0.3">
      <c r="C104" s="101"/>
      <c r="D104" s="101"/>
      <c r="E104" s="101"/>
      <c r="F104" s="226"/>
      <c r="G104" s="226"/>
      <c r="H104" s="185"/>
      <c r="I104" s="226"/>
      <c r="J104" s="226"/>
      <c r="O104" s="206" t="s">
        <v>229</v>
      </c>
      <c r="P104" s="296" t="str">
        <f t="shared" ref="P104:P129" si="7">VLOOKUP(O104,$O$4:$Q$64,3,0)</f>
        <v>Nguyen Minh Quyen
Bui Thi Chi</v>
      </c>
    </row>
    <row r="105" spans="3:16" x14ac:dyDescent="0.3">
      <c r="C105" s="101"/>
      <c r="D105" s="101"/>
      <c r="E105" s="101"/>
      <c r="F105" s="226"/>
      <c r="G105" s="226"/>
      <c r="H105" s="185"/>
      <c r="I105" s="226"/>
      <c r="J105" s="226"/>
      <c r="O105" s="206" t="s">
        <v>361</v>
      </c>
      <c r="P105" s="296">
        <f t="shared" si="7"/>
        <v>0</v>
      </c>
    </row>
    <row r="106" spans="3:16" x14ac:dyDescent="0.3">
      <c r="C106" s="101"/>
      <c r="D106" s="101"/>
      <c r="E106" s="101"/>
      <c r="F106" s="226"/>
      <c r="G106" s="226"/>
      <c r="H106" s="185"/>
      <c r="I106" s="226"/>
      <c r="J106" s="226"/>
      <c r="O106" s="206" t="s">
        <v>221</v>
      </c>
      <c r="P106" s="296" t="str">
        <f t="shared" si="7"/>
        <v>Nguyen Kim Oanh</v>
      </c>
    </row>
    <row r="107" spans="3:16" x14ac:dyDescent="0.3">
      <c r="C107" s="101"/>
      <c r="D107" s="101"/>
      <c r="E107" s="101"/>
      <c r="F107" s="226"/>
      <c r="G107" s="226"/>
      <c r="H107" s="185"/>
      <c r="I107" s="226"/>
      <c r="J107" s="226"/>
      <c r="O107" s="206" t="s">
        <v>224</v>
      </c>
      <c r="P107" s="296" t="str">
        <f t="shared" si="7"/>
        <v>To Thi Van Anh</v>
      </c>
    </row>
    <row r="108" spans="3:16" x14ac:dyDescent="0.3">
      <c r="C108" s="101"/>
      <c r="D108" s="101"/>
      <c r="E108" s="101"/>
      <c r="F108" s="226"/>
      <c r="G108" s="226"/>
      <c r="H108" s="185"/>
      <c r="O108" s="279" t="s">
        <v>670</v>
      </c>
      <c r="P108" s="296" t="str">
        <f t="shared" si="7"/>
        <v>Test Environment Design Unit</v>
      </c>
    </row>
    <row r="109" spans="3:16" x14ac:dyDescent="0.3">
      <c r="C109" s="101"/>
      <c r="D109" s="101"/>
      <c r="E109" s="101"/>
      <c r="F109" s="101"/>
      <c r="G109" s="101"/>
      <c r="O109" s="206" t="s">
        <v>412</v>
      </c>
      <c r="P109" s="296" t="str">
        <f t="shared" si="7"/>
        <v>Nguyen Hung Duy</v>
      </c>
    </row>
    <row r="110" spans="3:16" x14ac:dyDescent="0.3">
      <c r="C110" s="101"/>
      <c r="D110" s="101"/>
      <c r="E110" s="101"/>
      <c r="F110" s="101"/>
      <c r="G110" s="101"/>
      <c r="O110" s="206" t="s">
        <v>176</v>
      </c>
      <c r="P110" s="296" t="str">
        <f t="shared" si="7"/>
        <v>Nguyen Thi Kim Oanh</v>
      </c>
    </row>
    <row r="111" spans="3:16" x14ac:dyDescent="0.3">
      <c r="C111" s="101"/>
      <c r="D111" s="101"/>
      <c r="E111" s="101"/>
      <c r="F111" s="101"/>
      <c r="G111" s="101"/>
      <c r="O111" s="206" t="s">
        <v>242</v>
      </c>
      <c r="P111" s="296">
        <f t="shared" si="7"/>
        <v>0</v>
      </c>
    </row>
    <row r="112" spans="3:16" x14ac:dyDescent="0.3">
      <c r="C112" s="101"/>
      <c r="D112" s="101"/>
      <c r="E112" s="101"/>
      <c r="F112" s="101"/>
      <c r="G112" s="101"/>
      <c r="O112" s="206" t="s">
        <v>362</v>
      </c>
      <c r="P112" s="296" t="str">
        <f t="shared" si="7"/>
        <v>Le Thi Thuy Diu</v>
      </c>
    </row>
    <row r="113" spans="3:16" ht="26.4" x14ac:dyDescent="0.3">
      <c r="C113" s="101"/>
      <c r="D113" s="101"/>
      <c r="E113" s="101"/>
      <c r="F113" s="101"/>
      <c r="G113" s="101"/>
      <c r="O113" s="206" t="s">
        <v>363</v>
      </c>
      <c r="P113" s="296" t="str">
        <f t="shared" si="7"/>
        <v>Trinh Hai Hanh</v>
      </c>
    </row>
    <row r="114" spans="3:16" x14ac:dyDescent="0.3">
      <c r="C114" s="101"/>
      <c r="D114" s="101"/>
      <c r="E114" s="101"/>
      <c r="F114" s="101"/>
      <c r="G114" s="101"/>
      <c r="O114" s="206" t="s">
        <v>414</v>
      </c>
      <c r="P114" s="296" t="str">
        <f t="shared" si="7"/>
        <v>Nguyen Hong Lien</v>
      </c>
    </row>
    <row r="115" spans="3:16" x14ac:dyDescent="0.3">
      <c r="C115" s="101"/>
      <c r="D115" s="101"/>
      <c r="E115" s="101"/>
      <c r="F115" s="101"/>
      <c r="G115" s="101"/>
      <c r="O115" s="257" t="s">
        <v>645</v>
      </c>
      <c r="P115" s="296" t="str">
        <f t="shared" si="7"/>
        <v>Nguyen Hong Lien</v>
      </c>
    </row>
    <row r="116" spans="3:16" x14ac:dyDescent="0.3">
      <c r="C116" s="101"/>
      <c r="D116" s="101"/>
      <c r="E116" s="101"/>
      <c r="F116" s="101"/>
      <c r="G116" s="101"/>
      <c r="O116" s="206" t="s">
        <v>592</v>
      </c>
      <c r="P116" s="296" t="str">
        <f t="shared" si="7"/>
        <v>Truong Khanh Cuong</v>
      </c>
    </row>
    <row r="117" spans="3:16" x14ac:dyDescent="0.3">
      <c r="C117" s="101"/>
      <c r="D117" s="101"/>
      <c r="E117" s="101"/>
      <c r="F117" s="101"/>
      <c r="G117" s="101"/>
      <c r="O117" s="206" t="s">
        <v>593</v>
      </c>
      <c r="P117" s="296" t="str">
        <f t="shared" si="7"/>
        <v>Dao Xuan Truong</v>
      </c>
    </row>
    <row r="118" spans="3:16" x14ac:dyDescent="0.3">
      <c r="C118" s="101"/>
      <c r="D118" s="101"/>
      <c r="E118" s="101"/>
      <c r="F118" s="101"/>
      <c r="G118" s="101"/>
      <c r="O118" s="111" t="s">
        <v>640</v>
      </c>
      <c r="P118" s="296" t="str">
        <f t="shared" si="7"/>
        <v>Le Thi Phuong</v>
      </c>
    </row>
    <row r="119" spans="3:16" x14ac:dyDescent="0.3">
      <c r="C119" s="101"/>
      <c r="D119" s="101"/>
      <c r="E119" s="101"/>
      <c r="F119" s="101"/>
      <c r="G119" s="101"/>
      <c r="O119" s="111" t="s">
        <v>641</v>
      </c>
      <c r="P119" s="296" t="str">
        <f t="shared" si="7"/>
        <v>Nguyen Hung Duy</v>
      </c>
    </row>
    <row r="120" spans="3:16" x14ac:dyDescent="0.3">
      <c r="C120" s="101"/>
      <c r="D120" s="101"/>
      <c r="E120" s="101"/>
      <c r="F120" s="101"/>
      <c r="G120" s="101"/>
      <c r="O120" s="206" t="s">
        <v>679</v>
      </c>
      <c r="P120" s="296" t="str">
        <f t="shared" si="7"/>
        <v>Nguyen Hong Lien</v>
      </c>
    </row>
    <row r="121" spans="3:16" x14ac:dyDescent="0.3">
      <c r="C121" s="101"/>
      <c r="D121" s="101"/>
      <c r="E121" s="101"/>
      <c r="F121" s="101"/>
      <c r="G121" s="101"/>
      <c r="O121" s="206" t="s">
        <v>186</v>
      </c>
      <c r="P121" s="296" t="str">
        <f t="shared" si="7"/>
        <v>Truong Khanh Cuong</v>
      </c>
    </row>
    <row r="122" spans="3:16" x14ac:dyDescent="0.3">
      <c r="C122" s="101"/>
      <c r="D122" s="101"/>
      <c r="E122" s="101"/>
      <c r="F122" s="101"/>
      <c r="G122" s="101"/>
      <c r="O122" s="111" t="s">
        <v>644</v>
      </c>
      <c r="P122" s="296" t="str">
        <f t="shared" si="7"/>
        <v>Dao Xuan Truong</v>
      </c>
    </row>
    <row r="123" spans="3:16" x14ac:dyDescent="0.3">
      <c r="C123" s="101"/>
      <c r="D123" s="101"/>
      <c r="E123" s="101"/>
      <c r="F123" s="101"/>
      <c r="G123" s="101"/>
      <c r="O123" s="206" t="s">
        <v>189</v>
      </c>
      <c r="P123" s="296" t="str">
        <f t="shared" si="7"/>
        <v>To Thi Van Anh</v>
      </c>
    </row>
    <row r="124" spans="3:16" x14ac:dyDescent="0.3">
      <c r="C124" s="101"/>
      <c r="D124" s="101"/>
      <c r="E124" s="101"/>
      <c r="F124" s="101"/>
      <c r="G124" s="101"/>
      <c r="O124" s="206" t="s">
        <v>383</v>
      </c>
      <c r="P124" s="296" t="str">
        <f t="shared" si="7"/>
        <v>Phan Phuong Anh</v>
      </c>
    </row>
    <row r="125" spans="3:16" x14ac:dyDescent="0.3">
      <c r="C125" s="101"/>
      <c r="D125" s="101"/>
      <c r="E125" s="101"/>
      <c r="F125" s="101"/>
      <c r="G125" s="101"/>
      <c r="O125" s="206" t="s">
        <v>385</v>
      </c>
      <c r="P125" s="296" t="str">
        <f t="shared" si="7"/>
        <v>Do Thi Hue</v>
      </c>
    </row>
    <row r="126" spans="3:16" x14ac:dyDescent="0.3">
      <c r="C126" s="101"/>
      <c r="D126" s="101"/>
      <c r="E126" s="101"/>
      <c r="F126" s="101"/>
      <c r="G126" s="101"/>
      <c r="O126" s="206" t="s">
        <v>235</v>
      </c>
      <c r="P126" s="296" t="e">
        <f t="shared" si="7"/>
        <v>#N/A</v>
      </c>
    </row>
    <row r="127" spans="3:16" x14ac:dyDescent="0.3">
      <c r="C127" s="101"/>
      <c r="D127" s="101"/>
      <c r="E127" s="101"/>
      <c r="F127" s="101"/>
      <c r="G127" s="101"/>
      <c r="O127" s="206" t="s">
        <v>237</v>
      </c>
      <c r="P127" s="296" t="str">
        <f t="shared" si="7"/>
        <v>Development</v>
      </c>
    </row>
    <row r="128" spans="3:16" x14ac:dyDescent="0.3">
      <c r="C128" s="101"/>
      <c r="D128" s="101"/>
      <c r="E128" s="101"/>
      <c r="F128" s="101"/>
      <c r="G128" s="101"/>
      <c r="O128" s="206" t="s">
        <v>659</v>
      </c>
      <c r="P128" s="296" t="str">
        <f t="shared" si="7"/>
        <v> Pham Thi Phuong Dung</v>
      </c>
    </row>
    <row r="129" spans="3:16" x14ac:dyDescent="0.3">
      <c r="C129" s="101"/>
      <c r="D129" s="101"/>
      <c r="E129" s="101"/>
      <c r="F129" s="101"/>
      <c r="G129" s="101"/>
      <c r="O129" s="206" t="s">
        <v>1</v>
      </c>
      <c r="P129" s="296" t="str">
        <f t="shared" si="7"/>
        <v> Truong Thi Hanh Phuc</v>
      </c>
    </row>
    <row r="130" spans="3:16" x14ac:dyDescent="0.3">
      <c r="C130" s="101"/>
      <c r="D130" s="101"/>
      <c r="E130" s="101"/>
      <c r="F130" s="101"/>
      <c r="G130" s="101"/>
    </row>
    <row r="131" spans="3:16" x14ac:dyDescent="0.3">
      <c r="C131" s="101"/>
      <c r="D131" s="101"/>
      <c r="E131" s="101"/>
      <c r="F131" s="101"/>
      <c r="G131" s="101"/>
    </row>
    <row r="132" spans="3:16" x14ac:dyDescent="0.3">
      <c r="C132" s="101"/>
      <c r="D132" s="101"/>
      <c r="E132" s="101"/>
      <c r="F132" s="101"/>
      <c r="G132" s="101"/>
    </row>
    <row r="133" spans="3:16" x14ac:dyDescent="0.3">
      <c r="C133" s="101"/>
      <c r="D133" s="101"/>
      <c r="E133" s="101"/>
      <c r="F133" s="101"/>
      <c r="G133" s="101"/>
    </row>
    <row r="134" spans="3:16" x14ac:dyDescent="0.3">
      <c r="C134" s="101"/>
      <c r="D134" s="101"/>
      <c r="E134" s="101"/>
      <c r="F134" s="101"/>
      <c r="G134" s="101"/>
    </row>
    <row r="135" spans="3:16" x14ac:dyDescent="0.3">
      <c r="C135" s="101"/>
      <c r="D135" s="101"/>
      <c r="E135" s="101"/>
      <c r="F135" s="101"/>
      <c r="G135" s="101"/>
    </row>
    <row r="136" spans="3:16" x14ac:dyDescent="0.3">
      <c r="C136" s="101"/>
      <c r="D136" s="101"/>
      <c r="E136" s="101"/>
      <c r="F136" s="101"/>
      <c r="G136" s="101"/>
    </row>
    <row r="137" spans="3:16" x14ac:dyDescent="0.3">
      <c r="C137" s="101"/>
      <c r="D137" s="101"/>
      <c r="E137" s="101"/>
      <c r="F137" s="101"/>
      <c r="G137" s="101"/>
    </row>
    <row r="138" spans="3:16" x14ac:dyDescent="0.3">
      <c r="C138" s="101"/>
      <c r="D138" s="101"/>
      <c r="E138" s="101"/>
      <c r="F138" s="101"/>
      <c r="G138" s="101"/>
    </row>
    <row r="139" spans="3:16" x14ac:dyDescent="0.3">
      <c r="C139" s="101"/>
      <c r="D139" s="101"/>
      <c r="E139" s="101"/>
      <c r="F139" s="101"/>
      <c r="G139" s="101"/>
    </row>
    <row r="140" spans="3:16" x14ac:dyDescent="0.3">
      <c r="C140" s="101"/>
      <c r="D140" s="101"/>
      <c r="E140" s="101"/>
      <c r="F140" s="101"/>
      <c r="G140" s="101"/>
    </row>
    <row r="141" spans="3:16" x14ac:dyDescent="0.3">
      <c r="C141" s="101"/>
      <c r="D141" s="101"/>
      <c r="E141" s="101"/>
      <c r="F141" s="101"/>
      <c r="G141" s="101"/>
    </row>
    <row r="142" spans="3:16" x14ac:dyDescent="0.3">
      <c r="C142" s="101"/>
      <c r="D142" s="101"/>
      <c r="E142" s="101"/>
      <c r="F142" s="101"/>
      <c r="G142" s="101"/>
    </row>
    <row r="143" spans="3:16" x14ac:dyDescent="0.3">
      <c r="C143" s="101"/>
      <c r="D143" s="101"/>
      <c r="E143" s="101"/>
      <c r="F143" s="101"/>
      <c r="G143" s="101"/>
    </row>
    <row r="144" spans="3:16"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85" showGridLines="0" fitToPage="1" topLeftCell="A40">
      <selection activeCell="D48" sqref="D4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3BEDB203-29A8-4A82-B140-5CE8D0753F8B}"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7:G67"/>
    <mergeCell ref="A69:G69"/>
    <mergeCell ref="M2:M3"/>
    <mergeCell ref="N2:N3"/>
  </mergeCells>
  <conditionalFormatting sqref="C7:D7 F7:H7">
    <cfRule type="containsText" dxfId="373" priority="46" operator="containsText" text="N/A">
      <formula>NOT(ISERROR(SEARCH("N/A",C7)))</formula>
    </cfRule>
    <cfRule type="containsText" dxfId="372" priority="47" operator="containsText" text="Blank">
      <formula>NOT(ISERROR(SEARCH("Blank",C7)))</formula>
    </cfRule>
    <cfRule type="containsText" dxfId="371" priority="48" operator="containsText" text="M">
      <formula>NOT(ISERROR(SEARCH("M",C7)))</formula>
    </cfRule>
  </conditionalFormatting>
  <conditionalFormatting sqref="B67:B69 B7">
    <cfRule type="duplicateValues" dxfId="370" priority="45"/>
  </conditionalFormatting>
  <conditionalFormatting sqref="O93">
    <cfRule type="duplicateValues" dxfId="369" priority="38"/>
  </conditionalFormatting>
  <conditionalFormatting sqref="O94">
    <cfRule type="duplicateValues" dxfId="368" priority="37"/>
  </conditionalFormatting>
  <conditionalFormatting sqref="O119">
    <cfRule type="duplicateValues" dxfId="367" priority="36"/>
  </conditionalFormatting>
  <conditionalFormatting sqref="O120:O129 O95:O97 O72:O76 O79:O92 O104:O107 O116:O118 O109:O114 O99:O101">
    <cfRule type="duplicateValues" dxfId="366" priority="39"/>
  </conditionalFormatting>
  <conditionalFormatting sqref="O77">
    <cfRule type="duplicateValues" dxfId="365" priority="35"/>
  </conditionalFormatting>
  <conditionalFormatting sqref="O78">
    <cfRule type="duplicateValues" dxfId="364" priority="32"/>
  </conditionalFormatting>
  <conditionalFormatting sqref="O102:O103">
    <cfRule type="duplicateValues" dxfId="363" priority="30"/>
  </conditionalFormatting>
  <conditionalFormatting sqref="O115">
    <cfRule type="duplicateValues" dxfId="362" priority="27"/>
  </conditionalFormatting>
  <conditionalFormatting sqref="O108">
    <cfRule type="duplicateValues" dxfId="361" priority="26"/>
  </conditionalFormatting>
  <conditionalFormatting sqref="O25">
    <cfRule type="duplicateValues" dxfId="360" priority="6"/>
  </conditionalFormatting>
  <conditionalFormatting sqref="O4:O9 O12:O18">
    <cfRule type="duplicateValues" dxfId="359" priority="15"/>
  </conditionalFormatting>
  <conditionalFormatting sqref="O10">
    <cfRule type="duplicateValues" dxfId="358" priority="14"/>
  </conditionalFormatting>
  <conditionalFormatting sqref="O11">
    <cfRule type="duplicateValues" dxfId="357" priority="13"/>
  </conditionalFormatting>
  <conditionalFormatting sqref="O19:O24 O32:O34 O26:O30">
    <cfRule type="duplicateValues" dxfId="356" priority="12"/>
  </conditionalFormatting>
  <conditionalFormatting sqref="O36:O52">
    <cfRule type="duplicateValues" dxfId="355" priority="11"/>
  </conditionalFormatting>
  <conditionalFormatting sqref="O35">
    <cfRule type="duplicateValues" dxfId="354" priority="10"/>
  </conditionalFormatting>
  <conditionalFormatting sqref="O53:O60">
    <cfRule type="duplicateValues" dxfId="353" priority="9"/>
  </conditionalFormatting>
  <conditionalFormatting sqref="O61:O64">
    <cfRule type="duplicateValues" dxfId="352" priority="8"/>
  </conditionalFormatting>
  <conditionalFormatting sqref="O31">
    <cfRule type="duplicateValues" dxfId="351" priority="7"/>
  </conditionalFormatting>
  <conditionalFormatting sqref="B30">
    <cfRule type="duplicateValues" dxfId="350" priority="3"/>
  </conditionalFormatting>
  <conditionalFormatting sqref="B55">
    <cfRule type="duplicateValues" dxfId="349" priority="2"/>
  </conditionalFormatting>
  <conditionalFormatting sqref="B13">
    <cfRule type="duplicateValues" dxfId="348" priority="1"/>
  </conditionalFormatting>
  <conditionalFormatting sqref="B56:B66 B31:B54 B8:B12 B14:B28">
    <cfRule type="duplicateValues" dxfId="347" priority="4"/>
  </conditionalFormatting>
  <conditionalFormatting sqref="B29">
    <cfRule type="duplicateValues" dxfId="346" priority="5"/>
  </conditionalFormatting>
  <dataValidations count="4">
    <dataValidation type="list" allowBlank="1" showInputMessage="1" showErrorMessage="1" sqref="V2">
      <formula1>"Passed, Failed, N/A"</formula1>
    </dataValidation>
    <dataValidation type="list" allowBlank="1" showInputMessage="1" showErrorMessage="1" sqref="W2 W4:X64">
      <formula1>"Y, N"</formula1>
    </dataValidation>
    <dataValidation type="list" allowBlank="1" showInputMessage="1" showErrorMessage="1" sqref="V1:X1 V69:X1048576 T69:T1048576 T1:T18 V3:X3 T20:T64">
      <formula1>"M, O, N/A"</formula1>
    </dataValidation>
    <dataValidation type="list" allowBlank="1" showInputMessage="1" showErrorMessage="1" sqref="V4:V64">
      <formula1>"Passed, Failed"</formula1>
    </dataValidation>
  </dataValidations>
  <pageMargins left="0.25" right="0" top="0.25" bottom="0.25" header="0.3" footer="0"/>
  <pageSetup scale="30" fitToHeight="0" orientation="landscape" r:id="rId4"/>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00B050"/>
  </sheetPr>
  <dimension ref="A1:X197"/>
  <sheetViews>
    <sheetView showGridLines="0" topLeftCell="J10" zoomScale="70" zoomScaleNormal="70" workbookViewId="0">
      <selection activeCell="T4" sqref="T4:X6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12.75" customHeight="1" x14ac:dyDescent="0.3">
      <c r="A2" s="70" t="s">
        <v>357</v>
      </c>
      <c r="B2" s="58" t="s">
        <v>263</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42495</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4.7589041095890412</v>
      </c>
      <c r="C4" s="3"/>
      <c r="D4" s="3"/>
      <c r="E4" s="3"/>
      <c r="F4" s="3"/>
      <c r="G4" s="3"/>
      <c r="H4" s="3"/>
      <c r="K4" s="107" t="s">
        <v>141</v>
      </c>
      <c r="L4" s="107" t="s">
        <v>142</v>
      </c>
      <c r="M4" s="254" t="s">
        <v>5</v>
      </c>
      <c r="N4" s="255" t="s">
        <v>143</v>
      </c>
      <c r="O4" s="256" t="s">
        <v>362</v>
      </c>
      <c r="P4" s="258"/>
      <c r="Q4" s="261" t="s">
        <v>145</v>
      </c>
      <c r="R4" s="261" t="s">
        <v>211</v>
      </c>
      <c r="S4" s="237" t="s">
        <v>263</v>
      </c>
      <c r="T4" s="107"/>
      <c r="U4" s="307"/>
      <c r="V4" s="107" t="s">
        <v>364</v>
      </c>
      <c r="W4" s="107" t="s">
        <v>367</v>
      </c>
      <c r="X4" s="107" t="s">
        <v>367</v>
      </c>
    </row>
    <row r="5" spans="1:24" ht="12.75" customHeight="1" x14ac:dyDescent="0.3">
      <c r="A5" s="70" t="s">
        <v>377</v>
      </c>
      <c r="B5" s="95">
        <v>4</v>
      </c>
      <c r="C5" s="97"/>
      <c r="D5" s="3"/>
      <c r="E5" s="3"/>
      <c r="F5" s="3"/>
      <c r="G5" s="3"/>
      <c r="H5" s="3"/>
      <c r="K5" s="107"/>
      <c r="L5" s="107"/>
      <c r="M5" s="254" t="s">
        <v>5</v>
      </c>
      <c r="N5" s="255" t="s">
        <v>143</v>
      </c>
      <c r="O5" s="256" t="s">
        <v>363</v>
      </c>
      <c r="P5" s="259" t="s">
        <v>144</v>
      </c>
      <c r="Q5" s="259" t="s">
        <v>149</v>
      </c>
      <c r="R5" s="259" t="s">
        <v>150</v>
      </c>
      <c r="S5" s="237" t="s">
        <v>263</v>
      </c>
      <c r="T5" s="107"/>
      <c r="U5" s="308"/>
      <c r="V5" s="107" t="s">
        <v>364</v>
      </c>
      <c r="W5" s="107" t="s">
        <v>367</v>
      </c>
      <c r="X5" s="107" t="s">
        <v>367</v>
      </c>
    </row>
    <row r="6" spans="1:24" thickBot="1" x14ac:dyDescent="0.35">
      <c r="A6" s="70" t="s">
        <v>378</v>
      </c>
      <c r="B6" s="95">
        <f ca="1">B4+B5</f>
        <v>8.7589041095890412</v>
      </c>
      <c r="C6" s="97"/>
      <c r="K6" s="107"/>
      <c r="L6" s="107"/>
      <c r="M6" s="254" t="s">
        <v>5</v>
      </c>
      <c r="N6" s="255" t="s">
        <v>148</v>
      </c>
      <c r="O6" s="256" t="s">
        <v>148</v>
      </c>
      <c r="P6" s="259" t="s">
        <v>144</v>
      </c>
      <c r="Q6" s="259" t="s">
        <v>149</v>
      </c>
      <c r="R6" s="259" t="s">
        <v>150</v>
      </c>
      <c r="S6" s="237" t="s">
        <v>263</v>
      </c>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263</v>
      </c>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 t="shared" ref="I8:I39" si="0">VLOOKUP(B8,$O$4:$W$64,8,0)</f>
        <v>Passed</v>
      </c>
      <c r="J8" s="182" t="str">
        <f t="shared" ref="J8:J39" si="1">VLOOKUP(B8,$O$4:$W$64,9,0)</f>
        <v>Y</v>
      </c>
      <c r="K8" s="107"/>
      <c r="L8" s="107"/>
      <c r="M8" s="254" t="s">
        <v>5</v>
      </c>
      <c r="N8" s="255" t="s">
        <v>678</v>
      </c>
      <c r="O8" s="257" t="s">
        <v>645</v>
      </c>
      <c r="P8" s="259" t="s">
        <v>144</v>
      </c>
      <c r="Q8" s="259" t="s">
        <v>152</v>
      </c>
      <c r="R8" s="259" t="s">
        <v>154</v>
      </c>
      <c r="S8" s="237"/>
      <c r="T8" s="107" t="s">
        <v>72</v>
      </c>
      <c r="U8" s="107"/>
      <c r="V8" s="107"/>
      <c r="W8" s="107"/>
      <c r="X8" s="107" t="s">
        <v>367</v>
      </c>
    </row>
    <row r="9" spans="1:24" ht="13.8"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I9" s="182" t="str">
        <f t="shared" si="0"/>
        <v>Passed</v>
      </c>
      <c r="J9" s="182" t="str">
        <f t="shared" si="1"/>
        <v>Y</v>
      </c>
      <c r="K9" s="107"/>
      <c r="L9" s="107"/>
      <c r="M9" s="254" t="s">
        <v>5</v>
      </c>
      <c r="N9" s="255" t="s">
        <v>678</v>
      </c>
      <c r="O9" s="257" t="s">
        <v>592</v>
      </c>
      <c r="P9" s="259" t="s">
        <v>144</v>
      </c>
      <c r="Q9" s="259" t="s">
        <v>153</v>
      </c>
      <c r="R9" s="259" t="s">
        <v>263</v>
      </c>
      <c r="S9" s="237" t="s">
        <v>263</v>
      </c>
      <c r="T9" s="107"/>
      <c r="U9" s="308"/>
      <c r="V9" s="107" t="s">
        <v>364</v>
      </c>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N</v>
      </c>
      <c r="K10" s="107"/>
      <c r="L10" s="107"/>
      <c r="M10" s="254" t="s">
        <v>5</v>
      </c>
      <c r="N10" s="255" t="s">
        <v>678</v>
      </c>
      <c r="O10" s="257" t="s">
        <v>593</v>
      </c>
      <c r="P10" s="259" t="s">
        <v>144</v>
      </c>
      <c r="Q10" s="259" t="s">
        <v>590</v>
      </c>
      <c r="R10" s="259" t="s">
        <v>274</v>
      </c>
      <c r="S10" s="237" t="s">
        <v>263</v>
      </c>
      <c r="T10" s="107"/>
      <c r="U10" s="308"/>
      <c r="V10" s="107"/>
      <c r="W10" s="107" t="s">
        <v>368</v>
      </c>
      <c r="X10" s="107" t="s">
        <v>368</v>
      </c>
    </row>
    <row r="11" spans="1:24" ht="13.8" x14ac:dyDescent="0.3">
      <c r="A11" s="213" t="s">
        <v>63</v>
      </c>
      <c r="B11" s="206" t="s">
        <v>234</v>
      </c>
      <c r="C11" s="240"/>
      <c r="D11" s="240"/>
      <c r="E11" s="240" t="s">
        <v>77</v>
      </c>
      <c r="F11" s="292"/>
      <c r="G11" s="292"/>
      <c r="H11" s="212">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263</v>
      </c>
      <c r="T13" s="107"/>
      <c r="U13" s="308">
        <v>44029</v>
      </c>
      <c r="V13" s="107" t="s">
        <v>364</v>
      </c>
      <c r="W13" s="107" t="s">
        <v>367</v>
      </c>
      <c r="X13" s="107" t="s">
        <v>367</v>
      </c>
    </row>
    <row r="14" spans="1:24" ht="13.8" x14ac:dyDescent="0.3">
      <c r="A14" s="213" t="s">
        <v>55</v>
      </c>
      <c r="B14" s="206" t="s">
        <v>617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N</v>
      </c>
      <c r="K15" s="107"/>
      <c r="L15" s="107"/>
      <c r="M15" s="254" t="s">
        <v>5</v>
      </c>
      <c r="N15" s="255" t="s">
        <v>54</v>
      </c>
      <c r="O15" s="257" t="s">
        <v>388</v>
      </c>
      <c r="P15" s="259"/>
      <c r="Q15" s="259" t="s">
        <v>215</v>
      </c>
      <c r="R15" s="259" t="s">
        <v>216</v>
      </c>
      <c r="S15" s="107" t="s">
        <v>263</v>
      </c>
      <c r="T15" s="107"/>
      <c r="U15" s="308"/>
      <c r="V15" s="107"/>
      <c r="W15" s="107"/>
      <c r="X15" s="107"/>
    </row>
    <row r="16" spans="1:24" ht="13.8" x14ac:dyDescent="0.3">
      <c r="A16" s="213" t="s">
        <v>55</v>
      </c>
      <c r="B16" s="206" t="s">
        <v>190</v>
      </c>
      <c r="C16" s="240"/>
      <c r="D16" s="240"/>
      <c r="E16" s="240"/>
      <c r="F16" s="240" t="s">
        <v>77</v>
      </c>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Y</v>
      </c>
      <c r="K16" s="107"/>
      <c r="L16" s="107"/>
      <c r="M16" s="254" t="s">
        <v>5</v>
      </c>
      <c r="N16" s="255" t="s">
        <v>41</v>
      </c>
      <c r="O16" s="257" t="s">
        <v>412</v>
      </c>
      <c r="P16" s="260"/>
      <c r="Q16" s="259" t="s">
        <v>371</v>
      </c>
      <c r="R16" s="259" t="s">
        <v>372</v>
      </c>
      <c r="S16" s="107" t="s">
        <v>263</v>
      </c>
      <c r="T16" s="107"/>
      <c r="U16" s="308"/>
      <c r="V16" s="107"/>
      <c r="W16" s="107"/>
      <c r="X16" s="107"/>
    </row>
    <row r="17" spans="1:24" ht="23.4" customHeight="1" x14ac:dyDescent="0.3">
      <c r="A17" s="213" t="s">
        <v>55</v>
      </c>
      <c r="B17" s="206" t="s">
        <v>192</v>
      </c>
      <c r="C17" s="240"/>
      <c r="D17" s="240"/>
      <c r="E17" s="240"/>
      <c r="F17" s="240" t="s">
        <v>77</v>
      </c>
      <c r="G17" s="240"/>
      <c r="H17" s="212">
        <f>IF(C17&lt;&gt;"",'CBL Score Standard'!$D75,IF(D17&lt;&gt;"",SUM('CBL Score Standard'!$D75:$E75),IF(E17&lt;&gt;"",SUM('CBL Score Standard'!$D75:$F75),IF(F17&lt;&gt;"",SUM('CBL Score Standard'!$D75:$G75),IF(G17&lt;&gt;"",SUM('CBL Score Standard'!$D75:$H75,0))))))</f>
        <v>0</v>
      </c>
      <c r="I17" s="182" t="str">
        <f t="shared" si="0"/>
        <v>Passed</v>
      </c>
      <c r="J17" s="182" t="str">
        <f t="shared" si="1"/>
        <v>Y</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t="s">
        <v>77</v>
      </c>
      <c r="G18" s="240"/>
      <c r="H18" s="212">
        <f>IF(C18&lt;&gt;"",'CBL Score Standard'!$D76,IF(D18&lt;&gt;"",SUM('CBL Score Standard'!$D76:$E76),IF(E18&lt;&gt;"",SUM('CBL Score Standard'!$D76:$F76),IF(F18&lt;&gt;"",SUM('CBL Score Standard'!$D76:$G76),IF(G18&lt;&gt;"",SUM('CBL Score Standard'!$D76:$H76,0))))))</f>
        <v>0</v>
      </c>
      <c r="I18" s="182" t="str">
        <f t="shared" si="0"/>
        <v>Passed</v>
      </c>
      <c r="J18" s="182" t="str">
        <f t="shared" si="1"/>
        <v>Y</v>
      </c>
      <c r="K18" s="107"/>
      <c r="L18" s="107"/>
      <c r="M18" s="254" t="s">
        <v>5</v>
      </c>
      <c r="N18" s="255" t="s">
        <v>46</v>
      </c>
      <c r="O18" s="252" t="s">
        <v>169</v>
      </c>
      <c r="P18" s="260"/>
      <c r="Q18" s="262" t="s">
        <v>170</v>
      </c>
      <c r="R18" s="262" t="s">
        <v>651</v>
      </c>
      <c r="S18" s="107" t="s">
        <v>263</v>
      </c>
      <c r="T18" s="107" t="s">
        <v>72</v>
      </c>
      <c r="U18" s="308"/>
      <c r="V18" s="107" t="s">
        <v>364</v>
      </c>
      <c r="W18" s="107" t="s">
        <v>367</v>
      </c>
      <c r="X18" s="107" t="s">
        <v>367</v>
      </c>
    </row>
    <row r="19" spans="1:24" x14ac:dyDescent="0.3">
      <c r="A19" s="213" t="s">
        <v>55</v>
      </c>
      <c r="B19" s="206" t="s">
        <v>196</v>
      </c>
      <c r="C19" s="240"/>
      <c r="D19" s="240"/>
      <c r="E19" s="240"/>
      <c r="F19" s="240" t="s">
        <v>77</v>
      </c>
      <c r="G19" s="240"/>
      <c r="H19" s="212">
        <f>IF(C19&lt;&gt;"",'CBL Score Standard'!$D77,IF(D19&lt;&gt;"",SUM('CBL Score Standard'!$D77:$E77),IF(E19&lt;&gt;"",SUM('CBL Score Standard'!$D77:$F77),IF(F19&lt;&gt;"",SUM('CBL Score Standard'!$D77:$G77),IF(G19&lt;&gt;"",SUM('CBL Score Standard'!$D77:$H77,0))))))</f>
        <v>0</v>
      </c>
      <c r="I19" s="182" t="str">
        <f t="shared" si="0"/>
        <v>Passed</v>
      </c>
      <c r="J19" s="182" t="str">
        <f t="shared" si="1"/>
        <v>Y</v>
      </c>
      <c r="K19" s="107" t="s">
        <v>141</v>
      </c>
      <c r="L19" s="107" t="s">
        <v>142</v>
      </c>
      <c r="M19" s="266" t="s">
        <v>6</v>
      </c>
      <c r="N19" s="267" t="s">
        <v>41</v>
      </c>
      <c r="O19" s="268" t="s">
        <v>176</v>
      </c>
      <c r="P19" s="272"/>
      <c r="Q19" s="269" t="s">
        <v>177</v>
      </c>
      <c r="R19" s="269" t="s">
        <v>344</v>
      </c>
      <c r="S19" s="302" t="s">
        <v>263</v>
      </c>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651</v>
      </c>
      <c r="S20" s="237" t="s">
        <v>263</v>
      </c>
      <c r="T20" s="107"/>
      <c r="U20" s="308"/>
      <c r="V20" s="107" t="s">
        <v>364</v>
      </c>
      <c r="W20" s="107" t="s">
        <v>367</v>
      </c>
      <c r="X20" s="107" t="s">
        <v>367</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t="s">
        <v>263</v>
      </c>
      <c r="T21" s="107"/>
      <c r="U21" s="308"/>
      <c r="V21" s="107" t="s">
        <v>364</v>
      </c>
      <c r="W21" s="107" t="s">
        <v>367</v>
      </c>
      <c r="X21" s="107" t="s">
        <v>367</v>
      </c>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N</v>
      </c>
      <c r="K22" s="107"/>
      <c r="L22" s="107"/>
      <c r="M22" s="266" t="s">
        <v>6</v>
      </c>
      <c r="N22" s="267" t="s">
        <v>678</v>
      </c>
      <c r="O22" s="270" t="s">
        <v>186</v>
      </c>
      <c r="P22" s="274">
        <v>44392</v>
      </c>
      <c r="Q22" s="269" t="s">
        <v>153</v>
      </c>
      <c r="R22" s="269" t="s">
        <v>263</v>
      </c>
      <c r="S22" s="237" t="s">
        <v>263</v>
      </c>
      <c r="T22" s="107"/>
      <c r="U22" s="308"/>
      <c r="V22" s="107" t="s">
        <v>364</v>
      </c>
      <c r="W22" s="107" t="s">
        <v>367</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N</v>
      </c>
      <c r="K23" s="107"/>
      <c r="L23" s="107"/>
      <c r="M23" s="266" t="s">
        <v>6</v>
      </c>
      <c r="N23" s="267" t="s">
        <v>678</v>
      </c>
      <c r="O23" s="252" t="s">
        <v>652</v>
      </c>
      <c r="P23" s="273">
        <v>44378</v>
      </c>
      <c r="Q23" s="269" t="s">
        <v>590</v>
      </c>
      <c r="R23" s="269" t="s">
        <v>274</v>
      </c>
      <c r="S23" s="237" t="s">
        <v>263</v>
      </c>
      <c r="T23" s="107"/>
      <c r="U23" s="308"/>
      <c r="V23" s="107"/>
      <c r="W23" s="107" t="s">
        <v>368</v>
      </c>
      <c r="X23" s="107" t="s">
        <v>368</v>
      </c>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678</v>
      </c>
      <c r="O24" s="270" t="s">
        <v>189</v>
      </c>
      <c r="P24" s="274"/>
      <c r="Q24" s="269" t="s">
        <v>225</v>
      </c>
      <c r="R24" s="269" t="s">
        <v>340</v>
      </c>
      <c r="S24" s="237" t="s">
        <v>263</v>
      </c>
      <c r="T24" s="107" t="s">
        <v>72</v>
      </c>
      <c r="U24" s="308"/>
      <c r="V24" s="107" t="s">
        <v>364</v>
      </c>
      <c r="W24" s="107" t="s">
        <v>367</v>
      </c>
      <c r="X24" s="107" t="s">
        <v>367</v>
      </c>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t="s">
        <v>263</v>
      </c>
      <c r="T26" s="107"/>
      <c r="U26" s="308"/>
      <c r="V26" s="107" t="s">
        <v>364</v>
      </c>
      <c r="W26" s="107" t="s">
        <v>367</v>
      </c>
      <c r="X26" s="107" t="s">
        <v>367</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t="s">
        <v>263</v>
      </c>
      <c r="T27" s="107"/>
      <c r="U27" s="308"/>
      <c r="V27" s="107" t="s">
        <v>364</v>
      </c>
      <c r="W27" s="107" t="s">
        <v>367</v>
      </c>
      <c r="X27" s="107" t="s">
        <v>367</v>
      </c>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t="s">
        <v>263</v>
      </c>
      <c r="T28" s="107"/>
      <c r="U28" s="308"/>
      <c r="V28" s="107" t="s">
        <v>364</v>
      </c>
      <c r="W28" s="107" t="s">
        <v>367</v>
      </c>
      <c r="X28" s="107" t="s">
        <v>367</v>
      </c>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196</v>
      </c>
      <c r="P29" s="272"/>
      <c r="Q29" s="269" t="s">
        <v>197</v>
      </c>
      <c r="R29" s="269" t="s">
        <v>256</v>
      </c>
      <c r="S29" s="237" t="s">
        <v>263</v>
      </c>
      <c r="T29" s="107"/>
      <c r="U29" s="308"/>
      <c r="V29" s="107" t="s">
        <v>364</v>
      </c>
      <c r="W29" s="107" t="s">
        <v>367</v>
      </c>
      <c r="X29" s="107" t="s">
        <v>367</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f t="shared" si="0"/>
        <v>0</v>
      </c>
      <c r="J30" s="182" t="str">
        <f t="shared" si="1"/>
        <v>N</v>
      </c>
      <c r="K30" s="107"/>
      <c r="L30" s="107"/>
      <c r="M30" s="266" t="s">
        <v>6</v>
      </c>
      <c r="N30" s="267" t="s">
        <v>55</v>
      </c>
      <c r="O30" s="270" t="s">
        <v>200</v>
      </c>
      <c r="P30" s="272"/>
      <c r="Q30" s="269" t="s">
        <v>374</v>
      </c>
      <c r="R30" s="269" t="s">
        <v>375</v>
      </c>
      <c r="S30" s="107" t="s">
        <v>263</v>
      </c>
      <c r="T30" s="107"/>
      <c r="U30" s="308"/>
      <c r="V30" s="107" t="s">
        <v>364</v>
      </c>
      <c r="W30" s="107" t="s">
        <v>367</v>
      </c>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t="str">
        <f t="shared" si="1"/>
        <v>N</v>
      </c>
      <c r="K32" s="107"/>
      <c r="L32" s="107"/>
      <c r="M32" s="266" t="s">
        <v>6</v>
      </c>
      <c r="N32" s="267" t="s">
        <v>56</v>
      </c>
      <c r="O32" s="270" t="s">
        <v>390</v>
      </c>
      <c r="P32" s="272"/>
      <c r="Q32" s="269" t="s">
        <v>165</v>
      </c>
      <c r="R32" s="269" t="s">
        <v>339</v>
      </c>
      <c r="S32" s="237" t="s">
        <v>263</v>
      </c>
      <c r="T32" s="107"/>
      <c r="U32" s="308"/>
      <c r="V32" s="107" t="s">
        <v>364</v>
      </c>
      <c r="W32" s="107" t="s">
        <v>367</v>
      </c>
      <c r="X32" s="107" t="s">
        <v>367</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t="s">
        <v>263</v>
      </c>
      <c r="T33" s="107" t="s">
        <v>73</v>
      </c>
      <c r="U33" s="308"/>
      <c r="V33" s="107"/>
      <c r="W33" s="107" t="s">
        <v>368</v>
      </c>
      <c r="X33" s="107" t="s">
        <v>368</v>
      </c>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t="s">
        <v>263</v>
      </c>
      <c r="T34" s="107" t="s">
        <v>73</v>
      </c>
      <c r="U34" s="308"/>
      <c r="V34" s="107"/>
      <c r="W34" s="107" t="s">
        <v>368</v>
      </c>
      <c r="X34" s="107" t="s">
        <v>368</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t="s">
        <v>141</v>
      </c>
      <c r="L35" s="107" t="s">
        <v>142</v>
      </c>
      <c r="M35" s="275" t="s">
        <v>7</v>
      </c>
      <c r="N35" s="276" t="s">
        <v>55</v>
      </c>
      <c r="O35" s="277" t="s">
        <v>183</v>
      </c>
      <c r="P35" s="283">
        <v>44266</v>
      </c>
      <c r="Q35" s="280" t="s">
        <v>218</v>
      </c>
      <c r="R35" s="280" t="s">
        <v>266</v>
      </c>
      <c r="S35" s="237" t="s">
        <v>263</v>
      </c>
      <c r="T35" s="107" t="s">
        <v>72</v>
      </c>
      <c r="U35" s="308">
        <v>43753</v>
      </c>
      <c r="V35" s="107" t="s">
        <v>364</v>
      </c>
      <c r="W35" s="107" t="s">
        <v>368</v>
      </c>
      <c r="X35" s="107" t="s">
        <v>368</v>
      </c>
    </row>
    <row r="36" spans="1:24" ht="13.8"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t="str">
        <f t="shared" si="0"/>
        <v>Passed</v>
      </c>
      <c r="J36" s="182" t="str">
        <f t="shared" si="1"/>
        <v>Y</v>
      </c>
      <c r="K36" s="107"/>
      <c r="L36" s="107"/>
      <c r="M36" s="275" t="s">
        <v>7</v>
      </c>
      <c r="N36" s="276" t="s">
        <v>56</v>
      </c>
      <c r="O36" s="277" t="s">
        <v>213</v>
      </c>
      <c r="P36" s="280"/>
      <c r="Q36" s="280" t="s">
        <v>162</v>
      </c>
      <c r="R36" s="280" t="s">
        <v>317</v>
      </c>
      <c r="S36" s="237" t="s">
        <v>263</v>
      </c>
      <c r="T36" s="107"/>
      <c r="U36" s="308">
        <v>43752</v>
      </c>
      <c r="V36" s="107" t="s">
        <v>364</v>
      </c>
      <c r="W36" s="107" t="s">
        <v>368</v>
      </c>
      <c r="X36" s="107" t="s">
        <v>368</v>
      </c>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t="s">
        <v>263</v>
      </c>
      <c r="T37" s="107" t="s">
        <v>72</v>
      </c>
      <c r="U37" s="308">
        <v>43766</v>
      </c>
      <c r="V37" s="107" t="s">
        <v>364</v>
      </c>
      <c r="W37" s="237" t="s">
        <v>368</v>
      </c>
      <c r="X37" s="107" t="s">
        <v>368</v>
      </c>
    </row>
    <row r="38" spans="1:24" ht="23.4" customHeight="1" x14ac:dyDescent="0.3">
      <c r="A38" s="213" t="s">
        <v>54</v>
      </c>
      <c r="B38" s="206"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410</v>
      </c>
      <c r="P38" s="280"/>
      <c r="Q38" s="282" t="s">
        <v>661</v>
      </c>
      <c r="R38" s="280" t="s">
        <v>662</v>
      </c>
      <c r="S38" s="237" t="s">
        <v>263</v>
      </c>
      <c r="T38" s="107" t="s">
        <v>72</v>
      </c>
      <c r="U38" s="308">
        <v>43753</v>
      </c>
      <c r="V38" s="107" t="s">
        <v>364</v>
      </c>
      <c r="W38" s="107" t="s">
        <v>368</v>
      </c>
      <c r="X38" s="107" t="s">
        <v>368</v>
      </c>
    </row>
    <row r="39" spans="1:24" ht="41.4"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f t="shared" si="0"/>
        <v>0</v>
      </c>
      <c r="J39" s="182" t="str">
        <f t="shared" si="1"/>
        <v>N</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ref="I40:I59" si="2">VLOOKUP(B40,$O$4:$W$64,8,0)</f>
        <v>0</v>
      </c>
      <c r="J40" s="182" t="str">
        <f t="shared" ref="J40:J59" si="3">VLOOKUP(B40,$O$4:$W$64,9,0)</f>
        <v>N</v>
      </c>
      <c r="K40" s="107"/>
      <c r="L40" s="107"/>
      <c r="M40" s="275" t="s">
        <v>7</v>
      </c>
      <c r="N40" s="276" t="s">
        <v>55</v>
      </c>
      <c r="O40" s="277" t="s">
        <v>657</v>
      </c>
      <c r="P40" s="283"/>
      <c r="Q40" s="280" t="s">
        <v>219</v>
      </c>
      <c r="R40" s="280" t="s">
        <v>256</v>
      </c>
      <c r="S40" s="237"/>
      <c r="T40" s="107" t="s">
        <v>73</v>
      </c>
      <c r="U40" s="107"/>
      <c r="V40" s="107"/>
      <c r="W40" s="107"/>
      <c r="X40" s="107"/>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I41" s="182">
        <f t="shared" si="2"/>
        <v>0</v>
      </c>
      <c r="J41" s="182" t="str">
        <f t="shared" si="3"/>
        <v>N</v>
      </c>
      <c r="K41" s="107"/>
      <c r="L41" s="107"/>
      <c r="M41" s="275" t="s">
        <v>7</v>
      </c>
      <c r="N41" s="276" t="s">
        <v>53</v>
      </c>
      <c r="O41" s="277" t="s">
        <v>221</v>
      </c>
      <c r="P41" s="283"/>
      <c r="Q41" s="280" t="s">
        <v>222</v>
      </c>
      <c r="R41" s="280" t="s">
        <v>344</v>
      </c>
      <c r="S41" s="237" t="s">
        <v>263</v>
      </c>
      <c r="T41" s="107"/>
      <c r="U41" s="308"/>
      <c r="V41" s="107"/>
      <c r="W41" s="107" t="s">
        <v>368</v>
      </c>
      <c r="X41" s="107" t="s">
        <v>368</v>
      </c>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f t="shared" si="2"/>
        <v>0</v>
      </c>
      <c r="J42" s="182" t="str">
        <f t="shared" si="3"/>
        <v>N</v>
      </c>
      <c r="K42" s="107"/>
      <c r="L42" s="107"/>
      <c r="M42" s="275" t="s">
        <v>7</v>
      </c>
      <c r="N42" s="276" t="s">
        <v>53</v>
      </c>
      <c r="O42" s="277" t="s">
        <v>224</v>
      </c>
      <c r="P42" s="283"/>
      <c r="Q42" s="280" t="s">
        <v>225</v>
      </c>
      <c r="R42" s="280" t="s">
        <v>340</v>
      </c>
      <c r="S42" s="237" t="s">
        <v>263</v>
      </c>
      <c r="T42" s="107"/>
      <c r="U42" s="308"/>
      <c r="V42" s="107"/>
      <c r="W42" s="107" t="s">
        <v>368</v>
      </c>
      <c r="X42" s="107" t="s">
        <v>368</v>
      </c>
    </row>
    <row r="43" spans="1:24" ht="13.8" x14ac:dyDescent="0.3">
      <c r="A43" s="213" t="s">
        <v>53</v>
      </c>
      <c r="B43" s="206" t="s">
        <v>224</v>
      </c>
      <c r="C43" s="240" t="s">
        <v>77</v>
      </c>
      <c r="D43" s="240"/>
      <c r="E43" s="240"/>
      <c r="F43" s="292"/>
      <c r="G43" s="292"/>
      <c r="H43" s="212">
        <f>IF(C43&lt;&gt;"",'CBL Score Standard'!$D101,IF(D43&lt;&gt;"",SUM('CBL Score Standard'!$D101:$E101),IF(E43&lt;&gt;"",SUM('CBL Score Standard'!$D101:$F101),IF(F43&lt;&gt;"",SUM('CBL Score Standard'!$D101:$G101),IF(G43&lt;&gt;"",SUM('CBL Score Standard'!$D101:$H101,0))))))</f>
        <v>0</v>
      </c>
      <c r="I43" s="182">
        <f t="shared" si="2"/>
        <v>0</v>
      </c>
      <c r="J43" s="182" t="str">
        <f t="shared" si="3"/>
        <v>N</v>
      </c>
      <c r="K43" s="107"/>
      <c r="L43" s="107"/>
      <c r="M43" s="275" t="s">
        <v>7</v>
      </c>
      <c r="N43" s="276" t="s">
        <v>658</v>
      </c>
      <c r="O43" s="278" t="s">
        <v>614</v>
      </c>
      <c r="P43" s="283"/>
      <c r="Q43" s="280" t="s">
        <v>152</v>
      </c>
      <c r="R43" s="280" t="s">
        <v>154</v>
      </c>
      <c r="S43" s="237" t="s">
        <v>263</v>
      </c>
      <c r="T43" s="107" t="s">
        <v>72</v>
      </c>
      <c r="U43" s="308">
        <v>43754</v>
      </c>
      <c r="V43" s="107" t="s">
        <v>364</v>
      </c>
      <c r="W43" s="107" t="s">
        <v>368</v>
      </c>
      <c r="X43" s="107" t="s">
        <v>368</v>
      </c>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263</v>
      </c>
      <c r="T44" s="107" t="s">
        <v>72</v>
      </c>
      <c r="U44" s="308">
        <v>44008</v>
      </c>
      <c r="V44" s="107"/>
      <c r="W44" s="107" t="s">
        <v>368</v>
      </c>
      <c r="X44" s="107" t="s">
        <v>368</v>
      </c>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f t="shared" si="2"/>
        <v>0</v>
      </c>
      <c r="J45" s="182">
        <f t="shared" si="3"/>
        <v>0</v>
      </c>
      <c r="K45" s="107"/>
      <c r="L45" s="107"/>
      <c r="M45" s="275" t="s">
        <v>7</v>
      </c>
      <c r="N45" s="276" t="s">
        <v>56</v>
      </c>
      <c r="O45" s="278" t="s">
        <v>659</v>
      </c>
      <c r="P45" s="283"/>
      <c r="Q45" s="280" t="s">
        <v>575</v>
      </c>
      <c r="R45" s="280" t="s">
        <v>265</v>
      </c>
      <c r="S45" s="237"/>
      <c r="T45" s="107" t="s">
        <v>72</v>
      </c>
      <c r="U45" s="107"/>
      <c r="V45" s="107"/>
      <c r="W45" s="107"/>
      <c r="X45" s="107"/>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2"/>
        <v>Passed</v>
      </c>
      <c r="J46" s="182" t="str">
        <f t="shared" si="3"/>
        <v>Y</v>
      </c>
      <c r="K46" s="107"/>
      <c r="L46" s="107"/>
      <c r="M46" s="275" t="s">
        <v>7</v>
      </c>
      <c r="N46" s="276" t="s">
        <v>55</v>
      </c>
      <c r="O46" s="278" t="s">
        <v>1</v>
      </c>
      <c r="P46" s="283"/>
      <c r="Q46" s="280" t="s">
        <v>577</v>
      </c>
      <c r="R46" s="280" t="s">
        <v>477</v>
      </c>
      <c r="S46" s="237" t="s">
        <v>263</v>
      </c>
      <c r="T46" s="107" t="s">
        <v>72</v>
      </c>
      <c r="U46" s="308">
        <v>43763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t="s">
        <v>263</v>
      </c>
      <c r="T47" s="107" t="s">
        <v>73</v>
      </c>
      <c r="U47" s="308"/>
      <c r="V47" s="107"/>
      <c r="W47" s="107" t="s">
        <v>368</v>
      </c>
      <c r="X47" s="107" t="s">
        <v>368</v>
      </c>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2"/>
        <v>Passed</v>
      </c>
      <c r="J48" s="182" t="str">
        <f t="shared" si="3"/>
        <v>Y</v>
      </c>
      <c r="K48" s="107"/>
      <c r="L48" s="107"/>
      <c r="M48" s="275" t="s">
        <v>7</v>
      </c>
      <c r="N48" s="276" t="s">
        <v>56</v>
      </c>
      <c r="O48" s="278" t="s">
        <v>385</v>
      </c>
      <c r="P48" s="280"/>
      <c r="Q48" s="280" t="s">
        <v>387</v>
      </c>
      <c r="R48" s="280" t="s">
        <v>386</v>
      </c>
      <c r="S48" s="237" t="s">
        <v>263</v>
      </c>
      <c r="T48" s="107" t="s">
        <v>72</v>
      </c>
      <c r="U48" s="308">
        <v>43763</v>
      </c>
      <c r="V48" s="107" t="s">
        <v>364</v>
      </c>
      <c r="W48" s="107" t="s">
        <v>368</v>
      </c>
      <c r="X48" s="107" t="s">
        <v>368</v>
      </c>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2"/>
        <v>Passed</v>
      </c>
      <c r="J49" s="182" t="str">
        <f t="shared" si="3"/>
        <v>Y</v>
      </c>
      <c r="K49" s="107"/>
      <c r="L49" s="107"/>
      <c r="M49" s="275" t="s">
        <v>7</v>
      </c>
      <c r="N49" s="276" t="s">
        <v>54</v>
      </c>
      <c r="O49" s="278" t="s">
        <v>229</v>
      </c>
      <c r="P49" s="283"/>
      <c r="Q49" s="280" t="s">
        <v>665</v>
      </c>
      <c r="R49" s="280" t="s">
        <v>574</v>
      </c>
      <c r="S49" s="107" t="s">
        <v>263</v>
      </c>
      <c r="T49" s="107"/>
      <c r="U49" s="308"/>
      <c r="V49" s="107"/>
      <c r="W49" s="107" t="s">
        <v>368</v>
      </c>
      <c r="X49" s="107" t="s">
        <v>368</v>
      </c>
    </row>
    <row r="50" spans="1:24" ht="13.8" x14ac:dyDescent="0.3">
      <c r="A50" s="213" t="s">
        <v>643</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2"/>
        <v>Passed</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f t="shared" si="2"/>
        <v>0</v>
      </c>
      <c r="J53" s="182" t="str">
        <f t="shared" si="3"/>
        <v>N</v>
      </c>
      <c r="K53" s="107" t="s">
        <v>141</v>
      </c>
      <c r="L53" s="107" t="s">
        <v>142</v>
      </c>
      <c r="M53" s="284" t="s">
        <v>8</v>
      </c>
      <c r="N53" s="285" t="s">
        <v>2</v>
      </c>
      <c r="O53" s="279" t="s">
        <v>232</v>
      </c>
      <c r="P53" s="286" t="s">
        <v>228</v>
      </c>
      <c r="Q53" s="286" t="s">
        <v>671</v>
      </c>
      <c r="R53" s="286"/>
      <c r="S53" s="237" t="s">
        <v>263</v>
      </c>
      <c r="T53" s="107"/>
      <c r="U53" s="107"/>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t="s">
        <v>263</v>
      </c>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I56" s="182" t="str">
        <f t="shared" si="2"/>
        <v>Passed</v>
      </c>
      <c r="J56" s="182" t="str">
        <f t="shared" si="3"/>
        <v>Y</v>
      </c>
      <c r="K56" s="107"/>
      <c r="L56" s="107"/>
      <c r="M56" s="284" t="s">
        <v>8</v>
      </c>
      <c r="N56" s="285" t="s">
        <v>55</v>
      </c>
      <c r="O56" s="279" t="s">
        <v>236</v>
      </c>
      <c r="P56" s="286" t="s">
        <v>228</v>
      </c>
      <c r="Q56" s="286" t="s">
        <v>673</v>
      </c>
      <c r="R56" s="286"/>
      <c r="S56" s="237" t="s">
        <v>263</v>
      </c>
      <c r="T56" s="107"/>
      <c r="U56" s="107"/>
      <c r="V56" s="107"/>
      <c r="W56" s="107"/>
      <c r="X56" s="107"/>
    </row>
    <row r="57" spans="1:24" ht="26.4" x14ac:dyDescent="0.3">
      <c r="A57" s="213" t="s">
        <v>643</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2"/>
        <v>Passed</v>
      </c>
      <c r="J57" s="182" t="str">
        <f t="shared" si="3"/>
        <v>Y</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f t="shared" si="2"/>
        <v>0</v>
      </c>
      <c r="J58" s="182" t="str">
        <f t="shared" si="3"/>
        <v>N</v>
      </c>
      <c r="K58" s="107"/>
      <c r="L58" s="107"/>
      <c r="M58" s="284" t="s">
        <v>8</v>
      </c>
      <c r="N58" s="285" t="s">
        <v>59</v>
      </c>
      <c r="O58" s="279" t="s">
        <v>237</v>
      </c>
      <c r="P58" s="286" t="s">
        <v>228</v>
      </c>
      <c r="Q58" s="286" t="s">
        <v>675</v>
      </c>
      <c r="R58" s="286"/>
      <c r="S58" s="107" t="s">
        <v>263</v>
      </c>
      <c r="T58" s="107"/>
      <c r="U58" s="307"/>
      <c r="V58" s="107"/>
      <c r="W58" s="107"/>
      <c r="X58" s="107"/>
    </row>
    <row r="59" spans="1:24" ht="26.4" x14ac:dyDescent="0.3">
      <c r="A59" s="213" t="s">
        <v>643</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2"/>
        <v>Passed</v>
      </c>
      <c r="J59" s="182" t="str">
        <f t="shared" si="3"/>
        <v>Y</v>
      </c>
      <c r="K59" s="107"/>
      <c r="L59" s="107"/>
      <c r="M59" s="284" t="s">
        <v>8</v>
      </c>
      <c r="N59" s="285" t="s">
        <v>55</v>
      </c>
      <c r="O59" s="279" t="s">
        <v>473</v>
      </c>
      <c r="P59" s="286" t="s">
        <v>228</v>
      </c>
      <c r="Q59" s="286" t="s">
        <v>672</v>
      </c>
      <c r="R59" s="286"/>
      <c r="S59" s="107" t="s">
        <v>263</v>
      </c>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t="str">
        <f t="shared" ref="J60:J65" si="5">VLOOKUP(B61,$O$4:$W$64,9,0)</f>
        <v>N</v>
      </c>
      <c r="K60" s="107"/>
      <c r="L60" s="107"/>
      <c r="M60" s="284" t="s">
        <v>8</v>
      </c>
      <c r="N60" s="285" t="s">
        <v>148</v>
      </c>
      <c r="O60" s="279" t="s">
        <v>360</v>
      </c>
      <c r="P60" s="286" t="s">
        <v>228</v>
      </c>
      <c r="Q60" s="286" t="s">
        <v>676</v>
      </c>
      <c r="R60" s="286" t="s">
        <v>216</v>
      </c>
      <c r="S60" s="107" t="s">
        <v>263</v>
      </c>
      <c r="T60" s="107"/>
      <c r="U60" s="107"/>
      <c r="V60" s="107"/>
      <c r="W60" s="107" t="s">
        <v>368</v>
      </c>
      <c r="X60" s="107" t="s">
        <v>368</v>
      </c>
    </row>
    <row r="61" spans="1:24" ht="13.8" x14ac:dyDescent="0.25">
      <c r="A61" s="150" t="s">
        <v>56</v>
      </c>
      <c r="B61" s="206" t="s">
        <v>383</v>
      </c>
      <c r="C61" s="240"/>
      <c r="D61" s="240"/>
      <c r="E61" s="292" t="s">
        <v>77</v>
      </c>
      <c r="F61" s="292"/>
      <c r="G61" s="292"/>
      <c r="H61" s="212">
        <f>IF(C61&lt;&gt;"",'CBL Score Standard'!$D118,IF(D61&lt;&gt;"",SUM('CBL Score Standard'!$D118:$E118),IF(E61&lt;&gt;"",SUM('CBL Score Standard'!$D118:$F118),IF(F61&lt;&gt;"",SUM('CBL Score Standard'!$D118:$G118),IF(G61&lt;&gt;"",SUM('CBL Score Standard'!$D118:$H118,0))))))</f>
        <v>2.8571428571428571E-2</v>
      </c>
      <c r="I61" s="182" t="str">
        <f t="shared" si="4"/>
        <v>Passed</v>
      </c>
      <c r="J61" s="182" t="str">
        <f t="shared" si="5"/>
        <v>N</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t="s">
        <v>77</v>
      </c>
      <c r="G62" s="292"/>
      <c r="H62" s="212">
        <f>IF(C62&lt;&gt;"",'CBL Score Standard'!$D119,IF(D62&lt;&gt;"",SUM('CBL Score Standard'!$D119:$E119),IF(E62&lt;&gt;"",SUM('CBL Score Standard'!$D119:$F119),IF(F62&lt;&gt;"",SUM('CBL Score Standard'!$D119:$G119),IF(G62&lt;&gt;"",SUM('CBL Score Standard'!$D119:$H119,0))))))</f>
        <v>3.5338345864661655E-2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t="s">
        <v>77</v>
      </c>
      <c r="G65" s="292"/>
      <c r="H65" s="212">
        <f>IF(C65&lt;&gt;"",'CBL Score Standard'!$D122,IF(D65&lt;&gt;"",SUM('CBL Score Standard'!$D122:$E122),IF(E65&lt;&gt;"",SUM('CBL Score Standard'!$D122:$F122),IF(F65&lt;&gt;"",SUM('CBL Score Standard'!$D122:$G122),IF(G65&lt;&gt;"",SUM('CBL Score Standard'!$D122:$H122,0))))))</f>
        <v>4.9624060150375938E-2</v>
      </c>
      <c r="I65" s="182" t="str">
        <f t="shared" si="4"/>
        <v>Passed</v>
      </c>
      <c r="J65" s="182">
        <f t="shared" si="5"/>
        <v>0</v>
      </c>
      <c r="K65" s="205"/>
      <c r="L65" s="205"/>
      <c r="M65" s="205"/>
      <c r="N65" s="306"/>
      <c r="O65" s="205"/>
      <c r="P65" s="205"/>
      <c r="Q65" s="205"/>
      <c r="R65" s="205"/>
    </row>
    <row r="66" spans="1:18" ht="15" thickBot="1" x14ac:dyDescent="0.35">
      <c r="A66" s="214" t="s">
        <v>55</v>
      </c>
      <c r="B66" s="206" t="s">
        <v>1</v>
      </c>
      <c r="C66" s="240"/>
      <c r="D66" s="240"/>
      <c r="E66" s="292"/>
      <c r="F66" s="292" t="s">
        <v>77</v>
      </c>
      <c r="G66" s="292"/>
      <c r="H66" s="212">
        <f>IF(C66&lt;&gt;"",'CBL Score Standard'!$D123,IF(D66&lt;&gt;"",SUM('CBL Score Standard'!$D123:$E123),IF(E66&lt;&gt;"",SUM('CBL Score Standard'!$D123:$F123),IF(F66&lt;&gt;"",SUM('CBL Score Standard'!$D123:$G123),IF(G66&lt;&gt;"",SUM('CBL Score Standard'!$D123:$H123,0))))))</f>
        <v>4.9624060150375938E-2</v>
      </c>
      <c r="K66" s="205"/>
      <c r="L66" s="205"/>
      <c r="M66" s="205"/>
      <c r="N66" s="306"/>
      <c r="O66" s="205"/>
      <c r="P66" s="205"/>
      <c r="Q66" s="205"/>
      <c r="R66" s="205"/>
    </row>
    <row r="67" spans="1:18" ht="15" thickBot="1" x14ac:dyDescent="0.35">
      <c r="A67" s="362" t="s">
        <v>79</v>
      </c>
      <c r="B67" s="363"/>
      <c r="C67" s="364"/>
      <c r="D67" s="364"/>
      <c r="E67" s="364"/>
      <c r="F67" s="364"/>
      <c r="G67" s="364"/>
      <c r="H67" s="183">
        <f>SUM(H8:H64)</f>
        <v>3.1528485848768266</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autoFilter ref="A3:J70"/>
  <customSheetViews>
    <customSheetView guid="{6D9FC8F7-6352-4BF1-890A-27BF36FADC03}" scale="70" showGridLines="0" showAutoFilter="1" topLeftCell="A52">
      <selection activeCell="A7" sqref="A7:H68"/>
      <pageMargins left="0.7" right="0.7" top="0.75" bottom="0.75" header="0.3" footer="0.3"/>
      <pageSetup orientation="portrait" r:id="rId1"/>
      <autoFilter ref="A3:J70"/>
    </customSheetView>
    <customSheetView guid="{040B64FF-F135-4C7F-9498-A8399C10673D}" scale="70" showGridLines="0" showAutoFilter="1" topLeftCell="A52">
      <selection activeCell="A7" sqref="A7:H68"/>
      <pageMargins left="0.7" right="0.7" top="0.75" bottom="0.75" header="0.3" footer="0.3"/>
      <pageSetup orientation="portrait" r:id="rId2"/>
      <autoFilter ref="A3:J70"/>
    </customSheetView>
    <customSheetView guid="{3BEDB203-29A8-4A82-B140-5CE8D0753F8B}" scale="70" showGridLines="0" showAutoFilter="1" topLeftCell="A52">
      <selection activeCell="A7" sqref="A7:H68"/>
      <pageMargins left="0.7" right="0.7" top="0.75" bottom="0.75" header="0.3" footer="0.3"/>
      <pageSetup orientation="portrait" r:id="rId3"/>
      <autoFilter ref="A3:J70"/>
    </customSheetView>
  </customSheetViews>
  <mergeCells count="6">
    <mergeCell ref="M2:M3"/>
    <mergeCell ref="N2:N3"/>
    <mergeCell ref="A69:G69"/>
    <mergeCell ref="S2:S3"/>
    <mergeCell ref="A1:H1"/>
    <mergeCell ref="A67:G67"/>
  </mergeCells>
  <conditionalFormatting sqref="C7:D7 F7:H7">
    <cfRule type="containsText" dxfId="345" priority="31" operator="containsText" text="N/A">
      <formula>NOT(ISERROR(SEARCH("N/A",C7)))</formula>
    </cfRule>
    <cfRule type="containsText" dxfId="344" priority="32" operator="containsText" text="Blank">
      <formula>NOT(ISERROR(SEARCH("Blank",C7)))</formula>
    </cfRule>
    <cfRule type="containsText" dxfId="343" priority="33" operator="containsText" text="M">
      <formula>NOT(ISERROR(SEARCH("M",C7)))</formula>
    </cfRule>
  </conditionalFormatting>
  <conditionalFormatting sqref="B67:B69 B7">
    <cfRule type="duplicateValues" dxfId="342" priority="30"/>
  </conditionalFormatting>
  <conditionalFormatting sqref="B30">
    <cfRule type="duplicateValues" dxfId="341" priority="13"/>
  </conditionalFormatting>
  <conditionalFormatting sqref="B55">
    <cfRule type="duplicateValues" dxfId="340" priority="12"/>
  </conditionalFormatting>
  <conditionalFormatting sqref="B13">
    <cfRule type="duplicateValues" dxfId="339" priority="11"/>
  </conditionalFormatting>
  <conditionalFormatting sqref="B56:B66 B31:B54 B8:B12 B14:B28">
    <cfRule type="duplicateValues" dxfId="338" priority="14"/>
  </conditionalFormatting>
  <conditionalFormatting sqref="B29">
    <cfRule type="duplicateValues" dxfId="337" priority="15"/>
  </conditionalFormatting>
  <conditionalFormatting sqref="O25">
    <cfRule type="duplicateValues" dxfId="336" priority="1"/>
  </conditionalFormatting>
  <conditionalFormatting sqref="O4:O9 O12:O18">
    <cfRule type="duplicateValues" dxfId="335" priority="10"/>
  </conditionalFormatting>
  <conditionalFormatting sqref="O10">
    <cfRule type="duplicateValues" dxfId="334" priority="9"/>
  </conditionalFormatting>
  <conditionalFormatting sqref="O11">
    <cfRule type="duplicateValues" dxfId="333" priority="8"/>
  </conditionalFormatting>
  <conditionalFormatting sqref="O19:O24 O32:O34 O26:O30">
    <cfRule type="duplicateValues" dxfId="332" priority="7"/>
  </conditionalFormatting>
  <conditionalFormatting sqref="O36:O52">
    <cfRule type="duplicateValues" dxfId="331" priority="6"/>
  </conditionalFormatting>
  <conditionalFormatting sqref="O35">
    <cfRule type="duplicateValues" dxfId="330" priority="5"/>
  </conditionalFormatting>
  <conditionalFormatting sqref="O53:O60">
    <cfRule type="duplicateValues" dxfId="329" priority="4"/>
  </conditionalFormatting>
  <conditionalFormatting sqref="O61:O64">
    <cfRule type="duplicateValues" dxfId="328" priority="3"/>
  </conditionalFormatting>
  <conditionalFormatting sqref="O31">
    <cfRule type="duplicateValues" dxfId="327" priority="2"/>
  </conditionalFormatting>
  <dataValidations count="5">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69:X1048576 V61:V64 T2:T18 U3:X3 T20:T64">
      <formula1>"M, O, N/A"</formula1>
    </dataValidation>
    <dataValidation type="list" allowBlank="1" showInputMessage="1" showErrorMessage="1" sqref="W4:X64">
      <formula1>"Y,N"</formula1>
    </dataValidation>
    <dataValidation type="list" allowBlank="1" showInputMessage="1" showErrorMessage="1" sqref="V4:V60">
      <formula1>"Passed, Failed"</formula1>
    </dataValidation>
  </dataValidations>
  <pageMargins left="0.7" right="0.7" top="0.75" bottom="0.75" header="0.3" footer="0.3"/>
  <pageSetup orientation="portrait" r:id="rId4"/>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rgb="FF00B050"/>
  </sheetPr>
  <dimension ref="A1:X197"/>
  <sheetViews>
    <sheetView showGridLines="0" topLeftCell="J43" zoomScale="70" zoomScaleNormal="70" workbookViewId="0">
      <selection activeCell="T4" sqref="T4:X6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12.75" customHeight="1" x14ac:dyDescent="0.3">
      <c r="A2" s="70" t="s">
        <v>357</v>
      </c>
      <c r="B2" s="58" t="s">
        <v>330</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43206</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2.8109589041095893</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5.416666666666667</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8.2276255707762562</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 t="shared" ref="I8:I39" si="0">VLOOKUP(B8,$O$4:$W$64,8,0)</f>
        <v>Passed</v>
      </c>
      <c r="J8" s="182" t="str">
        <f t="shared" ref="J8:J39" si="1">VLOOKUP(B8,$O$4:$W$64,9,0)</f>
        <v>Y</v>
      </c>
      <c r="K8" s="107"/>
      <c r="L8" s="107"/>
      <c r="M8" s="254" t="s">
        <v>5</v>
      </c>
      <c r="N8" s="255" t="s">
        <v>678</v>
      </c>
      <c r="O8" s="257" t="s">
        <v>645</v>
      </c>
      <c r="P8" s="259" t="s">
        <v>144</v>
      </c>
      <c r="Q8" s="259" t="s">
        <v>152</v>
      </c>
      <c r="R8" s="259" t="s">
        <v>154</v>
      </c>
      <c r="S8" s="237"/>
      <c r="T8" s="107" t="s">
        <v>72</v>
      </c>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si="0"/>
        <v>Passed</v>
      </c>
      <c r="J9" s="182" t="str">
        <f t="shared" si="1"/>
        <v>N</v>
      </c>
      <c r="K9" s="107"/>
      <c r="L9" s="107"/>
      <c r="M9" s="254" t="s">
        <v>5</v>
      </c>
      <c r="N9" s="255" t="s">
        <v>678</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t="str">
        <f t="shared" si="1"/>
        <v>N</v>
      </c>
      <c r="K10" s="107"/>
      <c r="L10" s="107"/>
      <c r="M10" s="254" t="s">
        <v>5</v>
      </c>
      <c r="N10" s="255" t="s">
        <v>678</v>
      </c>
      <c r="O10" s="257" t="s">
        <v>593</v>
      </c>
      <c r="P10" s="259" t="s">
        <v>144</v>
      </c>
      <c r="Q10" s="259" t="s">
        <v>590</v>
      </c>
      <c r="R10" s="259" t="s">
        <v>274</v>
      </c>
      <c r="S10" s="237"/>
      <c r="T10" s="107"/>
      <c r="U10" s="308"/>
      <c r="V10" s="107" t="s">
        <v>364</v>
      </c>
      <c r="W10" s="107" t="s">
        <v>367</v>
      </c>
      <c r="X10" s="107" t="s">
        <v>367</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8" x14ac:dyDescent="0.3">
      <c r="A14" s="213" t="s">
        <v>55</v>
      </c>
      <c r="B14" s="206" t="s">
        <v>617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t="s">
        <v>368</v>
      </c>
      <c r="X15" s="107" t="s">
        <v>367</v>
      </c>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Y</v>
      </c>
      <c r="K16" s="107"/>
      <c r="L16" s="107"/>
      <c r="M16" s="254" t="s">
        <v>5</v>
      </c>
      <c r="N16" s="255" t="s">
        <v>41</v>
      </c>
      <c r="O16" s="257" t="s">
        <v>412</v>
      </c>
      <c r="P16" s="260"/>
      <c r="Q16" s="259" t="s">
        <v>371</v>
      </c>
      <c r="R16" s="259" t="s">
        <v>372</v>
      </c>
      <c r="S16" s="107"/>
      <c r="T16" s="107"/>
      <c r="U16" s="308"/>
      <c r="V16" s="107"/>
      <c r="W16" s="107" t="s">
        <v>368</v>
      </c>
      <c r="X16" s="107" t="s">
        <v>368</v>
      </c>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651</v>
      </c>
      <c r="S18" s="107" t="s">
        <v>330</v>
      </c>
      <c r="T18" s="107" t="s">
        <v>72</v>
      </c>
      <c r="U18" s="308">
        <v>43755</v>
      </c>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t="s">
        <v>330</v>
      </c>
      <c r="T19" s="296" t="s">
        <v>72</v>
      </c>
      <c r="U19" s="309">
        <v>43759</v>
      </c>
      <c r="V19" s="296" t="s">
        <v>364</v>
      </c>
      <c r="W19" s="296" t="s">
        <v>367</v>
      </c>
      <c r="X19" s="296" t="s">
        <v>367</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t="str">
        <f t="shared" si="1"/>
        <v>N</v>
      </c>
      <c r="K20" s="107"/>
      <c r="L20" s="107"/>
      <c r="M20" s="266" t="s">
        <v>6</v>
      </c>
      <c r="N20" s="267" t="s">
        <v>56</v>
      </c>
      <c r="O20" s="270" t="s">
        <v>180</v>
      </c>
      <c r="P20" s="272"/>
      <c r="Q20" s="269" t="s">
        <v>170</v>
      </c>
      <c r="R20" s="269" t="s">
        <v>651</v>
      </c>
      <c r="S20" s="237" t="s">
        <v>330</v>
      </c>
      <c r="T20" s="107" t="s">
        <v>72</v>
      </c>
      <c r="U20" s="308">
        <v>43609</v>
      </c>
      <c r="V20" s="107" t="s">
        <v>364</v>
      </c>
      <c r="W20" s="107" t="s">
        <v>367</v>
      </c>
      <c r="X20" s="107" t="s">
        <v>368</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c r="U21" s="308"/>
      <c r="V21" s="107" t="s">
        <v>364</v>
      </c>
      <c r="W21" s="107" t="s">
        <v>367</v>
      </c>
      <c r="X21" s="107" t="s">
        <v>367</v>
      </c>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t="str">
        <f t="shared" si="1"/>
        <v>Y</v>
      </c>
      <c r="K22" s="107"/>
      <c r="L22" s="107"/>
      <c r="M22" s="266" t="s">
        <v>6</v>
      </c>
      <c r="N22" s="267" t="s">
        <v>678</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t="str">
        <f t="shared" si="1"/>
        <v>Y</v>
      </c>
      <c r="K23" s="107"/>
      <c r="L23" s="107"/>
      <c r="M23" s="266" t="s">
        <v>6</v>
      </c>
      <c r="N23" s="267" t="s">
        <v>678</v>
      </c>
      <c r="O23" s="252" t="s">
        <v>652</v>
      </c>
      <c r="P23" s="273">
        <v>44378</v>
      </c>
      <c r="Q23" s="269" t="s">
        <v>590</v>
      </c>
      <c r="R23" s="269" t="s">
        <v>274</v>
      </c>
      <c r="S23" s="237"/>
      <c r="T23" s="107"/>
      <c r="U23" s="308"/>
      <c r="V23" s="107" t="s">
        <v>364</v>
      </c>
      <c r="W23" s="107" t="s">
        <v>367</v>
      </c>
      <c r="X23" s="107" t="s">
        <v>367</v>
      </c>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678</v>
      </c>
      <c r="O24" s="270" t="s">
        <v>189</v>
      </c>
      <c r="P24" s="274"/>
      <c r="Q24" s="269" t="s">
        <v>225</v>
      </c>
      <c r="R24" s="269" t="s">
        <v>340</v>
      </c>
      <c r="S24" s="237"/>
      <c r="T24" s="107"/>
      <c r="U24" s="308"/>
      <c r="V24" s="107" t="s">
        <v>364</v>
      </c>
      <c r="W24" s="107" t="s">
        <v>367</v>
      </c>
      <c r="X24" s="107" t="s">
        <v>367</v>
      </c>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t="s">
        <v>77</v>
      </c>
      <c r="F26" s="292"/>
      <c r="G26" s="292"/>
      <c r="H26" s="212">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c r="U26" s="308">
        <v>43608</v>
      </c>
      <c r="V26" s="107" t="s">
        <v>364</v>
      </c>
      <c r="W26" s="107" t="s">
        <v>367</v>
      </c>
      <c r="X26" s="107" t="s">
        <v>367</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t="s">
        <v>368</v>
      </c>
      <c r="X27" s="107" t="s">
        <v>368</v>
      </c>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t="s">
        <v>368</v>
      </c>
      <c r="X28" s="107" t="s">
        <v>368</v>
      </c>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t="str">
        <f t="shared" si="1"/>
        <v>N</v>
      </c>
      <c r="K29" s="107"/>
      <c r="L29" s="107"/>
      <c r="M29" s="266" t="s">
        <v>6</v>
      </c>
      <c r="N29" s="267" t="s">
        <v>55</v>
      </c>
      <c r="O29" s="270" t="s">
        <v>196</v>
      </c>
      <c r="P29" s="272"/>
      <c r="Q29" s="269" t="s">
        <v>197</v>
      </c>
      <c r="R29" s="269" t="s">
        <v>256</v>
      </c>
      <c r="S29" s="237"/>
      <c r="T29" s="107"/>
      <c r="U29" s="308"/>
      <c r="V29" s="107"/>
      <c r="W29" s="107" t="s">
        <v>368</v>
      </c>
      <c r="X29" s="107" t="s">
        <v>368</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t="str">
        <f t="shared" si="1"/>
        <v>N</v>
      </c>
      <c r="K30" s="107"/>
      <c r="L30" s="107"/>
      <c r="M30" s="266" t="s">
        <v>6</v>
      </c>
      <c r="N30" s="267" t="s">
        <v>55</v>
      </c>
      <c r="O30" s="270" t="s">
        <v>200</v>
      </c>
      <c r="P30" s="272"/>
      <c r="Q30" s="269" t="s">
        <v>374</v>
      </c>
      <c r="R30" s="269" t="s">
        <v>375</v>
      </c>
      <c r="S30" s="107"/>
      <c r="T30" s="107"/>
      <c r="U30" s="308"/>
      <c r="V30" s="107"/>
      <c r="W30" s="107" t="s">
        <v>368</v>
      </c>
      <c r="X30" s="107" t="s">
        <v>368</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t="str">
        <f t="shared" si="1"/>
        <v>Y</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t="str">
        <f t="shared" si="1"/>
        <v>N</v>
      </c>
      <c r="K32" s="107"/>
      <c r="L32" s="107"/>
      <c r="M32" s="266" t="s">
        <v>6</v>
      </c>
      <c r="N32" s="267" t="s">
        <v>56</v>
      </c>
      <c r="O32" s="270" t="s">
        <v>390</v>
      </c>
      <c r="P32" s="272"/>
      <c r="Q32" s="269" t="s">
        <v>165</v>
      </c>
      <c r="R32" s="269" t="s">
        <v>339</v>
      </c>
      <c r="S32" s="237" t="s">
        <v>330</v>
      </c>
      <c r="T32" s="107" t="s">
        <v>72</v>
      </c>
      <c r="U32" s="308"/>
      <c r="V32" s="107" t="s">
        <v>364</v>
      </c>
      <c r="W32" s="107" t="s">
        <v>368</v>
      </c>
      <c r="X32" s="107" t="s">
        <v>368</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t="s">
        <v>330</v>
      </c>
      <c r="T33" s="107" t="s">
        <v>73</v>
      </c>
      <c r="U33" s="308"/>
      <c r="V33" s="107"/>
      <c r="W33" s="107" t="s">
        <v>367</v>
      </c>
      <c r="X33" s="107" t="s">
        <v>367</v>
      </c>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t="s">
        <v>330</v>
      </c>
      <c r="T34" s="107" t="s">
        <v>72</v>
      </c>
      <c r="U34" s="308">
        <v>43756</v>
      </c>
      <c r="V34" s="107" t="s">
        <v>364</v>
      </c>
      <c r="W34" s="107" t="s">
        <v>368</v>
      </c>
      <c r="X34" s="107" t="s">
        <v>367</v>
      </c>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t="str">
        <f t="shared" si="1"/>
        <v>Y</v>
      </c>
      <c r="K35" s="107" t="s">
        <v>141</v>
      </c>
      <c r="L35" s="107" t="s">
        <v>142</v>
      </c>
      <c r="M35" s="275" t="s">
        <v>7</v>
      </c>
      <c r="N35" s="276" t="s">
        <v>55</v>
      </c>
      <c r="O35" s="277" t="s">
        <v>183</v>
      </c>
      <c r="P35" s="283">
        <v>44266</v>
      </c>
      <c r="Q35" s="280" t="s">
        <v>218</v>
      </c>
      <c r="R35" s="280" t="s">
        <v>266</v>
      </c>
      <c r="S35" s="237"/>
      <c r="T35" s="107"/>
      <c r="U35" s="308"/>
      <c r="V35" s="107" t="s">
        <v>364</v>
      </c>
      <c r="W35" s="107" t="s">
        <v>367</v>
      </c>
      <c r="X35" s="107" t="s">
        <v>367</v>
      </c>
    </row>
    <row r="36" spans="1:24" ht="13.8"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t="str">
        <f t="shared" si="1"/>
        <v>Y</v>
      </c>
      <c r="K36" s="107"/>
      <c r="L36" s="107"/>
      <c r="M36" s="275" t="s">
        <v>7</v>
      </c>
      <c r="N36" s="276" t="s">
        <v>56</v>
      </c>
      <c r="O36" s="277" t="s">
        <v>213</v>
      </c>
      <c r="P36" s="280"/>
      <c r="Q36" s="280" t="s">
        <v>162</v>
      </c>
      <c r="R36" s="280" t="s">
        <v>317</v>
      </c>
      <c r="S36" s="237" t="s">
        <v>330</v>
      </c>
      <c r="T36" s="107" t="s">
        <v>72</v>
      </c>
      <c r="U36" s="308">
        <v>43752</v>
      </c>
      <c r="V36" s="107" t="s">
        <v>364</v>
      </c>
      <c r="W36" s="107" t="s">
        <v>368</v>
      </c>
      <c r="X36" s="107" t="s">
        <v>368</v>
      </c>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t="s">
        <v>330</v>
      </c>
      <c r="T37" s="107" t="s">
        <v>72</v>
      </c>
      <c r="U37" s="308">
        <v>43753</v>
      </c>
      <c r="V37" s="107" t="s">
        <v>364</v>
      </c>
      <c r="W37" s="237" t="s">
        <v>367</v>
      </c>
      <c r="X37" s="107" t="s">
        <v>368</v>
      </c>
    </row>
    <row r="38" spans="1:24" ht="27.6" x14ac:dyDescent="0.3">
      <c r="A38" s="213" t="s">
        <v>54</v>
      </c>
      <c r="B38" s="206" t="s">
        <v>388</v>
      </c>
      <c r="C38" s="292"/>
      <c r="D38" s="292" t="s">
        <v>336</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t="str">
        <f t="shared" si="1"/>
        <v>N</v>
      </c>
      <c r="K38" s="107"/>
      <c r="L38" s="107"/>
      <c r="M38" s="275" t="s">
        <v>7</v>
      </c>
      <c r="N38" s="276" t="s">
        <v>55</v>
      </c>
      <c r="O38" s="277" t="s">
        <v>410</v>
      </c>
      <c r="P38" s="280"/>
      <c r="Q38" s="282" t="s">
        <v>661</v>
      </c>
      <c r="R38" s="280" t="s">
        <v>662</v>
      </c>
      <c r="S38" s="237" t="s">
        <v>330</v>
      </c>
      <c r="T38" s="107" t="s">
        <v>72</v>
      </c>
      <c r="U38" s="308">
        <v>43753</v>
      </c>
      <c r="V38" s="107" t="s">
        <v>364</v>
      </c>
      <c r="W38" s="107" t="s">
        <v>367</v>
      </c>
      <c r="X38" s="107" t="s">
        <v>367</v>
      </c>
    </row>
    <row r="39" spans="1:24" ht="41.4"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t="str">
        <f t="shared" si="1"/>
        <v>N</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t="str">
        <f t="shared" ref="I40:I59" si="2">VLOOKUP(B40,$O$4:$W$64,8,0)</f>
        <v>Passed</v>
      </c>
      <c r="J40" s="182" t="str">
        <f t="shared" ref="J40:J59" si="3">VLOOKUP(B40,$O$4:$W$64,9,0)</f>
        <v>N</v>
      </c>
      <c r="K40" s="107"/>
      <c r="L40" s="107"/>
      <c r="M40" s="275" t="s">
        <v>7</v>
      </c>
      <c r="N40" s="276" t="s">
        <v>55</v>
      </c>
      <c r="O40" s="277" t="s">
        <v>657</v>
      </c>
      <c r="P40" s="283"/>
      <c r="Q40" s="280" t="s">
        <v>219</v>
      </c>
      <c r="R40" s="280" t="s">
        <v>256</v>
      </c>
      <c r="S40" s="237"/>
      <c r="T40" s="107" t="s">
        <v>73</v>
      </c>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t="str">
        <f t="shared" si="3"/>
        <v>Y</v>
      </c>
      <c r="K41" s="107"/>
      <c r="L41" s="107"/>
      <c r="M41" s="275" t="s">
        <v>7</v>
      </c>
      <c r="N41" s="276" t="s">
        <v>53</v>
      </c>
      <c r="O41" s="277" t="s">
        <v>221</v>
      </c>
      <c r="P41" s="283"/>
      <c r="Q41" s="280" t="s">
        <v>222</v>
      </c>
      <c r="R41" s="280" t="s">
        <v>344</v>
      </c>
      <c r="S41" s="237" t="s">
        <v>330</v>
      </c>
      <c r="T41" s="107"/>
      <c r="U41" s="308">
        <v>43621</v>
      </c>
      <c r="V41" s="107" t="s">
        <v>364</v>
      </c>
      <c r="W41" s="107" t="s">
        <v>368</v>
      </c>
      <c r="X41" s="107" t="s">
        <v>368</v>
      </c>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2"/>
        <v>Passed</v>
      </c>
      <c r="J42" s="182" t="str">
        <f t="shared" si="3"/>
        <v>N</v>
      </c>
      <c r="K42" s="107"/>
      <c r="L42" s="107"/>
      <c r="M42" s="275" t="s">
        <v>7</v>
      </c>
      <c r="N42" s="276" t="s">
        <v>53</v>
      </c>
      <c r="O42" s="277" t="s">
        <v>224</v>
      </c>
      <c r="P42" s="283"/>
      <c r="Q42" s="280" t="s">
        <v>225</v>
      </c>
      <c r="R42" s="280" t="s">
        <v>340</v>
      </c>
      <c r="S42" s="237"/>
      <c r="T42" s="107"/>
      <c r="U42" s="308"/>
      <c r="V42" s="107"/>
      <c r="W42" s="107" t="s">
        <v>368</v>
      </c>
      <c r="X42" s="107" t="s">
        <v>368</v>
      </c>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t="str">
        <f t="shared" si="3"/>
        <v>N</v>
      </c>
      <c r="K43" s="107"/>
      <c r="L43" s="107"/>
      <c r="M43" s="275" t="s">
        <v>7</v>
      </c>
      <c r="N43" s="276" t="s">
        <v>658</v>
      </c>
      <c r="O43" s="278" t="s">
        <v>614</v>
      </c>
      <c r="P43" s="283"/>
      <c r="Q43" s="280" t="s">
        <v>152</v>
      </c>
      <c r="R43" s="280" t="s">
        <v>154</v>
      </c>
      <c r="S43" s="237" t="s">
        <v>330</v>
      </c>
      <c r="T43" s="107" t="s">
        <v>72</v>
      </c>
      <c r="U43" s="308">
        <v>44008</v>
      </c>
      <c r="V43" s="107" t="s">
        <v>364</v>
      </c>
      <c r="W43" s="107" t="s">
        <v>368</v>
      </c>
      <c r="X43" s="107" t="s">
        <v>368</v>
      </c>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330</v>
      </c>
      <c r="T44" s="107" t="s">
        <v>72</v>
      </c>
      <c r="U44" s="308">
        <v>44117</v>
      </c>
      <c r="V44" s="107" t="s">
        <v>364</v>
      </c>
      <c r="W44" s="107" t="s">
        <v>368</v>
      </c>
      <c r="X44" s="107" t="s">
        <v>368</v>
      </c>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2"/>
        <v>0</v>
      </c>
      <c r="J45" s="182" t="str">
        <f t="shared" si="3"/>
        <v>N</v>
      </c>
      <c r="K45" s="107"/>
      <c r="L45" s="107"/>
      <c r="M45" s="275" t="s">
        <v>7</v>
      </c>
      <c r="N45" s="276" t="s">
        <v>56</v>
      </c>
      <c r="O45" s="278" t="s">
        <v>659</v>
      </c>
      <c r="P45" s="283"/>
      <c r="Q45" s="280" t="s">
        <v>575</v>
      </c>
      <c r="R45" s="280" t="s">
        <v>265</v>
      </c>
      <c r="S45" s="237"/>
      <c r="T45" s="107" t="s">
        <v>72</v>
      </c>
      <c r="U45" s="107"/>
      <c r="V45" s="107"/>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2"/>
        <v>Passed</v>
      </c>
      <c r="J46" s="182" t="str">
        <f t="shared" si="3"/>
        <v>Y</v>
      </c>
      <c r="K46" s="107"/>
      <c r="L46" s="107"/>
      <c r="M46" s="275" t="s">
        <v>7</v>
      </c>
      <c r="N46" s="276" t="s">
        <v>55</v>
      </c>
      <c r="O46" s="278" t="s">
        <v>1</v>
      </c>
      <c r="P46" s="283"/>
      <c r="Q46" s="280" t="s">
        <v>577</v>
      </c>
      <c r="R46" s="280" t="s">
        <v>477</v>
      </c>
      <c r="S46" s="237" t="s">
        <v>330</v>
      </c>
      <c r="T46" s="107" t="s">
        <v>72</v>
      </c>
      <c r="U46" s="308">
        <v>43763</v>
      </c>
      <c r="V46" s="107" t="s">
        <v>364</v>
      </c>
      <c r="W46" s="107" t="s">
        <v>368</v>
      </c>
      <c r="X46" s="107" t="s">
        <v>368</v>
      </c>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t="s">
        <v>330</v>
      </c>
      <c r="T47" s="107" t="s">
        <v>72</v>
      </c>
      <c r="U47" s="308">
        <v>43763</v>
      </c>
      <c r="V47" s="107" t="s">
        <v>364</v>
      </c>
      <c r="W47" s="107" t="s">
        <v>368</v>
      </c>
      <c r="X47" s="107" t="s">
        <v>368</v>
      </c>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2"/>
        <v>Passed</v>
      </c>
      <c r="J48" s="182" t="str">
        <f t="shared" si="3"/>
        <v>Y</v>
      </c>
      <c r="K48" s="107"/>
      <c r="L48" s="107"/>
      <c r="M48" s="275" t="s">
        <v>7</v>
      </c>
      <c r="N48" s="276" t="s">
        <v>56</v>
      </c>
      <c r="O48" s="278" t="s">
        <v>385</v>
      </c>
      <c r="P48" s="280"/>
      <c r="Q48" s="280" t="s">
        <v>387</v>
      </c>
      <c r="R48" s="280" t="s">
        <v>386</v>
      </c>
      <c r="S48" s="237" t="s">
        <v>330</v>
      </c>
      <c r="T48" s="107" t="s">
        <v>72</v>
      </c>
      <c r="U48" s="308">
        <v>43763</v>
      </c>
      <c r="V48" s="107" t="s">
        <v>364</v>
      </c>
      <c r="W48" s="107" t="s">
        <v>368</v>
      </c>
      <c r="X48" s="107" t="s">
        <v>368</v>
      </c>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2"/>
        <v>Passed</v>
      </c>
      <c r="J49" s="182" t="str">
        <f t="shared" si="3"/>
        <v>Y</v>
      </c>
      <c r="K49" s="107"/>
      <c r="L49" s="107"/>
      <c r="M49" s="275" t="s">
        <v>7</v>
      </c>
      <c r="N49" s="276" t="s">
        <v>54</v>
      </c>
      <c r="O49" s="278" t="s">
        <v>229</v>
      </c>
      <c r="P49" s="283"/>
      <c r="Q49" s="280" t="s">
        <v>665</v>
      </c>
      <c r="R49" s="280" t="s">
        <v>574</v>
      </c>
      <c r="S49" s="107" t="s">
        <v>330</v>
      </c>
      <c r="T49" s="107" t="s">
        <v>72</v>
      </c>
      <c r="U49" s="308">
        <v>43756</v>
      </c>
      <c r="V49" s="107" t="s">
        <v>364</v>
      </c>
      <c r="W49" s="107" t="s">
        <v>368</v>
      </c>
      <c r="X49" s="107" t="s">
        <v>368</v>
      </c>
    </row>
    <row r="50" spans="1:24" ht="13.8" x14ac:dyDescent="0.3">
      <c r="A50" s="213" t="s">
        <v>643</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t="e">
        <f t="shared" si="2"/>
        <v>#N/A</v>
      </c>
      <c r="J51" s="182" t="e">
        <f t="shared" si="3"/>
        <v>#N/A</v>
      </c>
      <c r="K51" s="107"/>
      <c r="L51" s="107"/>
      <c r="M51" s="275" t="s">
        <v>7</v>
      </c>
      <c r="N51" s="276" t="s">
        <v>55</v>
      </c>
      <c r="O51" s="277" t="s">
        <v>660</v>
      </c>
      <c r="P51" s="283"/>
      <c r="Q51" s="280" t="s">
        <v>667</v>
      </c>
      <c r="R51" s="280" t="s">
        <v>316</v>
      </c>
      <c r="S51" s="107"/>
      <c r="T51" s="107" t="s">
        <v>72</v>
      </c>
      <c r="U51" s="107"/>
      <c r="V51" s="107"/>
      <c r="W51" s="107"/>
      <c r="X51" s="107"/>
    </row>
    <row r="52" spans="1:24" ht="13.8" x14ac:dyDescent="0.3">
      <c r="A52" s="213" t="s">
        <v>643</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2"/>
        <v>Passed</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t="str">
        <f t="shared" si="2"/>
        <v>Passed</v>
      </c>
      <c r="J53" s="182" t="str">
        <f t="shared" si="3"/>
        <v>Y</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ht="18" customHeigh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t="str">
        <f t="shared" si="2"/>
        <v>Passed</v>
      </c>
      <c r="J56" s="182" t="str">
        <f t="shared" si="3"/>
        <v>Y</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2"/>
        <v>Passed</v>
      </c>
      <c r="J57" s="182" t="str">
        <f t="shared" si="3"/>
        <v>Y</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2"/>
        <v>Passed</v>
      </c>
      <c r="J58" s="182" t="str">
        <f t="shared" si="3"/>
        <v>Y</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2"/>
        <v>Passed</v>
      </c>
      <c r="J59" s="182" t="str">
        <f t="shared" si="3"/>
        <v>Y</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t="str">
        <f t="shared" ref="I60:I65" si="4">VLOOKUP(B61,$O$4:$W$64,8,0)</f>
        <v>Passed</v>
      </c>
      <c r="J60" s="182" t="str">
        <f t="shared" ref="J60:J65" si="5">VLOOKUP(B61,$O$4:$W$64,9,0)</f>
        <v>N</v>
      </c>
      <c r="K60" s="107"/>
      <c r="L60" s="107"/>
      <c r="M60" s="284" t="s">
        <v>8</v>
      </c>
      <c r="N60" s="285" t="s">
        <v>148</v>
      </c>
      <c r="O60" s="279" t="s">
        <v>360</v>
      </c>
      <c r="P60" s="286" t="s">
        <v>228</v>
      </c>
      <c r="Q60" s="286" t="s">
        <v>676</v>
      </c>
      <c r="R60" s="286" t="s">
        <v>216</v>
      </c>
      <c r="S60" s="107"/>
      <c r="T60" s="107"/>
      <c r="U60" s="308"/>
      <c r="V60" s="107"/>
      <c r="W60" s="107" t="s">
        <v>368</v>
      </c>
      <c r="X60" s="107" t="s">
        <v>368</v>
      </c>
    </row>
    <row r="61" spans="1:24" ht="13.8" x14ac:dyDescent="0.25">
      <c r="A61" s="150" t="s">
        <v>56</v>
      </c>
      <c r="B61" s="206" t="s">
        <v>383</v>
      </c>
      <c r="C61" s="240"/>
      <c r="D61" s="240"/>
      <c r="E61" s="292" t="s">
        <v>77</v>
      </c>
      <c r="F61" s="292"/>
      <c r="G61" s="292"/>
      <c r="H61" s="212">
        <f>IF(C61&lt;&gt;"",'CBL Score Standard'!$D118,IF(D61&lt;&gt;"",SUM('CBL Score Standard'!$D118:$E118),IF(E61&lt;&gt;"",SUM('CBL Score Standard'!$D118:$F118),IF(F61&lt;&gt;"",SUM('CBL Score Standard'!$D118:$G118),IF(G61&lt;&gt;"",SUM('CBL Score Standard'!$D118:$H118,0))))))</f>
        <v>2.8571428571428571E-2</v>
      </c>
      <c r="I61" s="182" t="str">
        <f t="shared" si="4"/>
        <v>Passed</v>
      </c>
      <c r="J61" s="182" t="str">
        <f t="shared" si="5"/>
        <v>N</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t="s">
        <v>77</v>
      </c>
      <c r="F65" s="292"/>
      <c r="G65" s="292"/>
      <c r="H65" s="212">
        <f>IF(C65&lt;&gt;"",'CBL Score Standard'!$D122,IF(D65&lt;&gt;"",SUM('CBL Score Standard'!$D122:$E122),IF(E65&lt;&gt;"",SUM('CBL Score Standard'!$D122:$F122),IF(F65&lt;&gt;"",SUM('CBL Score Standard'!$D122:$G122),IF(G65&lt;&gt;"",SUM('CBL Score Standard'!$D122:$H122,0))))))</f>
        <v>2.8571428571428571E-2</v>
      </c>
      <c r="I65" s="182" t="str">
        <f t="shared" si="4"/>
        <v>Passed</v>
      </c>
      <c r="J65" s="182" t="str">
        <f t="shared" si="5"/>
        <v>N</v>
      </c>
      <c r="K65" s="205"/>
      <c r="L65" s="205"/>
      <c r="M65" s="205"/>
      <c r="N65" s="306"/>
      <c r="O65" s="205"/>
      <c r="P65" s="205"/>
      <c r="Q65" s="205"/>
      <c r="R65" s="205"/>
    </row>
    <row r="66" spans="1:18" ht="15" thickBot="1" x14ac:dyDescent="0.35">
      <c r="A66" s="214" t="s">
        <v>55</v>
      </c>
      <c r="B66" s="206" t="s">
        <v>1</v>
      </c>
      <c r="C66" s="240"/>
      <c r="D66" s="240"/>
      <c r="E66" s="292" t="s">
        <v>77</v>
      </c>
      <c r="F66" s="292"/>
      <c r="G66" s="292"/>
      <c r="H66" s="212">
        <f>IF(C66&lt;&gt;"",'CBL Score Standard'!$D123,IF(D66&lt;&gt;"",SUM('CBL Score Standard'!$D123:$E123),IF(E66&lt;&gt;"",SUM('CBL Score Standard'!$D123:$F123),IF(F66&lt;&gt;"",SUM('CBL Score Standard'!$D123:$G123),IF(G66&lt;&gt;"",SUM('CBL Score Standard'!$D123:$H123,0))))))</f>
        <v>2.8571428571428571E-2</v>
      </c>
      <c r="K66" s="205"/>
      <c r="L66" s="205"/>
      <c r="M66" s="205"/>
      <c r="N66" s="306"/>
      <c r="O66" s="205"/>
      <c r="P66" s="205"/>
      <c r="Q66" s="205"/>
      <c r="R66" s="205"/>
    </row>
    <row r="67" spans="1:18" ht="15" thickBot="1" x14ac:dyDescent="0.35">
      <c r="A67" s="362" t="s">
        <v>79</v>
      </c>
      <c r="B67" s="363"/>
      <c r="C67" s="364"/>
      <c r="D67" s="364"/>
      <c r="E67" s="364"/>
      <c r="F67" s="364"/>
      <c r="G67" s="364"/>
      <c r="H67" s="183">
        <f>SUM(H8:H64)</f>
        <v>2.629210220673635</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85" showGridLines="0" topLeftCell="A40">
      <selection activeCell="A7" sqref="A7:H68"/>
      <pageMargins left="0.7" right="0.7" top="0.75" bottom="0.75" header="0.3" footer="0.3"/>
      <pageSetup orientation="portrait" r:id="rId1"/>
    </customSheetView>
    <customSheetView guid="{040B64FF-F135-4C7F-9498-A8399C10673D}" scale="85" showGridLines="0" topLeftCell="A40">
      <selection activeCell="A7" sqref="A7:H68"/>
      <pageMargins left="0.7" right="0.7" top="0.75" bottom="0.75" header="0.3" footer="0.3"/>
      <pageSetup orientation="portrait" r:id="rId2"/>
    </customSheetView>
    <customSheetView guid="{3BEDB203-29A8-4A82-B140-5CE8D0753F8B}" scale="85" showGridLines="0" topLeftCell="A40">
      <selection activeCell="A7" sqref="A7:H68"/>
      <pageMargins left="0.7" right="0.7" top="0.75" bottom="0.75" header="0.3" footer="0.3"/>
      <pageSetup orientation="portrait" r:id="rId3"/>
    </customSheetView>
  </customSheetViews>
  <mergeCells count="6">
    <mergeCell ref="S2:S3"/>
    <mergeCell ref="A69:G69"/>
    <mergeCell ref="M2:M3"/>
    <mergeCell ref="N2:N3"/>
    <mergeCell ref="A1:H1"/>
    <mergeCell ref="A67:G67"/>
  </mergeCells>
  <conditionalFormatting sqref="C7:D7 F7:H7">
    <cfRule type="containsText" dxfId="326" priority="40" operator="containsText" text="N/A">
      <formula>NOT(ISERROR(SEARCH("N/A",C7)))</formula>
    </cfRule>
    <cfRule type="containsText" dxfId="325" priority="41" operator="containsText" text="Blank">
      <formula>NOT(ISERROR(SEARCH("Blank",C7)))</formula>
    </cfRule>
    <cfRule type="containsText" dxfId="324" priority="42" operator="containsText" text="M">
      <formula>NOT(ISERROR(SEARCH("M",C7)))</formula>
    </cfRule>
  </conditionalFormatting>
  <conditionalFormatting sqref="B67:B69 B7">
    <cfRule type="duplicateValues" dxfId="323" priority="39"/>
  </conditionalFormatting>
  <conditionalFormatting sqref="B30">
    <cfRule type="duplicateValues" dxfId="322" priority="13"/>
  </conditionalFormatting>
  <conditionalFormatting sqref="B55">
    <cfRule type="duplicateValues" dxfId="321" priority="12"/>
  </conditionalFormatting>
  <conditionalFormatting sqref="B13">
    <cfRule type="duplicateValues" dxfId="320" priority="11"/>
  </conditionalFormatting>
  <conditionalFormatting sqref="B56:B66 B31:B54 B8:B12 B14:B28">
    <cfRule type="duplicateValues" dxfId="319" priority="14"/>
  </conditionalFormatting>
  <conditionalFormatting sqref="B29">
    <cfRule type="duplicateValues" dxfId="318" priority="15"/>
  </conditionalFormatting>
  <conditionalFormatting sqref="O25">
    <cfRule type="duplicateValues" dxfId="317" priority="1"/>
  </conditionalFormatting>
  <conditionalFormatting sqref="O4:O9 O12:O18">
    <cfRule type="duplicateValues" dxfId="316" priority="10"/>
  </conditionalFormatting>
  <conditionalFormatting sqref="O10">
    <cfRule type="duplicateValues" dxfId="315" priority="9"/>
  </conditionalFormatting>
  <conditionalFormatting sqref="O11">
    <cfRule type="duplicateValues" dxfId="314" priority="8"/>
  </conditionalFormatting>
  <conditionalFormatting sqref="O19:O24 O32:O34 O26:O30">
    <cfRule type="duplicateValues" dxfId="313" priority="7"/>
  </conditionalFormatting>
  <conditionalFormatting sqref="O36:O52">
    <cfRule type="duplicateValues" dxfId="312" priority="6"/>
  </conditionalFormatting>
  <conditionalFormatting sqref="O35">
    <cfRule type="duplicateValues" dxfId="311" priority="5"/>
  </conditionalFormatting>
  <conditionalFormatting sqref="O53:O60">
    <cfRule type="duplicateValues" dxfId="310" priority="4"/>
  </conditionalFormatting>
  <conditionalFormatting sqref="O61:O64">
    <cfRule type="duplicateValues" dxfId="309" priority="3"/>
  </conditionalFormatting>
  <conditionalFormatting sqref="O31">
    <cfRule type="duplicateValues" dxfId="308" priority="2"/>
  </conditionalFormatting>
  <dataValidations count="4">
    <dataValidation type="list" allowBlank="1" showInputMessage="1" showErrorMessage="1" sqref="V2">
      <formula1>"Passed, Failed, N/A"</formula1>
    </dataValidation>
    <dataValidation type="list" allowBlank="1" showInputMessage="1" showErrorMessage="1" sqref="W2 W4:X51">
      <formula1>"Y, N"</formula1>
    </dataValidation>
    <dataValidation type="list" allowBlank="1" showInputMessage="1" showErrorMessage="1" sqref="T1:X1 T2 T69:X1048576 T3:U18 V3:X3 W52:X64 T20:U64">
      <formula1>"M, O, N/A"</formula1>
    </dataValidation>
    <dataValidation type="list" allowBlank="1" showInputMessage="1" showErrorMessage="1" sqref="V4:V64">
      <formula1>"Passed, Failed"</formula1>
    </dataValidation>
  </dataValidations>
  <pageMargins left="0.7" right="0.7" top="0.75" bottom="0.75" header="0.3" footer="0.3"/>
  <pageSetup orientation="portrait" r:id="rId4"/>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tabColor rgb="FFFFC000"/>
    <pageSetUpPr fitToPage="1"/>
  </sheetPr>
  <dimension ref="A1:X197"/>
  <sheetViews>
    <sheetView showGridLines="0" topLeftCell="I43" zoomScale="70" zoomScaleNormal="70" workbookViewId="0">
      <selection activeCell="S4" sqref="S4:X6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37.5546875" style="296" customWidth="1"/>
    <col min="16" max="16" width="21.33203125" style="296" customWidth="1"/>
    <col min="17" max="17" width="24.88671875" style="296" customWidth="1"/>
    <col min="18" max="18" width="26.109375" style="296" customWidth="1"/>
    <col min="19" max="19" width="26.886718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3.4" customHeight="1" x14ac:dyDescent="0.3">
      <c r="A2" s="70" t="s">
        <v>357</v>
      </c>
      <c r="B2" s="58" t="s">
        <v>259</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42858</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3.7643835616438355</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3</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6.7643835616438359</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ht="14.4" customHeight="1"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t="s">
        <v>364</v>
      </c>
      <c r="W7" s="107" t="s">
        <v>367</v>
      </c>
      <c r="X7" s="107" t="s">
        <v>367</v>
      </c>
    </row>
    <row r="8" spans="1:24" ht="27.6" customHeight="1"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 t="shared" ref="I8:I39" si="0">VLOOKUP(B8,$O$4:$W$64,8,0)</f>
        <v>Passed</v>
      </c>
      <c r="J8" s="182" t="str">
        <f t="shared" ref="J8:J39" si="1">VLOOKUP(B8,$O$4:$W$64,9,0)</f>
        <v>Y</v>
      </c>
      <c r="K8" s="107"/>
      <c r="L8" s="107"/>
      <c r="M8" s="254" t="s">
        <v>5</v>
      </c>
      <c r="N8" s="255" t="s">
        <v>678</v>
      </c>
      <c r="O8" s="257" t="s">
        <v>645</v>
      </c>
      <c r="P8" s="259" t="s">
        <v>144</v>
      </c>
      <c r="Q8" s="259" t="s">
        <v>152</v>
      </c>
      <c r="R8" s="259" t="s">
        <v>154</v>
      </c>
      <c r="S8" s="237"/>
      <c r="T8" s="107"/>
      <c r="U8" s="107"/>
      <c r="V8" s="107"/>
      <c r="W8" s="107"/>
      <c r="X8" s="107"/>
    </row>
    <row r="9" spans="1:24" ht="13.95" customHeight="1"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I9" s="182" t="str">
        <f t="shared" si="0"/>
        <v>Passed</v>
      </c>
      <c r="J9" s="182" t="str">
        <f t="shared" si="1"/>
        <v>N</v>
      </c>
      <c r="K9" s="107"/>
      <c r="L9" s="107"/>
      <c r="M9" s="254" t="s">
        <v>5</v>
      </c>
      <c r="N9" s="255" t="s">
        <v>678</v>
      </c>
      <c r="O9" s="257" t="s">
        <v>592</v>
      </c>
      <c r="P9" s="259" t="s">
        <v>144</v>
      </c>
      <c r="Q9" s="259" t="s">
        <v>153</v>
      </c>
      <c r="R9" s="259" t="s">
        <v>263</v>
      </c>
      <c r="S9" s="237"/>
      <c r="T9" s="107"/>
      <c r="U9" s="308"/>
      <c r="V9" s="107" t="s">
        <v>364</v>
      </c>
      <c r="W9" s="107" t="s">
        <v>367</v>
      </c>
      <c r="X9" s="107" t="s">
        <v>367</v>
      </c>
    </row>
    <row r="10" spans="1:24" ht="13.95" customHeight="1"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678</v>
      </c>
      <c r="O10" s="257" t="s">
        <v>593</v>
      </c>
      <c r="P10" s="259" t="s">
        <v>144</v>
      </c>
      <c r="Q10" s="259" t="s">
        <v>590</v>
      </c>
      <c r="R10" s="259" t="s">
        <v>274</v>
      </c>
      <c r="S10" s="237"/>
      <c r="T10" s="107"/>
      <c r="U10" s="308"/>
      <c r="V10" s="107" t="s">
        <v>364</v>
      </c>
      <c r="W10" s="107" t="s">
        <v>368</v>
      </c>
      <c r="X10" s="107"/>
    </row>
    <row r="11" spans="1:24" ht="13.95" customHeight="1"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t="str">
        <f t="shared" si="1"/>
        <v>N</v>
      </c>
      <c r="K11" s="107"/>
      <c r="L11" s="107"/>
      <c r="M11" s="254" t="s">
        <v>5</v>
      </c>
      <c r="N11" s="255" t="s">
        <v>678</v>
      </c>
      <c r="O11" s="252" t="s">
        <v>640</v>
      </c>
      <c r="P11" s="259" t="s">
        <v>144</v>
      </c>
      <c r="Q11" s="262" t="s">
        <v>648</v>
      </c>
      <c r="R11" s="262" t="s">
        <v>329</v>
      </c>
      <c r="S11" s="237"/>
      <c r="T11" s="107" t="s">
        <v>72</v>
      </c>
      <c r="U11" s="107"/>
      <c r="V11" s="107"/>
      <c r="W11" s="107"/>
      <c r="X11" s="107"/>
    </row>
    <row r="12" spans="1:24" ht="13.95" customHeight="1"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t="str">
        <f t="shared" si="1"/>
        <v>N</v>
      </c>
      <c r="K12" s="107"/>
      <c r="L12" s="107"/>
      <c r="M12" s="254" t="s">
        <v>5</v>
      </c>
      <c r="N12" s="255" t="s">
        <v>678</v>
      </c>
      <c r="O12" s="252" t="s">
        <v>641</v>
      </c>
      <c r="P12" s="259" t="s">
        <v>144</v>
      </c>
      <c r="Q12" s="262" t="s">
        <v>371</v>
      </c>
      <c r="R12" s="262" t="s">
        <v>372</v>
      </c>
      <c r="S12" s="237"/>
      <c r="T12" s="107" t="s">
        <v>72</v>
      </c>
      <c r="U12" s="107"/>
      <c r="V12" s="107"/>
      <c r="W12" s="107"/>
      <c r="X12" s="107"/>
    </row>
    <row r="13" spans="1:24" ht="13.95" customHeight="1"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95" customHeight="1" x14ac:dyDescent="0.3">
      <c r="A14" s="213" t="s">
        <v>55</v>
      </c>
      <c r="B14" s="206" t="s">
        <v>617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t="e">
        <f t="shared" si="0"/>
        <v>#N/A</v>
      </c>
      <c r="J14" s="182" t="e">
        <f t="shared" si="1"/>
        <v>#N/A</v>
      </c>
      <c r="K14" s="107"/>
      <c r="L14" s="107"/>
      <c r="M14" s="254" t="s">
        <v>5</v>
      </c>
      <c r="N14" s="255" t="s">
        <v>31</v>
      </c>
      <c r="O14" s="257" t="s">
        <v>646</v>
      </c>
      <c r="P14" s="260"/>
      <c r="Q14" s="265" t="s">
        <v>149</v>
      </c>
      <c r="R14" s="264" t="s">
        <v>150</v>
      </c>
      <c r="S14" s="107"/>
      <c r="T14" s="107" t="s">
        <v>72</v>
      </c>
      <c r="U14" s="107"/>
      <c r="V14" s="107"/>
      <c r="W14" s="107"/>
      <c r="X14" s="107"/>
    </row>
    <row r="15" spans="1:24" ht="27.6" customHeight="1"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t="s">
        <v>259</v>
      </c>
      <c r="T15" s="107" t="s">
        <v>72</v>
      </c>
      <c r="U15" s="308">
        <v>43658</v>
      </c>
      <c r="V15" s="107" t="s">
        <v>364</v>
      </c>
      <c r="W15" s="107" t="s">
        <v>368</v>
      </c>
      <c r="X15" s="107"/>
    </row>
    <row r="16" spans="1:24" ht="13.8" x14ac:dyDescent="0.3">
      <c r="A16" s="213" t="s">
        <v>55</v>
      </c>
      <c r="B16" s="206" t="s">
        <v>190</v>
      </c>
      <c r="C16" s="240"/>
      <c r="D16" s="240"/>
      <c r="E16" s="240"/>
      <c r="F16" s="240" t="s">
        <v>77</v>
      </c>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N</v>
      </c>
      <c r="K16" s="107"/>
      <c r="L16" s="107"/>
      <c r="M16" s="254" t="s">
        <v>5</v>
      </c>
      <c r="N16" s="255" t="s">
        <v>41</v>
      </c>
      <c r="O16" s="257" t="s">
        <v>412</v>
      </c>
      <c r="P16" s="260"/>
      <c r="Q16" s="259" t="s">
        <v>371</v>
      </c>
      <c r="R16" s="259" t="s">
        <v>372</v>
      </c>
      <c r="S16" s="107"/>
      <c r="T16" s="107"/>
      <c r="U16" s="308"/>
      <c r="V16" s="107" t="s">
        <v>364</v>
      </c>
      <c r="W16" s="107" t="s">
        <v>368</v>
      </c>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651</v>
      </c>
      <c r="S18" s="107"/>
      <c r="T18" s="107" t="s">
        <v>72</v>
      </c>
      <c r="U18" s="308"/>
      <c r="V18" s="107"/>
      <c r="W18" s="107"/>
      <c r="X18" s="107" t="s">
        <v>367</v>
      </c>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c r="U19" s="309"/>
      <c r="V19" s="296" t="s">
        <v>364</v>
      </c>
      <c r="W19" s="107" t="s">
        <v>367</v>
      </c>
      <c r="X19" s="107" t="s">
        <v>367</v>
      </c>
    </row>
    <row r="20" spans="1:24" ht="13.95" customHeight="1"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t="str">
        <f t="shared" si="1"/>
        <v>N</v>
      </c>
      <c r="K20" s="107"/>
      <c r="L20" s="107"/>
      <c r="M20" s="266" t="s">
        <v>6</v>
      </c>
      <c r="N20" s="267" t="s">
        <v>56</v>
      </c>
      <c r="O20" s="270" t="s">
        <v>180</v>
      </c>
      <c r="P20" s="272"/>
      <c r="Q20" s="269" t="s">
        <v>170</v>
      </c>
      <c r="R20" s="269" t="s">
        <v>651</v>
      </c>
      <c r="S20" s="237"/>
      <c r="T20" s="107"/>
      <c r="U20" s="308"/>
      <c r="V20" s="107" t="s">
        <v>364</v>
      </c>
      <c r="W20" s="107" t="s">
        <v>367</v>
      </c>
      <c r="X20" s="107" t="s">
        <v>367</v>
      </c>
    </row>
    <row r="21" spans="1:24" ht="27.6" customHeight="1"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c r="U21" s="308"/>
      <c r="V21" s="107" t="s">
        <v>364</v>
      </c>
      <c r="W21" s="107" t="s">
        <v>367</v>
      </c>
      <c r="X21" s="107" t="s">
        <v>367</v>
      </c>
    </row>
    <row r="22" spans="1:24" ht="13.95" customHeight="1"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Y</v>
      </c>
      <c r="K22" s="107"/>
      <c r="L22" s="107"/>
      <c r="M22" s="266" t="s">
        <v>6</v>
      </c>
      <c r="N22" s="267" t="s">
        <v>678</v>
      </c>
      <c r="O22" s="270" t="s">
        <v>186</v>
      </c>
      <c r="P22" s="274">
        <v>44392</v>
      </c>
      <c r="Q22" s="269" t="s">
        <v>153</v>
      </c>
      <c r="R22" s="269" t="s">
        <v>263</v>
      </c>
      <c r="S22" s="237"/>
      <c r="T22" s="107"/>
      <c r="U22" s="308"/>
      <c r="V22" s="107" t="s">
        <v>364</v>
      </c>
      <c r="W22" s="107" t="s">
        <v>368</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678</v>
      </c>
      <c r="O23" s="252" t="s">
        <v>652</v>
      </c>
      <c r="P23" s="273">
        <v>44378</v>
      </c>
      <c r="Q23" s="269" t="s">
        <v>590</v>
      </c>
      <c r="R23" s="269" t="s">
        <v>274</v>
      </c>
      <c r="S23" s="237"/>
      <c r="T23" s="107"/>
      <c r="U23" s="308"/>
      <c r="V23" s="107" t="s">
        <v>364</v>
      </c>
      <c r="W23" s="107" t="s">
        <v>368</v>
      </c>
      <c r="X23" s="107"/>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678</v>
      </c>
      <c r="O24" s="270" t="s">
        <v>189</v>
      </c>
      <c r="P24" s="274"/>
      <c r="Q24" s="269" t="s">
        <v>225</v>
      </c>
      <c r="R24" s="269" t="s">
        <v>340</v>
      </c>
      <c r="S24" s="237"/>
      <c r="T24" s="107"/>
      <c r="U24" s="308"/>
      <c r="V24" s="107" t="s">
        <v>364</v>
      </c>
      <c r="W24" s="107" t="s">
        <v>367</v>
      </c>
      <c r="X24" s="107" t="s">
        <v>367</v>
      </c>
    </row>
    <row r="25" spans="1:24" ht="13.95" customHeight="1"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t="str">
        <f t="shared" si="1"/>
        <v>N</v>
      </c>
      <c r="K25" s="107"/>
      <c r="L25" s="107"/>
      <c r="M25" s="266" t="s">
        <v>6</v>
      </c>
      <c r="N25" s="267" t="s">
        <v>678</v>
      </c>
      <c r="O25" s="270" t="s">
        <v>739</v>
      </c>
      <c r="P25" s="274"/>
      <c r="Q25" s="269" t="s">
        <v>740</v>
      </c>
      <c r="R25" s="269" t="s">
        <v>261</v>
      </c>
      <c r="S25" s="237"/>
      <c r="T25" s="107"/>
      <c r="U25" s="308"/>
      <c r="V25" s="107"/>
      <c r="W25" s="107"/>
      <c r="X25" s="107"/>
    </row>
    <row r="26" spans="1:24" ht="26.4" customHeight="1"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t="str">
        <f t="shared" si="1"/>
        <v>N</v>
      </c>
      <c r="K26" s="107"/>
      <c r="L26" s="107"/>
      <c r="M26" s="266" t="s">
        <v>6</v>
      </c>
      <c r="N26" s="267" t="s">
        <v>55</v>
      </c>
      <c r="O26" s="270" t="s">
        <v>190</v>
      </c>
      <c r="P26" s="272"/>
      <c r="Q26" s="269" t="s">
        <v>373</v>
      </c>
      <c r="R26" s="269" t="s">
        <v>331</v>
      </c>
      <c r="S26" s="237" t="s">
        <v>259</v>
      </c>
      <c r="T26" s="107" t="s">
        <v>72</v>
      </c>
      <c r="U26" s="308">
        <v>43608</v>
      </c>
      <c r="V26" s="107" t="s">
        <v>364</v>
      </c>
      <c r="W26" s="107" t="s">
        <v>368</v>
      </c>
      <c r="X26" s="107" t="s">
        <v>367</v>
      </c>
    </row>
    <row r="27" spans="1:24" ht="26.4" customHeight="1"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t="str">
        <f t="shared" si="1"/>
        <v>N</v>
      </c>
      <c r="K27" s="107"/>
      <c r="L27" s="107"/>
      <c r="M27" s="266" t="s">
        <v>6</v>
      </c>
      <c r="N27" s="267" t="s">
        <v>55</v>
      </c>
      <c r="O27" s="270" t="s">
        <v>192</v>
      </c>
      <c r="P27" s="272"/>
      <c r="Q27" s="271" t="s">
        <v>653</v>
      </c>
      <c r="R27" s="269" t="s">
        <v>275</v>
      </c>
      <c r="S27" s="237"/>
      <c r="T27" s="107"/>
      <c r="U27" s="308"/>
      <c r="V27" s="107"/>
      <c r="W27" s="107" t="s">
        <v>368</v>
      </c>
      <c r="X27" s="107" t="s">
        <v>368</v>
      </c>
    </row>
    <row r="28" spans="1:24" ht="13.95" customHeight="1"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t="str">
        <f t="shared" si="1"/>
        <v>N</v>
      </c>
      <c r="K28" s="107"/>
      <c r="L28" s="107"/>
      <c r="M28" s="266" t="s">
        <v>6</v>
      </c>
      <c r="N28" s="267" t="s">
        <v>55</v>
      </c>
      <c r="O28" s="270" t="s">
        <v>194</v>
      </c>
      <c r="P28" s="272"/>
      <c r="Q28" s="271" t="s">
        <v>654</v>
      </c>
      <c r="R28" s="271" t="s">
        <v>655</v>
      </c>
      <c r="S28" s="237"/>
      <c r="T28" s="107"/>
      <c r="U28" s="308"/>
      <c r="V28" s="107"/>
      <c r="W28" s="107" t="s">
        <v>368</v>
      </c>
      <c r="X28" s="107" t="s">
        <v>367</v>
      </c>
    </row>
    <row r="29" spans="1:24" ht="27.6" customHeight="1"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196</v>
      </c>
      <c r="P29" s="272"/>
      <c r="Q29" s="269" t="s">
        <v>197</v>
      </c>
      <c r="R29" s="269" t="s">
        <v>256</v>
      </c>
      <c r="S29" s="237"/>
      <c r="T29" s="107"/>
      <c r="U29" s="308"/>
      <c r="V29" s="107"/>
      <c r="W29" s="107" t="s">
        <v>368</v>
      </c>
      <c r="X29" s="107" t="s">
        <v>367</v>
      </c>
    </row>
    <row r="30" spans="1:24" ht="27.6" customHeight="1"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f t="shared" si="0"/>
        <v>0</v>
      </c>
      <c r="J30" s="182" t="str">
        <f t="shared" si="1"/>
        <v>N</v>
      </c>
      <c r="K30" s="107"/>
      <c r="L30" s="107"/>
      <c r="M30" s="266" t="s">
        <v>6</v>
      </c>
      <c r="N30" s="267" t="s">
        <v>55</v>
      </c>
      <c r="O30" s="270" t="s">
        <v>200</v>
      </c>
      <c r="P30" s="272"/>
      <c r="Q30" s="269" t="s">
        <v>374</v>
      </c>
      <c r="R30" s="269" t="s">
        <v>375</v>
      </c>
      <c r="S30" s="107"/>
      <c r="T30" s="107"/>
      <c r="U30" s="107"/>
      <c r="V30" s="107"/>
      <c r="W30" s="107" t="s">
        <v>368</v>
      </c>
      <c r="X30" s="107"/>
    </row>
    <row r="31" spans="1:24" ht="13.95" customHeight="1"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55</v>
      </c>
      <c r="O31" s="270" t="s">
        <v>642</v>
      </c>
      <c r="P31" s="272"/>
      <c r="Q31" s="269" t="s">
        <v>741</v>
      </c>
      <c r="R31" s="269" t="s">
        <v>742</v>
      </c>
      <c r="S31" s="107"/>
      <c r="T31" s="107"/>
      <c r="U31" s="107"/>
      <c r="V31" s="107"/>
      <c r="W31" s="107"/>
      <c r="X31" s="107"/>
    </row>
    <row r="32" spans="1:24" ht="26.4" customHeight="1"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t="str">
        <f t="shared" si="1"/>
        <v>N</v>
      </c>
      <c r="K32" s="107"/>
      <c r="L32" s="107"/>
      <c r="M32" s="266" t="s">
        <v>6</v>
      </c>
      <c r="N32" s="267" t="s">
        <v>56</v>
      </c>
      <c r="O32" s="270" t="s">
        <v>390</v>
      </c>
      <c r="P32" s="272"/>
      <c r="Q32" s="269" t="s">
        <v>165</v>
      </c>
      <c r="R32" s="269" t="s">
        <v>339</v>
      </c>
      <c r="S32" s="237"/>
      <c r="T32" s="107"/>
      <c r="U32" s="308"/>
      <c r="V32" s="107" t="s">
        <v>364</v>
      </c>
      <c r="W32" s="107" t="s">
        <v>368</v>
      </c>
      <c r="X32" s="107" t="s">
        <v>367</v>
      </c>
    </row>
    <row r="33" spans="1:24" ht="13.95" customHeight="1"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t="s">
        <v>368</v>
      </c>
      <c r="X33" s="107"/>
    </row>
    <row r="34" spans="1:24" ht="13.95" customHeight="1" x14ac:dyDescent="0.3">
      <c r="A34" s="213" t="s">
        <v>31</v>
      </c>
      <c r="B34" s="206" t="s">
        <v>591</v>
      </c>
      <c r="C34" s="292"/>
      <c r="D34" s="292"/>
      <c r="E34" s="292"/>
      <c r="F34" s="292" t="s">
        <v>77</v>
      </c>
      <c r="G34" s="292"/>
      <c r="H34" s="212">
        <f>IF(C34&lt;&gt;"",'CBL Score Standard'!$D92,IF(D34&lt;&gt;"",SUM('CBL Score Standard'!$D92:$E92),IF(E34&lt;&gt;"",SUM('CBL Score Standard'!$D92:$F92),IF(F34&lt;&gt;"",SUM('CBL Score Standard'!$D92:$G92),IF(G34&lt;&gt;"",SUM('CBL Score Standard'!$D92:$H92,0))))))</f>
        <v>0.18173788128858734</v>
      </c>
      <c r="I34" s="182" t="e">
        <f t="shared" si="0"/>
        <v>#N/A</v>
      </c>
      <c r="J34" s="182" t="e">
        <f t="shared" si="1"/>
        <v>#N/A</v>
      </c>
      <c r="K34" s="107"/>
      <c r="L34" s="107"/>
      <c r="M34" s="266" t="s">
        <v>6</v>
      </c>
      <c r="N34" s="267" t="s">
        <v>54</v>
      </c>
      <c r="O34" s="270" t="s">
        <v>335</v>
      </c>
      <c r="P34" s="272"/>
      <c r="Q34" s="269" t="s">
        <v>207</v>
      </c>
      <c r="R34" s="269" t="s">
        <v>319</v>
      </c>
      <c r="S34" s="107"/>
      <c r="T34" s="107"/>
      <c r="U34" s="308"/>
      <c r="V34" s="107" t="s">
        <v>364</v>
      </c>
      <c r="W34" s="107" t="s">
        <v>367</v>
      </c>
      <c r="X34" s="107" t="s">
        <v>367</v>
      </c>
    </row>
    <row r="35" spans="1:24" ht="13.95" customHeight="1"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t="s">
        <v>141</v>
      </c>
      <c r="L35" s="107" t="s">
        <v>142</v>
      </c>
      <c r="M35" s="275" t="s">
        <v>7</v>
      </c>
      <c r="N35" s="276" t="s">
        <v>55</v>
      </c>
      <c r="O35" s="277" t="s">
        <v>183</v>
      </c>
      <c r="P35" s="283">
        <v>44266</v>
      </c>
      <c r="Q35" s="280" t="s">
        <v>218</v>
      </c>
      <c r="R35" s="280" t="s">
        <v>266</v>
      </c>
      <c r="S35" s="237"/>
      <c r="T35" s="107"/>
      <c r="U35" s="308"/>
      <c r="V35" s="107" t="s">
        <v>364</v>
      </c>
      <c r="W35" s="107" t="s">
        <v>367</v>
      </c>
      <c r="X35" s="107" t="s">
        <v>367</v>
      </c>
    </row>
    <row r="36" spans="1:24" ht="28.95" customHeight="1"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f t="shared" si="0"/>
        <v>0</v>
      </c>
      <c r="J36" s="182">
        <f t="shared" si="1"/>
        <v>0</v>
      </c>
      <c r="K36" s="107"/>
      <c r="L36" s="107"/>
      <c r="M36" s="275" t="s">
        <v>7</v>
      </c>
      <c r="N36" s="276" t="s">
        <v>56</v>
      </c>
      <c r="O36" s="277" t="s">
        <v>213</v>
      </c>
      <c r="P36" s="280"/>
      <c r="Q36" s="280" t="s">
        <v>162</v>
      </c>
      <c r="R36" s="280" t="s">
        <v>317</v>
      </c>
      <c r="S36" s="237"/>
      <c r="T36" s="107"/>
      <c r="U36" s="308"/>
      <c r="V36" s="107" t="s">
        <v>364</v>
      </c>
      <c r="W36" s="107" t="s">
        <v>367</v>
      </c>
      <c r="X36" s="107" t="s">
        <v>367</v>
      </c>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t="str">
        <f t="shared" si="1"/>
        <v>N</v>
      </c>
      <c r="K37" s="107"/>
      <c r="L37" s="107"/>
      <c r="M37" s="275" t="s">
        <v>7</v>
      </c>
      <c r="N37" s="276" t="s">
        <v>55</v>
      </c>
      <c r="O37" s="277" t="s">
        <v>595</v>
      </c>
      <c r="P37" s="283"/>
      <c r="Q37" s="281" t="s">
        <v>387</v>
      </c>
      <c r="R37" s="282" t="s">
        <v>386</v>
      </c>
      <c r="S37" s="237"/>
      <c r="T37" s="107"/>
      <c r="U37" s="308"/>
      <c r="V37" s="107" t="s">
        <v>364</v>
      </c>
      <c r="W37" s="107" t="s">
        <v>367</v>
      </c>
      <c r="X37" s="107" t="s">
        <v>367</v>
      </c>
    </row>
    <row r="38" spans="1:24" ht="23.4" customHeight="1" x14ac:dyDescent="0.3">
      <c r="A38" s="213" t="s">
        <v>54</v>
      </c>
      <c r="B38" s="206" t="s">
        <v>388</v>
      </c>
      <c r="C38" s="292"/>
      <c r="D38" s="292"/>
      <c r="E38" s="292"/>
      <c r="F38" s="292" t="s">
        <v>77</v>
      </c>
      <c r="G38" s="292"/>
      <c r="H38" s="212">
        <f>IF(C38&lt;&gt;"",'CBL Score Standard'!$D96,IF(D38&lt;&gt;"",SUM('CBL Score Standard'!$D96:$E96),IF(E38&lt;&gt;"",SUM('CBL Score Standard'!$D96:$F96),IF(F38&lt;&gt;"",SUM('CBL Score Standard'!$D96:$G96),IF(G38&lt;&gt;"",SUM('CBL Score Standard'!$D96:$H96,0))))))</f>
        <v>0.18173788128858734</v>
      </c>
      <c r="I38" s="182" t="str">
        <f t="shared" si="0"/>
        <v>Passed</v>
      </c>
      <c r="J38" s="182" t="str">
        <f t="shared" si="1"/>
        <v>N</v>
      </c>
      <c r="K38" s="107"/>
      <c r="L38" s="107"/>
      <c r="M38" s="275" t="s">
        <v>7</v>
      </c>
      <c r="N38" s="276" t="s">
        <v>55</v>
      </c>
      <c r="O38" s="277" t="s">
        <v>410</v>
      </c>
      <c r="P38" s="280"/>
      <c r="Q38" s="282" t="s">
        <v>661</v>
      </c>
      <c r="R38" s="280" t="s">
        <v>662</v>
      </c>
      <c r="S38" s="237"/>
      <c r="T38" s="107"/>
      <c r="U38" s="308"/>
      <c r="V38" s="107" t="s">
        <v>364</v>
      </c>
      <c r="W38" s="107" t="s">
        <v>367</v>
      </c>
      <c r="X38" s="107" t="s">
        <v>367</v>
      </c>
    </row>
    <row r="39" spans="1:24" ht="41.4" x14ac:dyDescent="0.3">
      <c r="A39" s="213" t="s">
        <v>54</v>
      </c>
      <c r="B39" s="206" t="s">
        <v>335</v>
      </c>
      <c r="C39" s="240"/>
      <c r="D39" s="292"/>
      <c r="E39" s="292"/>
      <c r="F39" s="292" t="s">
        <v>77</v>
      </c>
      <c r="G39" s="292"/>
      <c r="H39" s="212">
        <f>IF(C39&lt;&gt;"",'CBL Score Standard'!$D97,IF(D39&lt;&gt;"",SUM('CBL Score Standard'!$D97:$E97),IF(E39&lt;&gt;"",SUM('CBL Score Standard'!$D97:$F97),IF(F39&lt;&gt;"",SUM('CBL Score Standard'!$D97:$G97),IF(G39&lt;&gt;"",SUM('CBL Score Standard'!$D97:$H97,0))))))</f>
        <v>9.8404547955253982E-2</v>
      </c>
      <c r="I39" s="182" t="str">
        <f t="shared" si="0"/>
        <v>Passed</v>
      </c>
      <c r="J39" s="182" t="str">
        <f t="shared" si="1"/>
        <v>Y</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t="str">
        <f t="shared" ref="I40:I59" si="2">VLOOKUP(B40,$O$4:$W$64,8,0)</f>
        <v>Passed</v>
      </c>
      <c r="J40" s="182" t="str">
        <f t="shared" ref="J40:J59" si="3">VLOOKUP(B40,$O$4:$W$64,9,0)</f>
        <v>N</v>
      </c>
      <c r="K40" s="107"/>
      <c r="L40" s="107"/>
      <c r="M40" s="275" t="s">
        <v>7</v>
      </c>
      <c r="N40" s="276" t="s">
        <v>55</v>
      </c>
      <c r="O40" s="277" t="s">
        <v>657</v>
      </c>
      <c r="P40" s="283"/>
      <c r="Q40" s="280" t="s">
        <v>219</v>
      </c>
      <c r="R40" s="280" t="s">
        <v>256</v>
      </c>
      <c r="S40" s="237"/>
      <c r="T40" s="107" t="s">
        <v>72</v>
      </c>
      <c r="U40" s="107"/>
      <c r="V40" s="107"/>
      <c r="W40" s="107"/>
      <c r="X40" s="107"/>
    </row>
    <row r="41" spans="1:24" ht="13.95" customHeight="1"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t="str">
        <f t="shared" si="3"/>
        <v>N</v>
      </c>
      <c r="K41" s="107"/>
      <c r="L41" s="107"/>
      <c r="M41" s="275" t="s">
        <v>7</v>
      </c>
      <c r="N41" s="276" t="s">
        <v>53</v>
      </c>
      <c r="O41" s="277" t="s">
        <v>221</v>
      </c>
      <c r="P41" s="283"/>
      <c r="Q41" s="280" t="s">
        <v>222</v>
      </c>
      <c r="R41" s="280" t="s">
        <v>344</v>
      </c>
      <c r="S41" s="237" t="s">
        <v>259</v>
      </c>
      <c r="T41" s="107" t="s">
        <v>72</v>
      </c>
      <c r="U41" s="308">
        <v>43621</v>
      </c>
      <c r="V41" s="107" t="s">
        <v>364</v>
      </c>
      <c r="W41" s="107" t="s">
        <v>368</v>
      </c>
      <c r="X41" s="107"/>
    </row>
    <row r="42" spans="1:24" ht="26.4" customHeight="1"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2"/>
        <v>Passed</v>
      </c>
      <c r="J42" s="182" t="str">
        <f t="shared" si="3"/>
        <v>N</v>
      </c>
      <c r="K42" s="107"/>
      <c r="L42" s="107"/>
      <c r="M42" s="275" t="s">
        <v>7</v>
      </c>
      <c r="N42" s="276" t="s">
        <v>53</v>
      </c>
      <c r="O42" s="277" t="s">
        <v>224</v>
      </c>
      <c r="P42" s="283"/>
      <c r="Q42" s="280" t="s">
        <v>225</v>
      </c>
      <c r="R42" s="280" t="s">
        <v>340</v>
      </c>
      <c r="S42" s="237"/>
      <c r="T42" s="107"/>
      <c r="U42" s="308"/>
      <c r="V42" s="107" t="s">
        <v>364</v>
      </c>
      <c r="W42" s="107" t="s">
        <v>368</v>
      </c>
      <c r="X42" s="107"/>
    </row>
    <row r="43" spans="1:24" ht="27.6" customHeight="1" x14ac:dyDescent="0.3">
      <c r="A43" s="213" t="s">
        <v>53</v>
      </c>
      <c r="B43" s="206" t="s">
        <v>224</v>
      </c>
      <c r="C43" s="240"/>
      <c r="D43" s="240"/>
      <c r="E43" s="240" t="s">
        <v>77</v>
      </c>
      <c r="F43" s="292"/>
      <c r="G43" s="292"/>
      <c r="H43" s="212">
        <f>IF(C43&lt;&gt;"",'CBL Score Standard'!$D101,IF(D43&lt;&gt;"",SUM('CBL Score Standard'!$D101:$E101),IF(E43&lt;&gt;"",SUM('CBL Score Standard'!$D101:$F101),IF(F43&lt;&gt;"",SUM('CBL Score Standard'!$D101:$G101),IF(G43&lt;&gt;"",SUM('CBL Score Standard'!$D101:$H101,0))))))</f>
        <v>1.4285714285714285E-2</v>
      </c>
      <c r="I43" s="182" t="str">
        <f t="shared" si="2"/>
        <v>Passed</v>
      </c>
      <c r="J43" s="182" t="str">
        <f t="shared" si="3"/>
        <v>N</v>
      </c>
      <c r="K43" s="107"/>
      <c r="L43" s="107"/>
      <c r="M43" s="275" t="s">
        <v>7</v>
      </c>
      <c r="N43" s="276" t="s">
        <v>658</v>
      </c>
      <c r="O43" s="278" t="s">
        <v>614</v>
      </c>
      <c r="P43" s="283"/>
      <c r="Q43" s="280" t="s">
        <v>152</v>
      </c>
      <c r="R43" s="280" t="s">
        <v>154</v>
      </c>
      <c r="S43" s="237" t="s">
        <v>259</v>
      </c>
      <c r="T43" s="107" t="s">
        <v>72</v>
      </c>
      <c r="U43" s="308">
        <v>43626</v>
      </c>
      <c r="V43" s="107" t="s">
        <v>364</v>
      </c>
      <c r="W43" s="107" t="s">
        <v>368</v>
      </c>
      <c r="X43" s="107"/>
    </row>
    <row r="44" spans="1:24" ht="27.6" customHeight="1"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259</v>
      </c>
      <c r="T44" s="107" t="s">
        <v>72</v>
      </c>
      <c r="U44" s="308">
        <v>43626</v>
      </c>
      <c r="V44" s="107"/>
      <c r="W44" s="107" t="s">
        <v>368</v>
      </c>
      <c r="X44" s="107"/>
    </row>
    <row r="45" spans="1:24" ht="26.4" customHeight="1"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2"/>
        <v>Passed</v>
      </c>
      <c r="J45" s="182" t="str">
        <f t="shared" si="3"/>
        <v>N</v>
      </c>
      <c r="K45" s="107"/>
      <c r="L45" s="107"/>
      <c r="M45" s="275" t="s">
        <v>7</v>
      </c>
      <c r="N45" s="276" t="s">
        <v>56</v>
      </c>
      <c r="O45" s="278" t="s">
        <v>659</v>
      </c>
      <c r="P45" s="283"/>
      <c r="Q45" s="280" t="s">
        <v>575</v>
      </c>
      <c r="R45" s="280" t="s">
        <v>265</v>
      </c>
      <c r="S45" s="237"/>
      <c r="T45" s="107" t="s">
        <v>72</v>
      </c>
      <c r="U45" s="107"/>
      <c r="V45" s="107"/>
      <c r="W45" s="107"/>
      <c r="X45" s="107"/>
    </row>
    <row r="46" spans="1:24" ht="27.6" customHeight="1"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2"/>
        <v>Passed</v>
      </c>
      <c r="J46" s="182" t="str">
        <f t="shared" si="3"/>
        <v>Y</v>
      </c>
      <c r="K46" s="107"/>
      <c r="L46" s="107"/>
      <c r="M46" s="275" t="s">
        <v>7</v>
      </c>
      <c r="N46" s="276" t="s">
        <v>55</v>
      </c>
      <c r="O46" s="278" t="s">
        <v>1</v>
      </c>
      <c r="P46" s="283"/>
      <c r="Q46" s="280" t="s">
        <v>577</v>
      </c>
      <c r="R46" s="280" t="s">
        <v>477</v>
      </c>
      <c r="S46" s="237" t="s">
        <v>259</v>
      </c>
      <c r="T46" s="107" t="s">
        <v>72</v>
      </c>
      <c r="U46" s="308">
        <v>43763</v>
      </c>
      <c r="V46" s="107" t="s">
        <v>364</v>
      </c>
      <c r="W46" s="107" t="s">
        <v>368</v>
      </c>
      <c r="X46" s="107"/>
    </row>
    <row r="47" spans="1:24" ht="27.6" customHeight="1"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t="str">
        <f t="shared" si="3"/>
        <v>N</v>
      </c>
      <c r="K47" s="107"/>
      <c r="L47" s="107"/>
      <c r="M47" s="275" t="s">
        <v>7</v>
      </c>
      <c r="N47" s="276" t="s">
        <v>56</v>
      </c>
      <c r="O47" s="278" t="s">
        <v>383</v>
      </c>
      <c r="P47" s="283"/>
      <c r="Q47" s="280" t="s">
        <v>384</v>
      </c>
      <c r="R47" s="280"/>
      <c r="S47" s="107" t="s">
        <v>259</v>
      </c>
      <c r="T47" s="107" t="s">
        <v>72</v>
      </c>
      <c r="U47" s="308"/>
      <c r="V47" s="107" t="s">
        <v>364</v>
      </c>
      <c r="W47" s="107" t="s">
        <v>367</v>
      </c>
      <c r="X47" s="107" t="s">
        <v>367</v>
      </c>
    </row>
    <row r="48" spans="1:24" ht="39.6" customHeight="1"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2"/>
        <v>Passed</v>
      </c>
      <c r="J48" s="182" t="str">
        <f t="shared" si="3"/>
        <v>Y</v>
      </c>
      <c r="K48" s="107"/>
      <c r="L48" s="107"/>
      <c r="M48" s="275" t="s">
        <v>7</v>
      </c>
      <c r="N48" s="276" t="s">
        <v>56</v>
      </c>
      <c r="O48" s="278" t="s">
        <v>385</v>
      </c>
      <c r="P48" s="280"/>
      <c r="Q48" s="280" t="s">
        <v>387</v>
      </c>
      <c r="R48" s="280" t="s">
        <v>386</v>
      </c>
      <c r="S48" s="237" t="s">
        <v>259</v>
      </c>
      <c r="T48" s="107" t="s">
        <v>72</v>
      </c>
      <c r="U48" s="308">
        <v>43763</v>
      </c>
      <c r="V48" s="107" t="s">
        <v>364</v>
      </c>
      <c r="W48" s="107" t="s">
        <v>368</v>
      </c>
      <c r="X48" s="107"/>
    </row>
    <row r="49" spans="1:24" ht="13.95" customHeight="1"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2"/>
        <v>Passed</v>
      </c>
      <c r="J49" s="182" t="str">
        <f t="shared" si="3"/>
        <v>Y</v>
      </c>
      <c r="K49" s="107"/>
      <c r="L49" s="107"/>
      <c r="M49" s="275" t="s">
        <v>7</v>
      </c>
      <c r="N49" s="276" t="s">
        <v>54</v>
      </c>
      <c r="O49" s="278" t="s">
        <v>229</v>
      </c>
      <c r="P49" s="283"/>
      <c r="Q49" s="280" t="s">
        <v>665</v>
      </c>
      <c r="R49" s="280" t="s">
        <v>574</v>
      </c>
      <c r="S49" s="107" t="s">
        <v>259</v>
      </c>
      <c r="T49" s="107" t="s">
        <v>72</v>
      </c>
      <c r="U49" s="308">
        <v>43756</v>
      </c>
      <c r="V49" s="107" t="s">
        <v>364</v>
      </c>
      <c r="W49" s="107" t="s">
        <v>368</v>
      </c>
      <c r="X49" s="107"/>
    </row>
    <row r="50" spans="1:24" ht="27.6" customHeight="1" x14ac:dyDescent="0.3">
      <c r="A50" s="213" t="s">
        <v>643</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27.6" customHeight="1" x14ac:dyDescent="0.3">
      <c r="A51" s="213" t="s">
        <v>643</v>
      </c>
      <c r="B51" s="206" t="s">
        <v>475</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41.4" customHeight="1" x14ac:dyDescent="0.3">
      <c r="A52" s="213" t="s">
        <v>643</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2"/>
        <v>Passed</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ht="27.6" customHeight="1" x14ac:dyDescent="0.3">
      <c r="A53" s="213" t="s">
        <v>643</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t="str">
        <f t="shared" si="2"/>
        <v>Passed</v>
      </c>
      <c r="J53" s="182" t="str">
        <f t="shared" si="3"/>
        <v>N</v>
      </c>
      <c r="K53" s="107" t="s">
        <v>141</v>
      </c>
      <c r="L53" s="107" t="s">
        <v>142</v>
      </c>
      <c r="M53" s="284" t="s">
        <v>8</v>
      </c>
      <c r="N53" s="285" t="s">
        <v>2</v>
      </c>
      <c r="O53" s="279" t="s">
        <v>232</v>
      </c>
      <c r="P53" s="286" t="s">
        <v>228</v>
      </c>
      <c r="Q53" s="286" t="s">
        <v>671</v>
      </c>
      <c r="R53" s="286"/>
      <c r="S53" s="237"/>
      <c r="T53" s="107"/>
      <c r="U53" s="107"/>
      <c r="V53" s="107"/>
      <c r="W53" s="107" t="s">
        <v>368</v>
      </c>
      <c r="X53" s="107"/>
    </row>
    <row r="54" spans="1:24" ht="28.95" customHeight="1"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t="s">
        <v>368</v>
      </c>
      <c r="X54" s="107"/>
    </row>
    <row r="55" spans="1:24" customFormat="1" ht="14.4" customHeigh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ht="14.4" customHeight="1" x14ac:dyDescent="0.3">
      <c r="A56" s="213" t="s">
        <v>643</v>
      </c>
      <c r="B56" s="206" t="s">
        <v>679</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I56" s="182" t="str">
        <f t="shared" si="2"/>
        <v>Passed</v>
      </c>
      <c r="J56" s="182" t="str">
        <f t="shared" si="3"/>
        <v>Y</v>
      </c>
      <c r="K56" s="107"/>
      <c r="L56" s="107"/>
      <c r="M56" s="284" t="s">
        <v>8</v>
      </c>
      <c r="N56" s="285" t="s">
        <v>55</v>
      </c>
      <c r="O56" s="279" t="s">
        <v>236</v>
      </c>
      <c r="P56" s="286" t="s">
        <v>228</v>
      </c>
      <c r="Q56" s="286" t="s">
        <v>673</v>
      </c>
      <c r="R56" s="286"/>
      <c r="S56" s="237"/>
      <c r="T56" s="107"/>
      <c r="U56" s="107"/>
      <c r="V56" s="107"/>
      <c r="W56" s="107" t="s">
        <v>368</v>
      </c>
      <c r="X56" s="107"/>
    </row>
    <row r="57" spans="1:24" ht="26.4" x14ac:dyDescent="0.3">
      <c r="A57" s="213" t="s">
        <v>643</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2"/>
        <v>Passed</v>
      </c>
      <c r="J57" s="182" t="str">
        <f t="shared" si="3"/>
        <v>N</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2"/>
        <v>Passed</v>
      </c>
      <c r="J58" s="182" t="str">
        <f t="shared" si="3"/>
        <v>N</v>
      </c>
      <c r="K58" s="107"/>
      <c r="L58" s="107"/>
      <c r="M58" s="284" t="s">
        <v>8</v>
      </c>
      <c r="N58" s="285" t="s">
        <v>59</v>
      </c>
      <c r="O58" s="279" t="s">
        <v>237</v>
      </c>
      <c r="P58" s="286" t="s">
        <v>228</v>
      </c>
      <c r="Q58" s="286" t="s">
        <v>675</v>
      </c>
      <c r="R58" s="286"/>
      <c r="S58" s="107"/>
      <c r="T58" s="107"/>
      <c r="U58" s="307"/>
      <c r="V58" s="107"/>
      <c r="W58" s="107" t="s">
        <v>368</v>
      </c>
      <c r="X58" s="107"/>
    </row>
    <row r="59" spans="1:24" ht="26.4" x14ac:dyDescent="0.3">
      <c r="A59" s="213" t="s">
        <v>643</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2"/>
        <v>Passed</v>
      </c>
      <c r="J59" s="182" t="str">
        <f t="shared" si="3"/>
        <v>Y</v>
      </c>
      <c r="K59" s="107"/>
      <c r="L59" s="107"/>
      <c r="M59" s="284" t="s">
        <v>8</v>
      </c>
      <c r="N59" s="285" t="s">
        <v>55</v>
      </c>
      <c r="O59" s="279" t="s">
        <v>473</v>
      </c>
      <c r="P59" s="286" t="s">
        <v>228</v>
      </c>
      <c r="Q59" s="286" t="s">
        <v>672</v>
      </c>
      <c r="R59" s="286"/>
      <c r="S59" s="107"/>
      <c r="T59" s="107"/>
      <c r="U59" s="307"/>
      <c r="V59" s="107"/>
      <c r="W59" s="107" t="s">
        <v>368</v>
      </c>
      <c r="X59" s="107"/>
    </row>
    <row r="60" spans="1:24" x14ac:dyDescent="0.3">
      <c r="A60" s="213" t="s">
        <v>643</v>
      </c>
      <c r="B60" s="206" t="s">
        <v>739</v>
      </c>
      <c r="C60" s="240"/>
      <c r="D60" s="240"/>
      <c r="E60" s="292"/>
      <c r="F60" s="292"/>
      <c r="G60" s="292"/>
      <c r="H60" s="212"/>
      <c r="I60" s="182" t="str">
        <f t="shared" ref="I60:I65" si="4">VLOOKUP(B61,$O$4:$W$64,8,0)</f>
        <v>Passed</v>
      </c>
      <c r="J60" s="182" t="str">
        <f t="shared" ref="J60:J65" si="5">VLOOKUP(B61,$O$4:$W$64,9,0)</f>
        <v>Y</v>
      </c>
      <c r="K60" s="107"/>
      <c r="L60" s="107"/>
      <c r="M60" s="284" t="s">
        <v>8</v>
      </c>
      <c r="N60" s="285" t="s">
        <v>148</v>
      </c>
      <c r="O60" s="279" t="s">
        <v>360</v>
      </c>
      <c r="P60" s="286" t="s">
        <v>228</v>
      </c>
      <c r="Q60" s="286" t="s">
        <v>676</v>
      </c>
      <c r="R60" s="286" t="s">
        <v>216</v>
      </c>
      <c r="S60" s="107"/>
      <c r="T60" s="107"/>
      <c r="U60" s="107"/>
      <c r="V60" s="107"/>
      <c r="W60" s="107" t="s">
        <v>368</v>
      </c>
      <c r="X60" s="107"/>
    </row>
    <row r="61" spans="1:24" ht="13.8" x14ac:dyDescent="0.25">
      <c r="A61" s="150" t="s">
        <v>56</v>
      </c>
      <c r="B61" s="206" t="s">
        <v>383</v>
      </c>
      <c r="C61" s="240"/>
      <c r="D61" s="240"/>
      <c r="E61" s="292"/>
      <c r="F61" s="292" t="s">
        <v>77</v>
      </c>
      <c r="G61" s="292"/>
      <c r="H61" s="212">
        <f>IF(C61&lt;&gt;"",'CBL Score Standard'!$D118,IF(D61&lt;&gt;"",SUM('CBL Score Standard'!$D118:$E118),IF(E61&lt;&gt;"",SUM('CBL Score Standard'!$D118:$F118),IF(F61&lt;&gt;"",SUM('CBL Score Standard'!$D118:$G118),IF(G61&lt;&gt;"",SUM('CBL Score Standard'!$D118:$H118,0))))))</f>
        <v>4.9624060150375938E-2</v>
      </c>
      <c r="I61" s="182" t="str">
        <f t="shared" si="4"/>
        <v>Passed</v>
      </c>
      <c r="J61" s="182" t="str">
        <f t="shared" si="5"/>
        <v>N</v>
      </c>
      <c r="K61" s="107" t="s">
        <v>141</v>
      </c>
      <c r="L61" s="107" t="s">
        <v>142</v>
      </c>
      <c r="M61" s="287" t="s">
        <v>9</v>
      </c>
      <c r="N61" s="288" t="s">
        <v>233</v>
      </c>
      <c r="O61" s="289" t="s">
        <v>241</v>
      </c>
      <c r="P61" s="305"/>
      <c r="Q61" s="26"/>
      <c r="R61" s="26"/>
      <c r="S61" s="107"/>
      <c r="T61" s="107"/>
      <c r="U61" s="107"/>
      <c r="V61" s="107"/>
      <c r="W61" s="107" t="s">
        <v>368</v>
      </c>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t="s">
        <v>368</v>
      </c>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t="str">
        <f t="shared" si="5"/>
        <v>N</v>
      </c>
      <c r="K63" s="107"/>
      <c r="L63" s="107"/>
      <c r="M63" s="287" t="s">
        <v>9</v>
      </c>
      <c r="N63" s="288" t="s">
        <v>3</v>
      </c>
      <c r="O63" s="289" t="s">
        <v>474</v>
      </c>
      <c r="P63" s="305"/>
      <c r="Q63" s="26"/>
      <c r="R63" s="26"/>
      <c r="S63" s="107"/>
      <c r="T63" s="107"/>
      <c r="U63" s="107"/>
      <c r="V63" s="107"/>
      <c r="W63" s="107" t="s">
        <v>368</v>
      </c>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t="s">
        <v>368</v>
      </c>
      <c r="X64" s="107"/>
    </row>
    <row r="65" spans="1:18" x14ac:dyDescent="0.3">
      <c r="A65" s="213" t="s">
        <v>56</v>
      </c>
      <c r="B65" s="206" t="s">
        <v>67</v>
      </c>
      <c r="C65" s="240"/>
      <c r="D65" s="240"/>
      <c r="E65" s="292"/>
      <c r="F65" s="292" t="s">
        <v>77</v>
      </c>
      <c r="G65" s="292"/>
      <c r="H65" s="212">
        <f>IF(C65&lt;&gt;"",'CBL Score Standard'!$D122,IF(D65&lt;&gt;"",SUM('CBL Score Standard'!$D122:$E122),IF(E65&lt;&gt;"",SUM('CBL Score Standard'!$D122:$F122),IF(F65&lt;&gt;"",SUM('CBL Score Standard'!$D122:$G122),IF(G65&lt;&gt;"",SUM('CBL Score Standard'!$D122:$H122,0))))))</f>
        <v>4.9624060150375938E-2</v>
      </c>
      <c r="I65" s="182" t="str">
        <f t="shared" si="4"/>
        <v>Passed</v>
      </c>
      <c r="J65" s="182" t="str">
        <f t="shared" si="5"/>
        <v>N</v>
      </c>
      <c r="K65" s="205"/>
      <c r="L65" s="205"/>
      <c r="M65" s="205"/>
      <c r="N65" s="306"/>
      <c r="O65" s="205"/>
      <c r="P65" s="205"/>
      <c r="Q65" s="205"/>
      <c r="R65" s="205"/>
    </row>
    <row r="66" spans="1:18" ht="15" thickBot="1" x14ac:dyDescent="0.35">
      <c r="A66" s="214" t="s">
        <v>55</v>
      </c>
      <c r="B66" s="206" t="s">
        <v>1</v>
      </c>
      <c r="C66" s="240"/>
      <c r="D66" s="240"/>
      <c r="E66" s="292"/>
      <c r="F66" s="292" t="s">
        <v>77</v>
      </c>
      <c r="G66" s="292"/>
      <c r="H66" s="212">
        <f>IF(C66&lt;&gt;"",'CBL Score Standard'!$D123,IF(D66&lt;&gt;"",SUM('CBL Score Standard'!$D123:$E123),IF(E66&lt;&gt;"",SUM('CBL Score Standard'!$D123:$F123),IF(F66&lt;&gt;"",SUM('CBL Score Standard'!$D123:$G123),IF(G66&lt;&gt;"",SUM('CBL Score Standard'!$D123:$H123,0))))))</f>
        <v>4.9624060150375938E-2</v>
      </c>
      <c r="K66" s="205"/>
      <c r="L66" s="205"/>
      <c r="M66" s="205"/>
      <c r="N66" s="306"/>
      <c r="O66" s="205"/>
      <c r="P66" s="205"/>
      <c r="Q66" s="205"/>
      <c r="R66" s="205"/>
    </row>
    <row r="67" spans="1:18" ht="15" thickBot="1" x14ac:dyDescent="0.35">
      <c r="A67" s="362" t="s">
        <v>79</v>
      </c>
      <c r="B67" s="363"/>
      <c r="C67" s="364"/>
      <c r="D67" s="364"/>
      <c r="E67" s="364"/>
      <c r="F67" s="364"/>
      <c r="G67" s="364"/>
      <c r="H67" s="183">
        <f>SUM(H8:H64)</f>
        <v>3.1427440552601014</v>
      </c>
      <c r="K67" s="205"/>
      <c r="L67" s="205"/>
      <c r="M67" s="205"/>
      <c r="N67" s="306"/>
      <c r="O67" s="205"/>
      <c r="P67" s="205"/>
      <c r="Q67" s="205"/>
      <c r="R67" s="205"/>
    </row>
    <row r="68" spans="1:18" ht="13.95" customHeight="1"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autoFilter ref="A3:J70"/>
  <customSheetViews>
    <customSheetView guid="{6D9FC8F7-6352-4BF1-890A-27BF36FADC03}" scale="85" showGridLines="0" fitToPage="1" showAutoFilter="1" topLeftCell="A52">
      <selection activeCell="A7" sqref="A7:H68"/>
      <pageMargins left="0.25" right="0" top="0.25" bottom="0.25" header="0.3" footer="0"/>
      <pageSetup scale="34" fitToHeight="0" orientation="landscape" r:id="rId1"/>
      <autoFilter ref="A3:J70"/>
    </customSheetView>
    <customSheetView guid="{040B64FF-F135-4C7F-9498-A8399C10673D}" scale="85" showGridLines="0" fitToPage="1" showAutoFilter="1" topLeftCell="A52">
      <selection activeCell="A7" sqref="A7:H68"/>
      <pageMargins left="0.25" right="0" top="0.25" bottom="0.25" header="0.3" footer="0"/>
      <pageSetup scale="34" fitToHeight="0" orientation="landscape" r:id="rId2"/>
      <autoFilter ref="A3:J70"/>
    </customSheetView>
    <customSheetView guid="{3BEDB203-29A8-4A82-B140-5CE8D0753F8B}" scale="85" showGridLines="0" fitToPage="1" showAutoFilter="1" topLeftCell="A52">
      <selection activeCell="A7" sqref="A7:H68"/>
      <pageMargins left="0.25" right="0" top="0.25" bottom="0.25" header="0.3" footer="0"/>
      <pageSetup scale="34" fitToHeight="0" orientation="landscape" r:id="rId3"/>
      <autoFilter ref="A3:J70"/>
    </customSheetView>
  </customSheetViews>
  <mergeCells count="6">
    <mergeCell ref="A69:G69"/>
    <mergeCell ref="M2:M3"/>
    <mergeCell ref="N2:N3"/>
    <mergeCell ref="S2:S3"/>
    <mergeCell ref="A1:H1"/>
    <mergeCell ref="A67:G67"/>
  </mergeCells>
  <conditionalFormatting sqref="C7:D7 F7:H7">
    <cfRule type="containsText" dxfId="307" priority="31" operator="containsText" text="N/A">
      <formula>NOT(ISERROR(SEARCH("N/A",C7)))</formula>
    </cfRule>
    <cfRule type="containsText" dxfId="306" priority="32" operator="containsText" text="Blank">
      <formula>NOT(ISERROR(SEARCH("Blank",C7)))</formula>
    </cfRule>
    <cfRule type="containsText" dxfId="305" priority="33" operator="containsText" text="M">
      <formula>NOT(ISERROR(SEARCH("M",C7)))</formula>
    </cfRule>
  </conditionalFormatting>
  <conditionalFormatting sqref="B67:B69 B7">
    <cfRule type="duplicateValues" dxfId="304" priority="30"/>
  </conditionalFormatting>
  <conditionalFormatting sqref="B30">
    <cfRule type="duplicateValues" dxfId="303" priority="13"/>
  </conditionalFormatting>
  <conditionalFormatting sqref="B55">
    <cfRule type="duplicateValues" dxfId="302" priority="12"/>
  </conditionalFormatting>
  <conditionalFormatting sqref="B13">
    <cfRule type="duplicateValues" dxfId="301" priority="11"/>
  </conditionalFormatting>
  <conditionalFormatting sqref="B56:B66 B31:B54 B8:B12 B14:B28">
    <cfRule type="duplicateValues" dxfId="300" priority="14"/>
  </conditionalFormatting>
  <conditionalFormatting sqref="B29">
    <cfRule type="duplicateValues" dxfId="299" priority="15"/>
  </conditionalFormatting>
  <conditionalFormatting sqref="O25">
    <cfRule type="duplicateValues" dxfId="298" priority="1"/>
  </conditionalFormatting>
  <conditionalFormatting sqref="O4:O9 O12:O18">
    <cfRule type="duplicateValues" dxfId="297" priority="10"/>
  </conditionalFormatting>
  <conditionalFormatting sqref="O10">
    <cfRule type="duplicateValues" dxfId="296" priority="9"/>
  </conditionalFormatting>
  <conditionalFormatting sqref="O11">
    <cfRule type="duplicateValues" dxfId="295" priority="8"/>
  </conditionalFormatting>
  <conditionalFormatting sqref="O19:O24 O32:O34 O26:O30">
    <cfRule type="duplicateValues" dxfId="294" priority="7"/>
  </conditionalFormatting>
  <conditionalFormatting sqref="O36:O52">
    <cfRule type="duplicateValues" dxfId="293" priority="6"/>
  </conditionalFormatting>
  <conditionalFormatting sqref="O35">
    <cfRule type="duplicateValues" dxfId="292" priority="5"/>
  </conditionalFormatting>
  <conditionalFormatting sqref="O53:O60">
    <cfRule type="duplicateValues" dxfId="291" priority="4"/>
  </conditionalFormatting>
  <conditionalFormatting sqref="O61:O64">
    <cfRule type="duplicateValues" dxfId="290" priority="3"/>
  </conditionalFormatting>
  <conditionalFormatting sqref="O31">
    <cfRule type="duplicateValues" dxfId="289" priority="2"/>
  </conditionalFormatting>
  <dataValidations count="4">
    <dataValidation type="list" allowBlank="1" showInputMessage="1" showErrorMessage="1" sqref="V2">
      <formula1>"Passed, Failed, N/A"</formula1>
    </dataValidation>
    <dataValidation type="list" allowBlank="1" showInputMessage="1" showErrorMessage="1" sqref="W2 W4:X64">
      <formula1>"Y, N"</formula1>
    </dataValidation>
    <dataValidation type="list" allowBlank="1" showInputMessage="1" showErrorMessage="1" sqref="V69:X1048576 V3:X3 T69:T1048576 T1:T18 V1:X1 T20:T64">
      <formula1>"M, O, N/A"</formula1>
    </dataValidation>
    <dataValidation type="list" allowBlank="1" showInputMessage="1" showErrorMessage="1" sqref="V4:V64">
      <formula1>"Passed, Failed"</formula1>
    </dataValidation>
  </dataValidations>
  <pageMargins left="0.25" right="0" top="0.25" bottom="0.25" header="0.3" footer="0"/>
  <pageSetup scale="34" fitToHeight="0" orientation="landscape" r:id="rId4"/>
  <drawing r:id="rId5"/>
  <legacyDrawing r:id="rId6"/>
  <controls>
    <mc:AlternateContent xmlns:mc="http://schemas.openxmlformats.org/markup-compatibility/2006">
      <mc:Choice Requires="x14">
        <control shapeId="837641" r:id="rId7" name="CommandButton2">
          <controlPr defaultSize="0" autoLine="0" r:id="rId8">
            <anchor moveWithCells="1">
              <from>
                <xdr:col>8</xdr:col>
                <xdr:colOff>121920</xdr:colOff>
                <xdr:row>30</xdr:row>
                <xdr:rowOff>0</xdr:rowOff>
              </from>
              <to>
                <xdr:col>9</xdr:col>
                <xdr:colOff>441960</xdr:colOff>
                <xdr:row>31</xdr:row>
                <xdr:rowOff>281940</xdr:rowOff>
              </to>
            </anchor>
          </controlPr>
        </control>
      </mc:Choice>
      <mc:Fallback>
        <control shapeId="837641" r:id="rId7"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tabColor rgb="FFFFC000"/>
    <pageSetUpPr fitToPage="1"/>
  </sheetPr>
  <dimension ref="A1:X197"/>
  <sheetViews>
    <sheetView showGridLines="0" topLeftCell="J37" zoomScale="70" zoomScaleNormal="70" workbookViewId="0">
      <selection activeCell="S4" sqref="S4:X6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70" t="s">
        <v>357</v>
      </c>
      <c r="B2" s="58" t="s">
        <v>578</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43818</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1.1342465753424658</v>
      </c>
      <c r="C4" s="3"/>
      <c r="D4" s="3"/>
      <c r="E4" s="3"/>
      <c r="F4" s="3"/>
      <c r="G4" s="3"/>
      <c r="H4" s="3"/>
      <c r="K4" s="107" t="s">
        <v>141</v>
      </c>
      <c r="L4" s="107" t="s">
        <v>142</v>
      </c>
      <c r="M4" s="254" t="s">
        <v>5</v>
      </c>
      <c r="N4" s="255" t="s">
        <v>143</v>
      </c>
      <c r="O4" s="256" t="s">
        <v>362</v>
      </c>
      <c r="P4" s="258"/>
      <c r="Q4" s="261" t="s">
        <v>145</v>
      </c>
      <c r="R4" s="261" t="s">
        <v>211</v>
      </c>
      <c r="S4" s="237"/>
      <c r="T4" s="107"/>
      <c r="U4" s="307"/>
      <c r="V4" s="107"/>
      <c r="W4" s="107"/>
      <c r="X4" s="107"/>
    </row>
    <row r="5" spans="1:24" ht="12.75" customHeight="1" x14ac:dyDescent="0.3">
      <c r="A5" s="70" t="s">
        <v>377</v>
      </c>
      <c r="B5" s="95">
        <v>8</v>
      </c>
      <c r="C5" s="97"/>
      <c r="D5" s="3"/>
      <c r="E5" s="3"/>
      <c r="F5" s="3"/>
      <c r="G5" s="3"/>
      <c r="H5" s="3"/>
      <c r="K5" s="107"/>
      <c r="L5" s="107"/>
      <c r="M5" s="254" t="s">
        <v>5</v>
      </c>
      <c r="N5" s="255" t="s">
        <v>143</v>
      </c>
      <c r="O5" s="256" t="s">
        <v>363</v>
      </c>
      <c r="P5" s="259" t="s">
        <v>144</v>
      </c>
      <c r="Q5" s="259" t="s">
        <v>149</v>
      </c>
      <c r="R5" s="259" t="s">
        <v>150</v>
      </c>
      <c r="S5" s="237"/>
      <c r="T5" s="107"/>
      <c r="U5" s="308">
        <v>43822</v>
      </c>
      <c r="V5" s="107" t="s">
        <v>364</v>
      </c>
      <c r="W5" s="107"/>
      <c r="X5" s="107"/>
    </row>
    <row r="6" spans="1:24" thickBot="1" x14ac:dyDescent="0.35">
      <c r="A6" s="70" t="s">
        <v>378</v>
      </c>
      <c r="B6" s="95">
        <f ca="1">B4+B5</f>
        <v>9.1342465753424662</v>
      </c>
      <c r="C6" s="97"/>
      <c r="K6" s="107"/>
      <c r="L6" s="107"/>
      <c r="M6" s="254" t="s">
        <v>5</v>
      </c>
      <c r="N6" s="255" t="s">
        <v>148</v>
      </c>
      <c r="O6" s="256" t="s">
        <v>148</v>
      </c>
      <c r="P6" s="259" t="s">
        <v>144</v>
      </c>
      <c r="Q6" s="259" t="s">
        <v>149</v>
      </c>
      <c r="R6" s="259" t="s">
        <v>150</v>
      </c>
      <c r="S6" s="237" t="s">
        <v>615</v>
      </c>
      <c r="T6" s="107" t="s">
        <v>72</v>
      </c>
      <c r="U6" s="308">
        <v>43826</v>
      </c>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c r="W7" s="237"/>
      <c r="X7" s="107"/>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 t="shared" ref="I8:I39" si="0">VLOOKUP(B8,$O$4:$W$64,8,0)</f>
        <v>0</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si="0"/>
        <v>0</v>
      </c>
      <c r="J9" s="182">
        <f t="shared" si="1"/>
        <v>0</v>
      </c>
      <c r="K9" s="107"/>
      <c r="L9" s="107"/>
      <c r="M9" s="254" t="s">
        <v>5</v>
      </c>
      <c r="N9" s="255" t="s">
        <v>678</v>
      </c>
      <c r="O9" s="257" t="s">
        <v>592</v>
      </c>
      <c r="P9" s="259" t="s">
        <v>144</v>
      </c>
      <c r="Q9" s="259" t="s">
        <v>153</v>
      </c>
      <c r="R9" s="259" t="s">
        <v>263</v>
      </c>
      <c r="S9" s="237"/>
      <c r="T9" s="107"/>
      <c r="U9" s="308">
        <v>43823</v>
      </c>
      <c r="V9" s="107" t="s">
        <v>364</v>
      </c>
      <c r="W9" s="107"/>
      <c r="X9" s="107"/>
    </row>
    <row r="10" spans="1:24" ht="13.8" x14ac:dyDescent="0.3">
      <c r="A10" s="213" t="s">
        <v>56</v>
      </c>
      <c r="B10" s="206" t="s">
        <v>213</v>
      </c>
      <c r="C10" s="240"/>
      <c r="D10" s="240" t="s">
        <v>77</v>
      </c>
      <c r="E10" s="292"/>
      <c r="F10" s="292"/>
      <c r="G10" s="292"/>
      <c r="H10" s="212">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c r="U10" s="308"/>
      <c r="V10" s="107"/>
      <c r="W10" s="107"/>
      <c r="X10" s="107"/>
    </row>
    <row r="11" spans="1:24" ht="13.8" x14ac:dyDescent="0.3">
      <c r="A11" s="213" t="s">
        <v>63</v>
      </c>
      <c r="B11" s="206" t="s">
        <v>234</v>
      </c>
      <c r="C11" s="240"/>
      <c r="D11" s="240" t="s">
        <v>77</v>
      </c>
      <c r="E11" s="240"/>
      <c r="F11" s="292"/>
      <c r="G11" s="292"/>
      <c r="H11" s="212">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c r="U11" s="107"/>
      <c r="V11" s="107"/>
      <c r="W11" s="107"/>
      <c r="X11" s="107"/>
    </row>
    <row r="12" spans="1:24" ht="13.8" x14ac:dyDescent="0.3">
      <c r="A12" s="213" t="s">
        <v>63</v>
      </c>
      <c r="B12" s="206" t="s">
        <v>241</v>
      </c>
      <c r="C12" s="240"/>
      <c r="D12" s="240" t="s">
        <v>77</v>
      </c>
      <c r="E12" s="240"/>
      <c r="F12" s="240"/>
      <c r="G12" s="292"/>
      <c r="H12" s="292">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578</v>
      </c>
      <c r="T13" s="107"/>
      <c r="U13" s="308">
        <v>44029</v>
      </c>
      <c r="V13" s="107" t="s">
        <v>364</v>
      </c>
      <c r="W13" s="107"/>
      <c r="X13" s="107"/>
    </row>
    <row r="14" spans="1:24" ht="13.8" x14ac:dyDescent="0.3">
      <c r="A14" s="213" t="s">
        <v>55</v>
      </c>
      <c r="B14" s="206" t="s">
        <v>617</v>
      </c>
      <c r="C14" s="240" t="s">
        <v>77</v>
      </c>
      <c r="D14" s="240"/>
      <c r="E14" s="240"/>
      <c r="F14" s="292"/>
      <c r="G14" s="292"/>
      <c r="H14" s="212">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578</v>
      </c>
      <c r="T15" s="107" t="s">
        <v>72</v>
      </c>
      <c r="U15" s="308">
        <v>44063</v>
      </c>
      <c r="V15" s="107" t="s">
        <v>364</v>
      </c>
      <c r="W15" s="107"/>
      <c r="X15" s="107"/>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t="str">
        <f t="shared" si="0"/>
        <v>Passed</v>
      </c>
      <c r="J16" s="182">
        <f t="shared" si="1"/>
        <v>0</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c r="U17" s="107"/>
      <c r="V17" s="107"/>
      <c r="W17" s="107"/>
      <c r="X17" s="107"/>
    </row>
    <row r="18" spans="1:24" ht="13.8" x14ac:dyDescent="0.3">
      <c r="A18" s="213" t="s">
        <v>55</v>
      </c>
      <c r="B18" s="206" t="s">
        <v>194</v>
      </c>
      <c r="C18" s="240" t="s">
        <v>77</v>
      </c>
      <c r="D18" s="240"/>
      <c r="E18" s="240"/>
      <c r="F18" s="240"/>
      <c r="G18" s="240"/>
      <c r="H18" s="212">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t="s">
        <v>578</v>
      </c>
      <c r="T18" s="107" t="s">
        <v>72</v>
      </c>
      <c r="U18" s="308">
        <v>44075</v>
      </c>
      <c r="V18" s="107" t="s">
        <v>364</v>
      </c>
      <c r="W18" s="107"/>
      <c r="X18" s="107"/>
    </row>
    <row r="19" spans="1:24" ht="12.75" customHeight="1" x14ac:dyDescent="0.3">
      <c r="A19" s="213" t="s">
        <v>55</v>
      </c>
      <c r="B19" s="206" t="s">
        <v>196</v>
      </c>
      <c r="C19" s="240"/>
      <c r="D19" s="240" t="s">
        <v>77</v>
      </c>
      <c r="E19" s="240"/>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c r="U19" s="309"/>
    </row>
    <row r="20" spans="1:24" x14ac:dyDescent="0.3">
      <c r="A20" s="213" t="s">
        <v>55</v>
      </c>
      <c r="B20" s="206" t="s">
        <v>200</v>
      </c>
      <c r="C20" s="240" t="s">
        <v>77</v>
      </c>
      <c r="D20" s="240"/>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c r="T20" s="107" t="s">
        <v>72</v>
      </c>
      <c r="U20" s="308"/>
      <c r="V20" s="107"/>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678</v>
      </c>
      <c r="O22" s="270" t="s">
        <v>186</v>
      </c>
      <c r="P22" s="274">
        <v>44392</v>
      </c>
      <c r="Q22" s="269" t="s">
        <v>153</v>
      </c>
      <c r="R22" s="269" t="s">
        <v>263</v>
      </c>
      <c r="S22" s="237" t="s">
        <v>578</v>
      </c>
      <c r="T22" s="107"/>
      <c r="U22" s="308">
        <v>44097</v>
      </c>
      <c r="V22" s="107" t="s">
        <v>364</v>
      </c>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c r="T23" s="107"/>
      <c r="U23" s="308"/>
      <c r="V23" s="107"/>
      <c r="W23" s="107"/>
      <c r="X23" s="107"/>
    </row>
    <row r="24" spans="1:24" ht="12.75" customHeight="1" x14ac:dyDescent="0.3">
      <c r="A24" s="213" t="s">
        <v>55</v>
      </c>
      <c r="B24" s="206" t="s">
        <v>596</v>
      </c>
      <c r="C24" s="240"/>
      <c r="D24" s="240" t="s">
        <v>77</v>
      </c>
      <c r="E24" s="292"/>
      <c r="F24" s="292"/>
      <c r="G24" s="292"/>
      <c r="H24" s="212">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t="s">
        <v>578</v>
      </c>
      <c r="T24" s="107" t="s">
        <v>72</v>
      </c>
      <c r="U24" s="308">
        <v>44088</v>
      </c>
      <c r="V24" s="107" t="s">
        <v>364</v>
      </c>
      <c r="W24" s="107"/>
      <c r="X24" s="107"/>
    </row>
    <row r="25" spans="1:24" x14ac:dyDescent="0.3">
      <c r="A25" s="213" t="s">
        <v>55</v>
      </c>
      <c r="B25" s="206" t="s">
        <v>236</v>
      </c>
      <c r="C25" s="240"/>
      <c r="D25" s="240" t="s">
        <v>77</v>
      </c>
      <c r="E25" s="240"/>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t="s">
        <v>578</v>
      </c>
      <c r="T26" s="107" t="s">
        <v>72</v>
      </c>
      <c r="U26" s="308">
        <v>44064</v>
      </c>
      <c r="V26" s="107" t="s">
        <v>364</v>
      </c>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t="s">
        <v>629</v>
      </c>
      <c r="U28" s="308"/>
      <c r="V28" s="107"/>
      <c r="W28" s="107"/>
      <c r="X28" s="107"/>
    </row>
    <row r="29" spans="1:24" x14ac:dyDescent="0.3">
      <c r="A29" s="213" t="s">
        <v>59</v>
      </c>
      <c r="B29" s="206" t="s">
        <v>614</v>
      </c>
      <c r="C29" s="240"/>
      <c r="D29" s="240" t="s">
        <v>77</v>
      </c>
      <c r="E29" s="292"/>
      <c r="F29" s="292"/>
      <c r="G29" s="292"/>
      <c r="H29" s="212">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196</v>
      </c>
      <c r="P29" s="272"/>
      <c r="Q29" s="269" t="s">
        <v>197</v>
      </c>
      <c r="R29" s="269" t="s">
        <v>256</v>
      </c>
      <c r="S29" s="237" t="s">
        <v>578</v>
      </c>
      <c r="T29" s="107" t="s">
        <v>72</v>
      </c>
      <c r="U29" s="308">
        <v>44085</v>
      </c>
      <c r="V29" s="107" t="s">
        <v>364</v>
      </c>
      <c r="W29" s="107"/>
      <c r="X29" s="107"/>
    </row>
    <row r="30" spans="1:24" x14ac:dyDescent="0.3">
      <c r="A30" s="213" t="s">
        <v>59</v>
      </c>
      <c r="B30" s="206" t="s">
        <v>613</v>
      </c>
      <c r="C30" s="240"/>
      <c r="D30" s="240"/>
      <c r="E30" s="292"/>
      <c r="F30" s="292"/>
      <c r="G30" s="292"/>
      <c r="H30" s="212" t="b">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55</v>
      </c>
      <c r="O30" s="270" t="s">
        <v>200</v>
      </c>
      <c r="P30" s="272"/>
      <c r="Q30" s="269" t="s">
        <v>374</v>
      </c>
      <c r="R30" s="269" t="s">
        <v>375</v>
      </c>
      <c r="S30" s="107"/>
      <c r="T30" s="107" t="s">
        <v>629</v>
      </c>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t="s">
        <v>77</v>
      </c>
      <c r="D32" s="240"/>
      <c r="E32" s="240"/>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c r="U32" s="308"/>
      <c r="V32" s="107"/>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c r="X33" s="107"/>
    </row>
    <row r="34" spans="1:24" ht="26.4" x14ac:dyDescent="0.3">
      <c r="A34" s="213" t="s">
        <v>31</v>
      </c>
      <c r="B34" s="206" t="s">
        <v>591</v>
      </c>
      <c r="C34" s="292" t="s">
        <v>77</v>
      </c>
      <c r="D34" s="292"/>
      <c r="E34" s="292"/>
      <c r="F34" s="292"/>
      <c r="G34" s="292"/>
      <c r="H34" s="212">
        <f>IF(C34&lt;&gt;"",'CBL Score Standard'!$D92,IF(D34&lt;&gt;"",SUM('CBL Score Standard'!$D92:$E92),IF(E34&lt;&gt;"",SUM('CBL Score Standard'!$D92:$F92),IF(F34&lt;&gt;"",SUM('CBL Score Standard'!$D92:$G92),IF(G34&lt;&gt;"",SUM('CBL Score Standard'!$D92:$H92,0))))))</f>
        <v>8.3333333333333329E-2</v>
      </c>
      <c r="I34" s="182" t="e">
        <f t="shared" si="0"/>
        <v>#N/A</v>
      </c>
      <c r="J34" s="182" t="e">
        <f t="shared" si="1"/>
        <v>#N/A</v>
      </c>
      <c r="K34" s="107"/>
      <c r="L34" s="107"/>
      <c r="M34" s="266" t="s">
        <v>6</v>
      </c>
      <c r="N34" s="267" t="s">
        <v>54</v>
      </c>
      <c r="O34" s="270" t="s">
        <v>335</v>
      </c>
      <c r="P34" s="272"/>
      <c r="Q34" s="269" t="s">
        <v>207</v>
      </c>
      <c r="R34" s="269" t="s">
        <v>319</v>
      </c>
      <c r="S34" s="107"/>
      <c r="T34" s="107"/>
      <c r="U34" s="308"/>
      <c r="V34" s="107"/>
      <c r="W34" s="107"/>
      <c r="X34" s="107"/>
    </row>
    <row r="35" spans="1:24" ht="13.8" x14ac:dyDescent="0.3">
      <c r="A35" s="213" t="s">
        <v>31</v>
      </c>
      <c r="B35" s="206" t="s">
        <v>173</v>
      </c>
      <c r="C35" s="292"/>
      <c r="D35" s="292" t="s">
        <v>77</v>
      </c>
      <c r="E35" s="292"/>
      <c r="F35" s="292"/>
      <c r="G35" s="292"/>
      <c r="H35" s="212">
        <f>IF(C35&lt;&gt;"",'CBL Score Standard'!$D93,IF(D35&lt;&gt;"",SUM('CBL Score Standard'!$D93:$E93),IF(E35&lt;&gt;"",SUM('CBL Score Standard'!$D93:$F93),IF(F35&lt;&gt;"",SUM('CBL Score Standard'!$D93:$G93),IF(G35&lt;&gt;"",SUM('CBL Score Standard'!$D93:$H93,0))))))</f>
        <v>0.13211382113821138</v>
      </c>
      <c r="I35" s="182" t="str">
        <f t="shared" si="0"/>
        <v>Passed</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t="str">
        <f t="shared" si="0"/>
        <v>Passed</v>
      </c>
      <c r="J36" s="182">
        <f t="shared" si="1"/>
        <v>0</v>
      </c>
      <c r="K36" s="107"/>
      <c r="L36" s="107"/>
      <c r="M36" s="275" t="s">
        <v>7</v>
      </c>
      <c r="N36" s="276" t="s">
        <v>56</v>
      </c>
      <c r="O36" s="277" t="s">
        <v>213</v>
      </c>
      <c r="P36" s="280"/>
      <c r="Q36" s="280" t="s">
        <v>162</v>
      </c>
      <c r="R36" s="280" t="s">
        <v>317</v>
      </c>
      <c r="S36" s="237"/>
      <c r="T36" s="107"/>
      <c r="U36" s="308"/>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c r="U37" s="308"/>
      <c r="V37" s="107"/>
      <c r="W37" s="237"/>
      <c r="X37" s="107"/>
    </row>
    <row r="38" spans="1:24" ht="27.6" x14ac:dyDescent="0.3">
      <c r="A38" s="213" t="s">
        <v>54</v>
      </c>
      <c r="B38" s="206"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t="str">
        <f t="shared" si="0"/>
        <v>Passed</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55</v>
      </c>
      <c r="O39" s="277" t="s">
        <v>656</v>
      </c>
      <c r="P39" s="283">
        <v>43985</v>
      </c>
      <c r="Q39" s="282" t="s">
        <v>663</v>
      </c>
      <c r="R39" s="282" t="s">
        <v>664</v>
      </c>
      <c r="S39" s="237"/>
      <c r="T39" s="107"/>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c r="T44" s="107"/>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2"/>
        <v>0</v>
      </c>
      <c r="J45" s="182">
        <f t="shared" si="3"/>
        <v>0</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c r="E46" s="292"/>
      <c r="F46" s="292"/>
      <c r="G46" s="292"/>
      <c r="H46" s="212" t="b">
        <f>IF(C46&lt;&gt;"",'CBL Score Standard'!$D104,IF(D46&lt;&gt;"",SUM('CBL Score Standard'!$D104:$E104),IF(E46&lt;&gt;"",SUM('CBL Score Standard'!$D104:$F104),IF(F46&lt;&gt;"",SUM('CBL Score Standard'!$D104:$G104),IF(G46&lt;&gt;"",SUM('CBL Score Standard'!$D104:$H104,0))))))</f>
        <v>0</v>
      </c>
      <c r="I46" s="182">
        <f t="shared" si="2"/>
        <v>0</v>
      </c>
      <c r="J46" s="182">
        <f t="shared" si="3"/>
        <v>0</v>
      </c>
      <c r="K46" s="107"/>
      <c r="L46" s="107"/>
      <c r="M46" s="275" t="s">
        <v>7</v>
      </c>
      <c r="N46" s="276" t="s">
        <v>55</v>
      </c>
      <c r="O46" s="278" t="s">
        <v>1</v>
      </c>
      <c r="P46" s="283"/>
      <c r="Q46" s="280" t="s">
        <v>577</v>
      </c>
      <c r="R46" s="280" t="s">
        <v>477</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2"/>
        <v>0</v>
      </c>
      <c r="J48" s="182">
        <f t="shared" si="3"/>
        <v>0</v>
      </c>
      <c r="K48" s="107"/>
      <c r="L48" s="107"/>
      <c r="M48" s="275" t="s">
        <v>7</v>
      </c>
      <c r="N48" s="276" t="s">
        <v>56</v>
      </c>
      <c r="O48" s="278" t="s">
        <v>385</v>
      </c>
      <c r="P48" s="280"/>
      <c r="Q48" s="280" t="s">
        <v>387</v>
      </c>
      <c r="R48" s="280" t="s">
        <v>386</v>
      </c>
      <c r="S48" s="237"/>
      <c r="T48" s="107"/>
      <c r="U48" s="308"/>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2"/>
        <v>Passed</v>
      </c>
      <c r="J49" s="182">
        <f t="shared" si="3"/>
        <v>0</v>
      </c>
      <c r="K49" s="107"/>
      <c r="L49" s="107"/>
      <c r="M49" s="275" t="s">
        <v>7</v>
      </c>
      <c r="N49" s="276" t="s">
        <v>54</v>
      </c>
      <c r="O49" s="278" t="s">
        <v>229</v>
      </c>
      <c r="P49" s="283"/>
      <c r="Q49" s="280" t="s">
        <v>665</v>
      </c>
      <c r="R49" s="280" t="s">
        <v>574</v>
      </c>
      <c r="S49" s="107"/>
      <c r="T49" s="107"/>
      <c r="U49" s="308"/>
      <c r="V49" s="107"/>
      <c r="W49" s="107"/>
      <c r="X49" s="107"/>
    </row>
    <row r="50" spans="1:24" ht="13.8" x14ac:dyDescent="0.3">
      <c r="A50" s="213" t="s">
        <v>643</v>
      </c>
      <c r="B50" s="206" t="s">
        <v>414</v>
      </c>
      <c r="C50" s="292" t="s">
        <v>77</v>
      </c>
      <c r="D50" s="292"/>
      <c r="E50" s="292"/>
      <c r="F50" s="292"/>
      <c r="G50" s="292"/>
      <c r="H50" s="212">
        <f>IF(C50&lt;&gt;"",'CBL Score Standard'!$D108,IF(D50&lt;&gt;"",SUM('CBL Score Standard'!$D108:$E108),IF(E50&lt;&gt;"",SUM('CBL Score Standard'!$D108:$F108),IF(F50&lt;&gt;"",SUM('CBL Score Standard'!$D108:$G108),IF(G50&lt;&gt;"",SUM('CBL Score Standard'!$D108:$H108,0))))))</f>
        <v>8.3333333333333329E-2</v>
      </c>
      <c r="I50" s="182">
        <f t="shared" si="2"/>
        <v>0</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t="s">
        <v>77</v>
      </c>
      <c r="D51" s="292"/>
      <c r="E51" s="292"/>
      <c r="F51" s="292"/>
      <c r="G51" s="292"/>
      <c r="H51" s="212">
        <f>IF(C51&lt;&gt;"",'CBL Score Standard'!$D109,IF(D51&lt;&gt;"",SUM('CBL Score Standard'!$D109:$E109),IF(E51&lt;&gt;"",SUM('CBL Score Standard'!$D109:$F109),IF(F51&lt;&gt;"",SUM('CBL Score Standard'!$D109:$G109),IF(G51&lt;&gt;"",SUM('CBL Score Standard'!$D109:$H109,0))))))</f>
        <v>8.3333333333333329E-2</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t="s">
        <v>77</v>
      </c>
      <c r="D53" s="292"/>
      <c r="E53" s="292"/>
      <c r="F53" s="292"/>
      <c r="G53" s="292"/>
      <c r="H53" s="212">
        <f>IF(C53&lt;&gt;"",'CBL Score Standard'!$D111,IF(D53&lt;&gt;"",SUM('CBL Score Standard'!$D111:$E111),IF(E53&lt;&gt;"",SUM('CBL Score Standard'!$D111:$F111),IF(F53&lt;&gt;"",SUM('CBL Score Standard'!$D111:$G111),IF(G53&lt;&gt;"",SUM('CBL Score Standard'!$D111:$H111,0))))))</f>
        <v>8.3333333333333329E-2</v>
      </c>
      <c r="I53" s="182">
        <f t="shared" si="2"/>
        <v>0</v>
      </c>
      <c r="J53" s="182">
        <f t="shared" si="3"/>
        <v>0</v>
      </c>
      <c r="K53" s="107" t="s">
        <v>141</v>
      </c>
      <c r="L53" s="107" t="s">
        <v>142</v>
      </c>
      <c r="M53" s="284" t="s">
        <v>8</v>
      </c>
      <c r="N53" s="285" t="s">
        <v>2</v>
      </c>
      <c r="O53" s="279" t="s">
        <v>232</v>
      </c>
      <c r="P53" s="286" t="s">
        <v>228</v>
      </c>
      <c r="Q53" s="286" t="s">
        <v>671</v>
      </c>
      <c r="R53" s="286"/>
      <c r="S53" s="237"/>
      <c r="T53" s="107"/>
      <c r="U53" s="107"/>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t="s">
        <v>77</v>
      </c>
      <c r="D56" s="292"/>
      <c r="E56" s="292"/>
      <c r="F56" s="292"/>
      <c r="G56" s="292"/>
      <c r="H56" s="212">
        <f>IF(C56&lt;&gt;"",'CBL Score Standard'!$D114,IF(D56&lt;&gt;"",SUM('CBL Score Standard'!$D114:$E114),IF(E56&lt;&gt;"",SUM('CBL Score Standard'!$D114:$F114),IF(F56&lt;&gt;"",SUM('CBL Score Standard'!$D114:$G114),IF(G56&lt;&gt;"",SUM('CBL Score Standard'!$D114:$H114,0))))))</f>
        <v>0</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2"/>
        <v>0</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t="str">
        <f t="shared" si="2"/>
        <v>Passed</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107"/>
      <c r="T60" s="107"/>
      <c r="U60" s="107"/>
      <c r="V60" s="107"/>
      <c r="W60" s="107"/>
      <c r="X60" s="107"/>
    </row>
    <row r="61" spans="1:24" ht="13.8" x14ac:dyDescent="0.25">
      <c r="A61" s="150" t="s">
        <v>56</v>
      </c>
      <c r="B61" s="206" t="s">
        <v>383</v>
      </c>
      <c r="C61" s="240"/>
      <c r="D61" s="240" t="s">
        <v>77</v>
      </c>
      <c r="E61" s="292"/>
      <c r="F61" s="292"/>
      <c r="G61" s="292"/>
      <c r="H61" s="212">
        <f>IF(C61&lt;&gt;"",'CBL Score Standard'!$D118,IF(D61&lt;&gt;"",SUM('CBL Score Standard'!$D118:$E118),IF(E61&lt;&gt;"",SUM('CBL Score Standard'!$D118:$F118),IF(F61&lt;&gt;"",SUM('CBL Score Standard'!$D118:$G118),IF(G61&lt;&gt;"",SUM('CBL Score Standard'!$D118:$H118,0))))))</f>
        <v>0</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t="s">
        <v>77</v>
      </c>
      <c r="D62" s="240"/>
      <c r="E62" s="240"/>
      <c r="F62" s="292"/>
      <c r="G62" s="292"/>
      <c r="H62" s="212">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t="s">
        <v>77</v>
      </c>
      <c r="D63" s="240"/>
      <c r="E63" s="240"/>
      <c r="F63" s="292"/>
      <c r="G63" s="292"/>
      <c r="H63" s="212">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c r="G65" s="292"/>
      <c r="H65" s="212" t="b">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1.526422764227642</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70" showGridLines="0" fitToPage="1">
      <selection activeCell="A7" sqref="A7:H68"/>
      <pageMargins left="0.25" right="0" top="0.25" bottom="0.25" header="0.3" footer="0"/>
      <pageSetup scale="30" fitToHeight="0" orientation="landscape" r:id="rId1"/>
    </customSheetView>
    <customSheetView guid="{040B64FF-F135-4C7F-9498-A8399C10673D}" scale="70" showGridLines="0" fitToPage="1">
      <selection activeCell="A7" sqref="A7:H68"/>
      <pageMargins left="0.25" right="0" top="0.25" bottom="0.25" header="0.3" footer="0"/>
      <pageSetup scale="30" fitToHeight="0" orientation="landscape" r:id="rId2"/>
    </customSheetView>
    <customSheetView guid="{3BEDB203-29A8-4A82-B140-5CE8D0753F8B}" scale="70" showGridLines="0" fitToPage="1">
      <selection activeCell="A7" sqref="A7:H68"/>
      <pageMargins left="0.25" right="0" top="0.25" bottom="0.25" header="0.3" footer="0"/>
      <pageSetup scale="30" fitToHeight="0" orientation="landscape" r:id="rId3"/>
    </customSheetView>
  </customSheetViews>
  <mergeCells count="6">
    <mergeCell ref="M2:M3"/>
    <mergeCell ref="N2:N3"/>
    <mergeCell ref="S2:S3"/>
    <mergeCell ref="A69:G69"/>
    <mergeCell ref="A1:H1"/>
    <mergeCell ref="A67:G67"/>
  </mergeCells>
  <conditionalFormatting sqref="C7:D7 F7:H7">
    <cfRule type="containsText" dxfId="288" priority="31" operator="containsText" text="N/A">
      <formula>NOT(ISERROR(SEARCH("N/A",C7)))</formula>
    </cfRule>
    <cfRule type="containsText" dxfId="287" priority="32" operator="containsText" text="Blank">
      <formula>NOT(ISERROR(SEARCH("Blank",C7)))</formula>
    </cfRule>
    <cfRule type="containsText" dxfId="286" priority="33" operator="containsText" text="M">
      <formula>NOT(ISERROR(SEARCH("M",C7)))</formula>
    </cfRule>
  </conditionalFormatting>
  <conditionalFormatting sqref="B67:B69 B7">
    <cfRule type="duplicateValues" dxfId="285" priority="30"/>
  </conditionalFormatting>
  <conditionalFormatting sqref="B30">
    <cfRule type="duplicateValues" dxfId="284" priority="13"/>
  </conditionalFormatting>
  <conditionalFormatting sqref="B55">
    <cfRule type="duplicateValues" dxfId="283" priority="12"/>
  </conditionalFormatting>
  <conditionalFormatting sqref="B13">
    <cfRule type="duplicateValues" dxfId="282" priority="11"/>
  </conditionalFormatting>
  <conditionalFormatting sqref="B56:B66 B31:B54 B8:B12 B14:B28">
    <cfRule type="duplicateValues" dxfId="281" priority="14"/>
  </conditionalFormatting>
  <conditionalFormatting sqref="B29">
    <cfRule type="duplicateValues" dxfId="280" priority="15"/>
  </conditionalFormatting>
  <conditionalFormatting sqref="O25">
    <cfRule type="duplicateValues" dxfId="279" priority="1"/>
  </conditionalFormatting>
  <conditionalFormatting sqref="O4:O9 O12:O18">
    <cfRule type="duplicateValues" dxfId="278" priority="10"/>
  </conditionalFormatting>
  <conditionalFormatting sqref="O10">
    <cfRule type="duplicateValues" dxfId="277" priority="9"/>
  </conditionalFormatting>
  <conditionalFormatting sqref="O11">
    <cfRule type="duplicateValues" dxfId="276" priority="8"/>
  </conditionalFormatting>
  <conditionalFormatting sqref="O19:O24 O32:O34 O26:O30">
    <cfRule type="duplicateValues" dxfId="275" priority="7"/>
  </conditionalFormatting>
  <conditionalFormatting sqref="O36:O52">
    <cfRule type="duplicateValues" dxfId="274" priority="6"/>
  </conditionalFormatting>
  <conditionalFormatting sqref="O35">
    <cfRule type="duplicateValues" dxfId="273" priority="5"/>
  </conditionalFormatting>
  <conditionalFormatting sqref="O53:O60">
    <cfRule type="duplicateValues" dxfId="272" priority="4"/>
  </conditionalFormatting>
  <conditionalFormatting sqref="O61:O64">
    <cfRule type="duplicateValues" dxfId="271" priority="3"/>
  </conditionalFormatting>
  <conditionalFormatting sqref="O31">
    <cfRule type="duplicateValues" dxfId="270" priority="2"/>
  </conditionalFormatting>
  <dataValidations count="4">
    <dataValidation type="list" allowBlank="1" showInputMessage="1" showErrorMessage="1" sqref="V2">
      <formula1>"Passed, Failed, N/A"</formula1>
    </dataValidation>
    <dataValidation type="list" allowBlank="1" showInputMessage="1" showErrorMessage="1" sqref="W2 W4:X77">
      <formula1>"Y, N"</formula1>
    </dataValidation>
    <dataValidation type="list" allowBlank="1" showInputMessage="1" showErrorMessage="1" sqref="V61:V64 V1:X1 T69:T1048576 T1:T18 V3:X3 V69:V1048576 W78:X1048576 T20:T64">
      <formula1>"M, O, N/A"</formula1>
    </dataValidation>
    <dataValidation type="list" allowBlank="1" showInputMessage="1" showErrorMessage="1" sqref="V4:V60">
      <formula1>"Passed, Failed"</formula1>
    </dataValidation>
  </dataValidations>
  <pageMargins left="0.25" right="0" top="0.25" bottom="0.25" header="0.3" footer="0"/>
  <pageSetup scale="30" fitToHeight="0" orientation="landscape" r:id="rId4"/>
  <drawing r:id="rId5"/>
  <legacyDrawing r:id="rId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rgb="FFFFC000"/>
    <pageSetUpPr fitToPage="1"/>
  </sheetPr>
  <dimension ref="A1:X197"/>
  <sheetViews>
    <sheetView showGridLines="0" topLeftCell="J1" zoomScale="70" zoomScaleNormal="70" workbookViewId="0">
      <selection activeCell="U18" sqref="U18"/>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70" t="s">
        <v>357</v>
      </c>
      <c r="B2" s="58" t="s">
        <v>627</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43962</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0.73972602739726023</v>
      </c>
      <c r="C4" s="3"/>
      <c r="D4" s="3"/>
      <c r="E4" s="3"/>
      <c r="F4" s="3"/>
      <c r="G4" s="3"/>
      <c r="H4" s="3"/>
      <c r="K4" s="107" t="s">
        <v>141</v>
      </c>
      <c r="L4" s="107" t="s">
        <v>142</v>
      </c>
      <c r="M4" s="254" t="s">
        <v>5</v>
      </c>
      <c r="N4" s="255" t="s">
        <v>143</v>
      </c>
      <c r="O4" s="256" t="s">
        <v>362</v>
      </c>
      <c r="P4" s="258"/>
      <c r="Q4" s="261" t="s">
        <v>145</v>
      </c>
      <c r="R4" s="261" t="s">
        <v>211</v>
      </c>
      <c r="S4" s="237" t="s">
        <v>628</v>
      </c>
      <c r="T4" s="107" t="s">
        <v>72</v>
      </c>
      <c r="U4" s="307"/>
      <c r="V4" s="107" t="s">
        <v>364</v>
      </c>
      <c r="W4" s="107"/>
      <c r="X4" s="107"/>
    </row>
    <row r="5" spans="1:24" ht="12.75" customHeight="1" x14ac:dyDescent="0.3">
      <c r="A5" s="70" t="s">
        <v>377</v>
      </c>
      <c r="B5" s="95">
        <v>6.2</v>
      </c>
      <c r="C5" s="97"/>
      <c r="D5" s="3"/>
      <c r="E5" s="3"/>
      <c r="F5" s="3"/>
      <c r="G5" s="3"/>
      <c r="H5" s="3"/>
      <c r="K5" s="107"/>
      <c r="L5" s="107"/>
      <c r="M5" s="254" t="s">
        <v>5</v>
      </c>
      <c r="N5" s="255" t="s">
        <v>143</v>
      </c>
      <c r="O5" s="256" t="s">
        <v>363</v>
      </c>
      <c r="P5" s="259" t="s">
        <v>144</v>
      </c>
      <c r="Q5" s="259" t="s">
        <v>149</v>
      </c>
      <c r="R5" s="259" t="s">
        <v>150</v>
      </c>
      <c r="S5" s="237" t="s">
        <v>628</v>
      </c>
      <c r="T5" s="107" t="s">
        <v>72</v>
      </c>
      <c r="U5" s="308"/>
      <c r="V5" s="107" t="s">
        <v>364</v>
      </c>
      <c r="W5" s="107"/>
      <c r="X5" s="107"/>
    </row>
    <row r="6" spans="1:24" thickBot="1" x14ac:dyDescent="0.35">
      <c r="A6" s="70" t="s">
        <v>378</v>
      </c>
      <c r="B6" s="95">
        <f ca="1">B4+B5</f>
        <v>6.9397260273972607</v>
      </c>
      <c r="C6" s="97"/>
      <c r="K6" s="107"/>
      <c r="L6" s="107"/>
      <c r="M6" s="254" t="s">
        <v>5</v>
      </c>
      <c r="N6" s="255" t="s">
        <v>148</v>
      </c>
      <c r="O6" s="256" t="s">
        <v>148</v>
      </c>
      <c r="P6" s="259" t="s">
        <v>144</v>
      </c>
      <c r="Q6" s="259" t="s">
        <v>149</v>
      </c>
      <c r="R6" s="259" t="s">
        <v>150</v>
      </c>
      <c r="S6" s="237" t="s">
        <v>628</v>
      </c>
      <c r="T6" s="107" t="s">
        <v>72</v>
      </c>
      <c r="U6" s="308"/>
      <c r="V6" s="107"/>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628</v>
      </c>
      <c r="T7" s="107" t="s">
        <v>72</v>
      </c>
      <c r="U7" s="308"/>
      <c r="V7" s="107" t="s">
        <v>364</v>
      </c>
      <c r="W7" s="237"/>
      <c r="X7" s="107"/>
    </row>
    <row r="8" spans="1:24" ht="13.8" x14ac:dyDescent="0.3">
      <c r="A8" s="210" t="s">
        <v>56</v>
      </c>
      <c r="B8" s="211" t="s">
        <v>180</v>
      </c>
      <c r="C8" s="240"/>
      <c r="D8" s="292"/>
      <c r="E8" s="292"/>
      <c r="F8" s="292"/>
      <c r="G8" s="292"/>
      <c r="H8" s="212" t="b">
        <f>IF(C8&lt;&gt;"",'CBL Score Standard'!$D66,IF(D8&lt;&gt;"",SUM('CBL Score Standard'!$D66:$E66),IF(E8&lt;&gt;"",SUM('CBL Score Standard'!$D66:$F66),IF(F8&lt;&gt;"",SUM('CBL Score Standard'!$D66:$G66),IF(G8&lt;&gt;"",SUM('CBL Score Standard'!$D66:$H66,0))))))</f>
        <v>0</v>
      </c>
      <c r="I8" s="182">
        <f t="shared" ref="I8:I39" si="0">VLOOKUP(B8,$O$4:$W$64,8,0)</f>
        <v>0</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t="str">
        <f t="shared" si="0"/>
        <v>Passed</v>
      </c>
      <c r="J9" s="182">
        <f t="shared" si="1"/>
        <v>0</v>
      </c>
      <c r="K9" s="107"/>
      <c r="L9" s="107"/>
      <c r="M9" s="254" t="s">
        <v>5</v>
      </c>
      <c r="N9" s="255" t="s">
        <v>678</v>
      </c>
      <c r="O9" s="257" t="s">
        <v>592</v>
      </c>
      <c r="P9" s="259" t="s">
        <v>144</v>
      </c>
      <c r="Q9" s="259" t="s">
        <v>153</v>
      </c>
      <c r="R9" s="259" t="s">
        <v>263</v>
      </c>
      <c r="S9" s="237"/>
      <c r="T9" s="107" t="s">
        <v>72</v>
      </c>
      <c r="U9" s="308"/>
      <c r="V9" s="107" t="s">
        <v>364</v>
      </c>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c r="U10" s="308"/>
      <c r="V10" s="107" t="s">
        <v>364</v>
      </c>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row>
    <row r="14" spans="1:24" ht="13.8" x14ac:dyDescent="0.3">
      <c r="A14" s="213" t="s">
        <v>55</v>
      </c>
      <c r="B14" s="206" t="s">
        <v>617</v>
      </c>
      <c r="C14" s="240"/>
      <c r="D14" s="240"/>
      <c r="E14" s="240"/>
      <c r="F14" s="292"/>
      <c r="G14" s="292"/>
      <c r="H14" s="212" t="b">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237" t="s">
        <v>628</v>
      </c>
      <c r="T15" s="107"/>
      <c r="U15" s="308"/>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628</v>
      </c>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237" t="s">
        <v>628</v>
      </c>
      <c r="T18" s="107" t="s">
        <v>72</v>
      </c>
      <c r="U18" s="308"/>
      <c r="V18" s="107"/>
      <c r="W18" s="107"/>
      <c r="X18" s="107"/>
    </row>
    <row r="19" spans="1:24" ht="12.75" customHeight="1"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628</v>
      </c>
      <c r="T19" s="296" t="s">
        <v>72</v>
      </c>
      <c r="U19" s="309">
        <v>44083</v>
      </c>
      <c r="V19" s="296" t="s">
        <v>364</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c r="T20" s="107" t="s">
        <v>72</v>
      </c>
      <c r="U20" s="308"/>
      <c r="V20" s="107"/>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t="str">
        <f t="shared" si="0"/>
        <v>Passed</v>
      </c>
      <c r="J22" s="182">
        <f t="shared" si="1"/>
        <v>0</v>
      </c>
      <c r="K22" s="107"/>
      <c r="L22" s="107"/>
      <c r="M22" s="266" t="s">
        <v>6</v>
      </c>
      <c r="N22" s="267" t="s">
        <v>678</v>
      </c>
      <c r="O22" s="270" t="s">
        <v>186</v>
      </c>
      <c r="P22" s="274">
        <v>44392</v>
      </c>
      <c r="Q22" s="269" t="s">
        <v>153</v>
      </c>
      <c r="R22" s="269" t="s">
        <v>263</v>
      </c>
      <c r="S22" s="237" t="s">
        <v>628</v>
      </c>
      <c r="T22" s="107" t="s">
        <v>72</v>
      </c>
      <c r="U22" s="308">
        <v>44097</v>
      </c>
      <c r="V22" s="107" t="s">
        <v>364</v>
      </c>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t="s">
        <v>628</v>
      </c>
      <c r="T23" s="107"/>
      <c r="U23" s="308">
        <v>44092</v>
      </c>
      <c r="V23" s="107" t="s">
        <v>364</v>
      </c>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t="s">
        <v>628</v>
      </c>
      <c r="T24" s="107"/>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t="s">
        <v>628</v>
      </c>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c r="X28" s="107"/>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196</v>
      </c>
      <c r="P29" s="272"/>
      <c r="Q29" s="269" t="s">
        <v>197</v>
      </c>
      <c r="R29" s="269" t="s">
        <v>256</v>
      </c>
      <c r="S29" s="237"/>
      <c r="T29" s="107" t="s">
        <v>72</v>
      </c>
      <c r="U29" s="308"/>
      <c r="V29" s="107"/>
      <c r="W29" s="107"/>
      <c r="X29" s="107"/>
    </row>
    <row r="30" spans="1:24" x14ac:dyDescent="0.3">
      <c r="A30" s="213" t="s">
        <v>59</v>
      </c>
      <c r="B30" s="206" t="s">
        <v>613</v>
      </c>
      <c r="C30" s="240"/>
      <c r="D30" s="240"/>
      <c r="E30" s="292"/>
      <c r="F30" s="292"/>
      <c r="G30" s="292"/>
      <c r="H30" s="212" t="b">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55</v>
      </c>
      <c r="O30" s="270" t="s">
        <v>200</v>
      </c>
      <c r="P30" s="272"/>
      <c r="Q30" s="269" t="s">
        <v>374</v>
      </c>
      <c r="R30" s="269" t="s">
        <v>375</v>
      </c>
      <c r="S30" s="237" t="s">
        <v>628</v>
      </c>
      <c r="T30" s="107"/>
      <c r="U30" s="308"/>
      <c r="V30" s="107"/>
      <c r="W30" s="107"/>
      <c r="X30" s="107"/>
    </row>
    <row r="31" spans="1:24" x14ac:dyDescent="0.3">
      <c r="A31" s="213" t="s">
        <v>148</v>
      </c>
      <c r="B31" s="206" t="s">
        <v>148</v>
      </c>
      <c r="C31" s="292" t="s">
        <v>77</v>
      </c>
      <c r="D31" s="292"/>
      <c r="E31" s="292"/>
      <c r="F31" s="292"/>
      <c r="G31" s="292"/>
      <c r="H31" s="212">
        <f>IF(C31&lt;&gt;"",'CBL Score Standard'!$D89,IF(D31&lt;&gt;"",SUM('CBL Score Standard'!$D89:$E89),IF(E31&lt;&gt;"",SUM('CBL Score Standard'!$D89:$F89),IF(F31&lt;&gt;"",SUM('CBL Score Standard'!$D89:$G89),IF(G31&lt;&gt;"",SUM('CBL Score Standard'!$D89:$H89,0))))))</f>
        <v>8.3333333333333329E-2</v>
      </c>
      <c r="I31" s="182">
        <f t="shared" si="0"/>
        <v>0</v>
      </c>
      <c r="J31" s="182">
        <f t="shared" si="1"/>
        <v>0</v>
      </c>
      <c r="K31" s="107"/>
      <c r="L31" s="107"/>
      <c r="M31" s="266" t="s">
        <v>6</v>
      </c>
      <c r="N31" s="267" t="s">
        <v>55</v>
      </c>
      <c r="O31" s="270" t="s">
        <v>642</v>
      </c>
      <c r="P31" s="272"/>
      <c r="Q31" s="269" t="s">
        <v>741</v>
      </c>
      <c r="R31" s="269" t="s">
        <v>742</v>
      </c>
      <c r="S31" s="23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t="s">
        <v>628</v>
      </c>
      <c r="T32" s="107" t="s">
        <v>72</v>
      </c>
      <c r="U32" s="308">
        <v>44048</v>
      </c>
      <c r="V32" s="107" t="s">
        <v>364</v>
      </c>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t="s">
        <v>73</v>
      </c>
      <c r="U33" s="308"/>
      <c r="V33" s="107"/>
      <c r="W33" s="107"/>
      <c r="X33" s="107"/>
    </row>
    <row r="34" spans="1:24" ht="26.4" x14ac:dyDescent="0.3">
      <c r="A34" s="213" t="s">
        <v>31</v>
      </c>
      <c r="B34" s="206" t="s">
        <v>591</v>
      </c>
      <c r="C34" s="292"/>
      <c r="D34" s="292"/>
      <c r="E34" s="292"/>
      <c r="F34" s="292"/>
      <c r="G34" s="292"/>
      <c r="H34" s="212" t="b">
        <f>IF(C34&lt;&gt;"",'CBL Score Standard'!$D92,IF(D34&lt;&gt;"",SUM('CBL Score Standard'!$D92:$E92),IF(E34&lt;&gt;"",SUM('CBL Score Standard'!$D92:$F92),IF(F34&lt;&gt;"",SUM('CBL Score Standard'!$D92:$G92),IF(G34&lt;&gt;"",SUM('CBL Score Standard'!$D92:$H92,0))))))</f>
        <v>0</v>
      </c>
      <c r="I34" s="182" t="e">
        <f t="shared" si="0"/>
        <v>#N/A</v>
      </c>
      <c r="J34" s="182" t="e">
        <f t="shared" si="1"/>
        <v>#N/A</v>
      </c>
      <c r="K34" s="107"/>
      <c r="L34" s="107"/>
      <c r="M34" s="266" t="s">
        <v>6</v>
      </c>
      <c r="N34" s="267" t="s">
        <v>54</v>
      </c>
      <c r="O34" s="270" t="s">
        <v>335</v>
      </c>
      <c r="P34" s="272"/>
      <c r="Q34" s="269" t="s">
        <v>207</v>
      </c>
      <c r="R34" s="269" t="s">
        <v>319</v>
      </c>
      <c r="S34" s="237" t="s">
        <v>628</v>
      </c>
      <c r="T34" s="107"/>
      <c r="U34" s="308"/>
      <c r="V34" s="107"/>
      <c r="W34" s="107"/>
      <c r="X34" s="107"/>
    </row>
    <row r="35" spans="1:24" ht="13.8" x14ac:dyDescent="0.3">
      <c r="A35" s="213" t="s">
        <v>31</v>
      </c>
      <c r="B35" s="206" t="s">
        <v>173</v>
      </c>
      <c r="C35" s="292"/>
      <c r="D35" s="292"/>
      <c r="E35" s="292"/>
      <c r="F35" s="292"/>
      <c r="G35" s="292"/>
      <c r="H35" s="212" t="b">
        <f>IF(C35&lt;&gt;"",'CBL Score Standard'!$D93,IF(D35&lt;&gt;"",SUM('CBL Score Standard'!$D93:$E93),IF(E35&lt;&gt;"",SUM('CBL Score Standard'!$D93:$F93),IF(F35&lt;&gt;"",SUM('CBL Score Standard'!$D93:$G93),IF(G35&lt;&gt;"",SUM('CBL Score Standard'!$D93:$H93,0))))))</f>
        <v>0</v>
      </c>
      <c r="I35" s="182">
        <f t="shared" si="0"/>
        <v>0</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c r="E36" s="292"/>
      <c r="F36" s="292"/>
      <c r="G36" s="292"/>
      <c r="H36" s="212" t="b">
        <f>IF(C36&lt;&gt;"",'CBL Score Standard'!$D94,IF(D36&lt;&gt;"",SUM('CBL Score Standard'!$D94:$E94),IF(E36&lt;&gt;"",SUM('CBL Score Standard'!$D94:$F94),IF(F36&lt;&gt;"",SUM('CBL Score Standard'!$D94:$G94),IF(G36&lt;&gt;"",SUM('CBL Score Standard'!$D94:$H94,0))))))</f>
        <v>0</v>
      </c>
      <c r="I36" s="182">
        <f t="shared" si="0"/>
        <v>0</v>
      </c>
      <c r="J36" s="182">
        <f t="shared" si="1"/>
        <v>0</v>
      </c>
      <c r="K36" s="107"/>
      <c r="L36" s="107"/>
      <c r="M36" s="275" t="s">
        <v>7</v>
      </c>
      <c r="N36" s="276" t="s">
        <v>56</v>
      </c>
      <c r="O36" s="277" t="s">
        <v>213</v>
      </c>
      <c r="P36" s="280"/>
      <c r="Q36" s="280" t="s">
        <v>162</v>
      </c>
      <c r="R36" s="280" t="s">
        <v>317</v>
      </c>
      <c r="S36" s="237"/>
      <c r="T36" s="107" t="s">
        <v>72</v>
      </c>
      <c r="U36" s="308"/>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t="s">
        <v>628</v>
      </c>
      <c r="T37" s="107" t="s">
        <v>72</v>
      </c>
      <c r="U37" s="308">
        <v>44049</v>
      </c>
      <c r="V37" s="107" t="s">
        <v>364</v>
      </c>
      <c r="W37" s="237"/>
      <c r="X37" s="107"/>
    </row>
    <row r="38" spans="1:24" ht="27.6" x14ac:dyDescent="0.3">
      <c r="A38" s="213" t="s">
        <v>54</v>
      </c>
      <c r="B38" s="206"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c r="E39" s="292"/>
      <c r="F39" s="292"/>
      <c r="G39" s="292"/>
      <c r="H39" s="212" t="b">
        <f>IF(C39&lt;&gt;"",'CBL Score Standard'!$D97,IF(D39&lt;&gt;"",SUM('CBL Score Standard'!$D97:$E97),IF(E39&lt;&gt;"",SUM('CBL Score Standard'!$D97:$F97),IF(F39&lt;&gt;"",SUM('CBL Score Standard'!$D97:$G97),IF(G39&lt;&gt;"",SUM('CBL Score Standard'!$D97:$H97,0))))))</f>
        <v>0</v>
      </c>
      <c r="I39" s="182">
        <f t="shared" si="0"/>
        <v>0</v>
      </c>
      <c r="J39" s="182">
        <f t="shared" si="1"/>
        <v>0</v>
      </c>
      <c r="K39" s="107"/>
      <c r="L39" s="107"/>
      <c r="M39" s="275" t="s">
        <v>7</v>
      </c>
      <c r="N39" s="276" t="s">
        <v>55</v>
      </c>
      <c r="O39" s="277" t="s">
        <v>656</v>
      </c>
      <c r="P39" s="283">
        <v>43985</v>
      </c>
      <c r="Q39" s="282" t="s">
        <v>663</v>
      </c>
      <c r="R39" s="282" t="s">
        <v>664</v>
      </c>
      <c r="S39" s="237"/>
      <c r="T39" s="107"/>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t="s">
        <v>73</v>
      </c>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237"/>
      <c r="T44" s="107" t="s">
        <v>73</v>
      </c>
      <c r="U44" s="308"/>
      <c r="V44" s="107"/>
      <c r="W44" s="107"/>
      <c r="X44" s="107"/>
    </row>
    <row r="45" spans="1:24" ht="26.4" x14ac:dyDescent="0.3">
      <c r="A45" s="213" t="s">
        <v>41</v>
      </c>
      <c r="B45" s="206" t="s">
        <v>412</v>
      </c>
      <c r="C45" s="292"/>
      <c r="D45" s="292"/>
      <c r="E45" s="292"/>
      <c r="F45" s="292"/>
      <c r="G45" s="292"/>
      <c r="H45" s="212" t="b">
        <f>IF(C45&lt;&gt;"",'CBL Score Standard'!$D103,IF(D45&lt;&gt;"",SUM('CBL Score Standard'!$D103:$E103),IF(E45&lt;&gt;"",SUM('CBL Score Standard'!$D103:$F103),IF(F45&lt;&gt;"",SUM('CBL Score Standard'!$D103:$G103),IF(G45&lt;&gt;"",SUM('CBL Score Standard'!$D103:$H103,0))))))</f>
        <v>0</v>
      </c>
      <c r="I45" s="182">
        <f t="shared" si="2"/>
        <v>0</v>
      </c>
      <c r="J45" s="182">
        <f t="shared" si="3"/>
        <v>0</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t="str">
        <f t="shared" si="2"/>
        <v>Passed</v>
      </c>
      <c r="J46" s="182">
        <f t="shared" si="3"/>
        <v>0</v>
      </c>
      <c r="K46" s="107"/>
      <c r="L46" s="107"/>
      <c r="M46" s="275" t="s">
        <v>7</v>
      </c>
      <c r="N46" s="276" t="s">
        <v>55</v>
      </c>
      <c r="O46" s="278" t="s">
        <v>1</v>
      </c>
      <c r="P46" s="283"/>
      <c r="Q46" s="280" t="s">
        <v>577</v>
      </c>
      <c r="R46" s="280" t="s">
        <v>477</v>
      </c>
      <c r="S46" s="237"/>
      <c r="T46" s="107" t="s">
        <v>73</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237"/>
      <c r="T47" s="107" t="s">
        <v>72</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t="str">
        <f t="shared" si="2"/>
        <v>Passed</v>
      </c>
      <c r="J48" s="182">
        <f t="shared" si="3"/>
        <v>0</v>
      </c>
      <c r="K48" s="107"/>
      <c r="L48" s="107"/>
      <c r="M48" s="275" t="s">
        <v>7</v>
      </c>
      <c r="N48" s="276" t="s">
        <v>56</v>
      </c>
      <c r="O48" s="278" t="s">
        <v>385</v>
      </c>
      <c r="P48" s="280"/>
      <c r="Q48" s="280" t="s">
        <v>387</v>
      </c>
      <c r="R48" s="280" t="s">
        <v>386</v>
      </c>
      <c r="S48" s="237" t="s">
        <v>628</v>
      </c>
      <c r="T48" s="107" t="s">
        <v>72</v>
      </c>
      <c r="U48" s="308">
        <v>44113</v>
      </c>
      <c r="V48" s="107" t="s">
        <v>364</v>
      </c>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2"/>
        <v>Passed</v>
      </c>
      <c r="J49" s="182">
        <f t="shared" si="3"/>
        <v>0</v>
      </c>
      <c r="K49" s="107"/>
      <c r="L49" s="107"/>
      <c r="M49" s="275" t="s">
        <v>7</v>
      </c>
      <c r="N49" s="276" t="s">
        <v>54</v>
      </c>
      <c r="O49" s="278" t="s">
        <v>229</v>
      </c>
      <c r="P49" s="283"/>
      <c r="Q49" s="280" t="s">
        <v>665</v>
      </c>
      <c r="R49" s="280" t="s">
        <v>574</v>
      </c>
      <c r="S49" s="237"/>
      <c r="T49" s="107" t="s">
        <v>72</v>
      </c>
      <c r="U49" s="308"/>
      <c r="V49" s="107"/>
      <c r="W49" s="107"/>
      <c r="X49" s="107"/>
    </row>
    <row r="50" spans="1:24" ht="13.8" x14ac:dyDescent="0.3">
      <c r="A50" s="213" t="s">
        <v>643</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2"/>
        <v>Passed</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t="str">
        <f t="shared" si="2"/>
        <v>Passed</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t="str">
        <f t="shared" si="2"/>
        <v>Passed</v>
      </c>
      <c r="J58" s="182">
        <f t="shared" si="3"/>
        <v>0</v>
      </c>
      <c r="K58" s="107"/>
      <c r="L58" s="107"/>
      <c r="M58" s="284" t="s">
        <v>8</v>
      </c>
      <c r="N58" s="285" t="s">
        <v>59</v>
      </c>
      <c r="O58" s="279" t="s">
        <v>237</v>
      </c>
      <c r="P58" s="286" t="s">
        <v>228</v>
      </c>
      <c r="Q58" s="286" t="s">
        <v>675</v>
      </c>
      <c r="R58" s="286"/>
      <c r="S58" s="237"/>
      <c r="T58" s="107"/>
      <c r="U58" s="307"/>
      <c r="V58" s="107"/>
      <c r="W58" s="107"/>
      <c r="X58" s="107"/>
    </row>
    <row r="59" spans="1:24" ht="26.4" x14ac:dyDescent="0.3">
      <c r="A59" s="213" t="s">
        <v>643</v>
      </c>
      <c r="B59" s="206" t="s">
        <v>189</v>
      </c>
      <c r="C59" s="240"/>
      <c r="D59" s="240"/>
      <c r="E59" s="292"/>
      <c r="F59" s="292"/>
      <c r="G59" s="292"/>
      <c r="H59" s="212" t="b">
        <f>IF(C59&lt;&gt;"",'CBL Score Standard'!$D117,IF(D59&lt;&gt;"",SUM('CBL Score Standard'!$D117:$E117),IF(E59&lt;&gt;"",SUM('CBL Score Standard'!$D117:$F117),IF(F59&lt;&gt;"",SUM('CBL Score Standard'!$D117:$G117),IF(G59&lt;&gt;"",SUM('CBL Score Standard'!$D117:$H117,0))))))</f>
        <v>0</v>
      </c>
      <c r="I59" s="182">
        <f t="shared" si="2"/>
        <v>0</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237"/>
      <c r="T60" s="107"/>
      <c r="U60" s="308"/>
      <c r="V60" s="107"/>
      <c r="W60" s="107"/>
      <c r="X60" s="107"/>
    </row>
    <row r="61" spans="1:24" ht="13.8" x14ac:dyDescent="0.25">
      <c r="A61" s="150" t="s">
        <v>56</v>
      </c>
      <c r="B61" s="206" t="s">
        <v>383</v>
      </c>
      <c r="C61" s="240"/>
      <c r="D61" s="240"/>
      <c r="E61" s="292"/>
      <c r="F61" s="292"/>
      <c r="G61" s="292"/>
      <c r="H61" s="212" t="b">
        <f>IF(C61&lt;&gt;"",'CBL Score Standard'!$D118,IF(D61&lt;&gt;"",SUM('CBL Score Standard'!$D118:$E118),IF(E61&lt;&gt;"",SUM('CBL Score Standard'!$D118:$F118),IF(F61&lt;&gt;"",SUM('CBL Score Standard'!$D118:$G118),IF(G61&lt;&gt;"",SUM('CBL Score Standard'!$D118:$H118,0))))))</f>
        <v>0</v>
      </c>
      <c r="I61" s="182" t="str">
        <f t="shared" si="4"/>
        <v>Passed</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t="s">
        <v>77</v>
      </c>
      <c r="E62" s="240"/>
      <c r="F62" s="292"/>
      <c r="G62" s="292"/>
      <c r="H62" s="212">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t="s">
        <v>77</v>
      </c>
      <c r="E65" s="292"/>
      <c r="F65" s="292"/>
      <c r="G65" s="292"/>
      <c r="H65" s="212">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0.91463414634146334</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85" showGridLines="0" fitToPage="1">
      <selection activeCell="A7" sqref="A7:H68"/>
      <pageMargins left="0.25" right="0" top="0.25" bottom="0.25" header="0.3" footer="0"/>
      <pageSetup scale="30" fitToHeight="0" orientation="landscape" r:id="rId1"/>
    </customSheetView>
    <customSheetView guid="{040B64FF-F135-4C7F-9498-A8399C10673D}" scale="85" showGridLines="0" fitToPage="1">
      <selection activeCell="A7" sqref="A7:H68"/>
      <pageMargins left="0.25" right="0" top="0.25" bottom="0.25" header="0.3" footer="0"/>
      <pageSetup scale="30" fitToHeight="0" orientation="landscape" r:id="rId2"/>
    </customSheetView>
    <customSheetView guid="{3BEDB203-29A8-4A82-B140-5CE8D0753F8B}" scale="85"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7:G67"/>
    <mergeCell ref="A69:G69"/>
    <mergeCell ref="M2:M3"/>
    <mergeCell ref="N2:N3"/>
  </mergeCells>
  <conditionalFormatting sqref="C7:D7 F7:H7">
    <cfRule type="containsText" dxfId="269" priority="31" operator="containsText" text="N/A">
      <formula>NOT(ISERROR(SEARCH("N/A",C7)))</formula>
    </cfRule>
    <cfRule type="containsText" dxfId="268" priority="32" operator="containsText" text="Blank">
      <formula>NOT(ISERROR(SEARCH("Blank",C7)))</formula>
    </cfRule>
    <cfRule type="containsText" dxfId="267" priority="33" operator="containsText" text="M">
      <formula>NOT(ISERROR(SEARCH("M",C7)))</formula>
    </cfRule>
  </conditionalFormatting>
  <conditionalFormatting sqref="B67:B69 B7">
    <cfRule type="duplicateValues" dxfId="266" priority="30"/>
  </conditionalFormatting>
  <conditionalFormatting sqref="B30">
    <cfRule type="duplicateValues" dxfId="265" priority="13"/>
  </conditionalFormatting>
  <conditionalFormatting sqref="B55">
    <cfRule type="duplicateValues" dxfId="264" priority="12"/>
  </conditionalFormatting>
  <conditionalFormatting sqref="B13">
    <cfRule type="duplicateValues" dxfId="263" priority="11"/>
  </conditionalFormatting>
  <conditionalFormatting sqref="B56:B66 B31:B54 B8:B12 B14:B28">
    <cfRule type="duplicateValues" dxfId="262" priority="14"/>
  </conditionalFormatting>
  <conditionalFormatting sqref="B29">
    <cfRule type="duplicateValues" dxfId="261" priority="15"/>
  </conditionalFormatting>
  <conditionalFormatting sqref="O25">
    <cfRule type="duplicateValues" dxfId="260" priority="1"/>
  </conditionalFormatting>
  <conditionalFormatting sqref="O4:O9 O12:O18">
    <cfRule type="duplicateValues" dxfId="259" priority="10"/>
  </conditionalFormatting>
  <conditionalFormatting sqref="O10">
    <cfRule type="duplicateValues" dxfId="258" priority="9"/>
  </conditionalFormatting>
  <conditionalFormatting sqref="O11">
    <cfRule type="duplicateValues" dxfId="257" priority="8"/>
  </conditionalFormatting>
  <conditionalFormatting sqref="O19:O24 O32:O34 O26:O30">
    <cfRule type="duplicateValues" dxfId="256" priority="7"/>
  </conditionalFormatting>
  <conditionalFormatting sqref="O36:O52">
    <cfRule type="duplicateValues" dxfId="255" priority="6"/>
  </conditionalFormatting>
  <conditionalFormatting sqref="O35">
    <cfRule type="duplicateValues" dxfId="254" priority="5"/>
  </conditionalFormatting>
  <conditionalFormatting sqref="O53:O60">
    <cfRule type="duplicateValues" dxfId="253" priority="4"/>
  </conditionalFormatting>
  <conditionalFormatting sqref="O61:O64">
    <cfRule type="duplicateValues" dxfId="252" priority="3"/>
  </conditionalFormatting>
  <conditionalFormatting sqref="O31">
    <cfRule type="duplicateValues" dxfId="251"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T3 V69:X1048576 T69:T1048576 V1:X1 V3:X3 T4:X18 T20:X64">
      <formula1>"M, O, N/A"</formula1>
    </dataValidation>
  </dataValidations>
  <pageMargins left="0.25" right="0" top="0.25" bottom="0.25" header="0.3" footer="0"/>
  <pageSetup scale="30" fitToHeight="0" orientation="landscape" r:id="rId4"/>
  <drawing r:id="rId5"/>
  <legacyDrawing r:id="rId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FFC000"/>
  </sheetPr>
  <dimension ref="A1:X197"/>
  <sheetViews>
    <sheetView showGridLines="0" zoomScale="70" zoomScaleNormal="70" workbookViewId="0">
      <selection activeCell="K4" sqref="K4:R64"/>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J1" s="109" t="s">
        <v>395</v>
      </c>
      <c r="K1" s="295" t="s">
        <v>681</v>
      </c>
      <c r="L1" s="295"/>
      <c r="M1" s="295"/>
      <c r="N1" s="295"/>
      <c r="O1" s="295"/>
      <c r="P1" s="295"/>
      <c r="Q1" s="295"/>
      <c r="R1" s="295"/>
      <c r="S1" s="295"/>
      <c r="T1" s="295"/>
      <c r="U1" s="295"/>
      <c r="V1" s="295"/>
      <c r="W1" s="295"/>
      <c r="X1" s="295"/>
    </row>
    <row r="2" spans="1:24" ht="23.25" customHeight="1" x14ac:dyDescent="0.3">
      <c r="A2" s="70" t="s">
        <v>357</v>
      </c>
      <c r="B2" s="58" t="s">
        <v>346</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43353</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2.408219178082192</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3.25</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5.6582191780821915</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 t="shared" ref="I8:I39" si="0">VLOOKUP(B8,$O$4:$W$64,8,0)</f>
        <v>Passed</v>
      </c>
      <c r="J8" s="182" t="str">
        <f t="shared" ref="J8:J39" si="1">VLOOKUP(B8,$O$4:$W$64,9,0)</f>
        <v>Y</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si="0"/>
        <v>Passed</v>
      </c>
      <c r="J9" s="182" t="str">
        <f t="shared" si="1"/>
        <v>Y</v>
      </c>
      <c r="K9" s="107"/>
      <c r="L9" s="107"/>
      <c r="M9" s="254" t="s">
        <v>5</v>
      </c>
      <c r="N9" s="255" t="s">
        <v>678</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t="str">
        <f t="shared" si="1"/>
        <v>N</v>
      </c>
      <c r="K10" s="107"/>
      <c r="L10" s="107"/>
      <c r="M10" s="254" t="s">
        <v>5</v>
      </c>
      <c r="N10" s="255" t="s">
        <v>678</v>
      </c>
      <c r="O10" s="257" t="s">
        <v>593</v>
      </c>
      <c r="P10" s="259" t="s">
        <v>144</v>
      </c>
      <c r="Q10" s="259" t="s">
        <v>590</v>
      </c>
      <c r="R10" s="259" t="s">
        <v>274</v>
      </c>
      <c r="S10" s="237"/>
      <c r="T10" s="107"/>
      <c r="U10" s="308"/>
      <c r="V10" s="107"/>
      <c r="W10" s="107" t="s">
        <v>368</v>
      </c>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346</v>
      </c>
      <c r="T13" s="107" t="s">
        <v>72</v>
      </c>
      <c r="U13" s="308">
        <v>43755</v>
      </c>
      <c r="V13" s="107" t="s">
        <v>364</v>
      </c>
      <c r="W13" s="107" t="s">
        <v>367</v>
      </c>
      <c r="X13" s="107" t="s">
        <v>367</v>
      </c>
    </row>
    <row r="14" spans="1:24" ht="13.8" x14ac:dyDescent="0.3">
      <c r="A14" s="213" t="s">
        <v>55</v>
      </c>
      <c r="B14" s="206" t="s">
        <v>617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t="s">
        <v>368</v>
      </c>
      <c r="X15" s="107" t="s">
        <v>368</v>
      </c>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f t="shared" si="0"/>
        <v>0</v>
      </c>
      <c r="J16" s="182" t="str">
        <f t="shared" si="1"/>
        <v>N</v>
      </c>
      <c r="K16" s="107"/>
      <c r="L16" s="107"/>
      <c r="M16" s="254" t="s">
        <v>5</v>
      </c>
      <c r="N16" s="255" t="s">
        <v>41</v>
      </c>
      <c r="O16" s="257" t="s">
        <v>412</v>
      </c>
      <c r="P16" s="260"/>
      <c r="Q16" s="259" t="s">
        <v>371</v>
      </c>
      <c r="R16" s="259" t="s">
        <v>372</v>
      </c>
      <c r="S16" s="107"/>
      <c r="T16" s="107"/>
      <c r="U16" s="308"/>
      <c r="V16" s="107"/>
      <c r="W16" s="107" t="s">
        <v>368</v>
      </c>
      <c r="X16" s="107" t="s">
        <v>368</v>
      </c>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647</v>
      </c>
      <c r="P17" s="260"/>
      <c r="Q17" s="262" t="s">
        <v>590</v>
      </c>
      <c r="R17" s="262" t="s">
        <v>274</v>
      </c>
      <c r="S17" s="107"/>
      <c r="T17" s="107"/>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651</v>
      </c>
      <c r="S18" s="107" t="s">
        <v>346</v>
      </c>
      <c r="T18" s="107" t="s">
        <v>72</v>
      </c>
      <c r="U18" s="308">
        <v>43755</v>
      </c>
      <c r="V18" s="107" t="s">
        <v>364</v>
      </c>
      <c r="W18" s="107" t="s">
        <v>367</v>
      </c>
      <c r="X18" s="107" t="s">
        <v>367</v>
      </c>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t="s">
        <v>346</v>
      </c>
      <c r="T19" s="296" t="s">
        <v>72</v>
      </c>
      <c r="U19" s="309">
        <v>43759</v>
      </c>
      <c r="V19" s="296" t="s">
        <v>364</v>
      </c>
      <c r="W19" s="296" t="s">
        <v>367</v>
      </c>
      <c r="X19" s="296" t="s">
        <v>367</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t="str">
        <f t="shared" si="1"/>
        <v>N</v>
      </c>
      <c r="K20" s="107"/>
      <c r="L20" s="107"/>
      <c r="M20" s="266" t="s">
        <v>6</v>
      </c>
      <c r="N20" s="267" t="s">
        <v>56</v>
      </c>
      <c r="O20" s="270" t="s">
        <v>180</v>
      </c>
      <c r="P20" s="272"/>
      <c r="Q20" s="269" t="s">
        <v>170</v>
      </c>
      <c r="R20" s="269" t="s">
        <v>651</v>
      </c>
      <c r="S20" s="237" t="s">
        <v>346</v>
      </c>
      <c r="T20" s="107" t="s">
        <v>72</v>
      </c>
      <c r="U20" s="308">
        <v>43752</v>
      </c>
      <c r="V20" s="107" t="s">
        <v>364</v>
      </c>
      <c r="W20" s="107" t="s">
        <v>367</v>
      </c>
      <c r="X20" s="107" t="s">
        <v>367</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c r="U21" s="308"/>
      <c r="V21" s="107" t="s">
        <v>364</v>
      </c>
      <c r="W21" s="107" t="s">
        <v>367</v>
      </c>
      <c r="X21" s="107" t="s">
        <v>367</v>
      </c>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t="str">
        <f t="shared" si="1"/>
        <v>N</v>
      </c>
      <c r="K22" s="107"/>
      <c r="L22" s="107"/>
      <c r="M22" s="266" t="s">
        <v>6</v>
      </c>
      <c r="N22" s="267" t="s">
        <v>678</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t="str">
        <f t="shared" si="1"/>
        <v>N</v>
      </c>
      <c r="K23" s="107"/>
      <c r="L23" s="107"/>
      <c r="M23" s="266" t="s">
        <v>6</v>
      </c>
      <c r="N23" s="267" t="s">
        <v>678</v>
      </c>
      <c r="O23" s="252" t="s">
        <v>652</v>
      </c>
      <c r="P23" s="273">
        <v>44378</v>
      </c>
      <c r="Q23" s="269" t="s">
        <v>590</v>
      </c>
      <c r="R23" s="269" t="s">
        <v>274</v>
      </c>
      <c r="S23" s="237"/>
      <c r="T23" s="107"/>
      <c r="U23" s="308"/>
      <c r="V23" s="107"/>
      <c r="W23" s="107" t="s">
        <v>368</v>
      </c>
      <c r="X23" s="107" t="s">
        <v>368</v>
      </c>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678</v>
      </c>
      <c r="O24" s="270" t="s">
        <v>189</v>
      </c>
      <c r="P24" s="274"/>
      <c r="Q24" s="269" t="s">
        <v>225</v>
      </c>
      <c r="R24" s="269" t="s">
        <v>340</v>
      </c>
      <c r="S24" s="237"/>
      <c r="T24" s="107"/>
      <c r="U24" s="308"/>
      <c r="V24" s="107"/>
      <c r="W24" s="107" t="s">
        <v>368</v>
      </c>
      <c r="X24" s="107" t="s">
        <v>368</v>
      </c>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c r="U26" s="308"/>
      <c r="V26" s="107"/>
      <c r="W26" s="107" t="s">
        <v>368</v>
      </c>
      <c r="X26" s="107" t="s">
        <v>368</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t="s">
        <v>368</v>
      </c>
      <c r="X27" s="107" t="s">
        <v>368</v>
      </c>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t="s">
        <v>368</v>
      </c>
      <c r="X28" s="107" t="s">
        <v>368</v>
      </c>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t="str">
        <f t="shared" si="1"/>
        <v>N</v>
      </c>
      <c r="K29" s="107"/>
      <c r="L29" s="107"/>
      <c r="M29" s="266" t="s">
        <v>6</v>
      </c>
      <c r="N29" s="267" t="s">
        <v>55</v>
      </c>
      <c r="O29" s="270" t="s">
        <v>196</v>
      </c>
      <c r="P29" s="272"/>
      <c r="Q29" s="269" t="s">
        <v>197</v>
      </c>
      <c r="R29" s="269" t="s">
        <v>256</v>
      </c>
      <c r="S29" s="237"/>
      <c r="T29" s="107"/>
      <c r="U29" s="308"/>
      <c r="V29" s="107"/>
      <c r="W29" s="107" t="s">
        <v>368</v>
      </c>
      <c r="X29" s="107" t="s">
        <v>368</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t="str">
        <f t="shared" si="1"/>
        <v>N</v>
      </c>
      <c r="K30" s="107"/>
      <c r="L30" s="107"/>
      <c r="M30" s="266" t="s">
        <v>6</v>
      </c>
      <c r="N30" s="267" t="s">
        <v>55</v>
      </c>
      <c r="O30" s="270" t="s">
        <v>200</v>
      </c>
      <c r="P30" s="272"/>
      <c r="Q30" s="269" t="s">
        <v>374</v>
      </c>
      <c r="R30" s="269" t="s">
        <v>375</v>
      </c>
      <c r="S30" s="107"/>
      <c r="T30" s="107"/>
      <c r="U30" s="308"/>
      <c r="V30" s="107"/>
      <c r="W30" s="107" t="s">
        <v>368</v>
      </c>
      <c r="X30" s="107" t="s">
        <v>368</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t="str">
        <f t="shared" si="1"/>
        <v>Y</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t="s">
        <v>77</v>
      </c>
      <c r="E32" s="240"/>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c r="U32" s="308"/>
      <c r="V32" s="107" t="s">
        <v>364</v>
      </c>
      <c r="W32" s="107" t="s">
        <v>367</v>
      </c>
      <c r="X32" s="107" t="s">
        <v>367</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t="s">
        <v>368</v>
      </c>
      <c r="X33" s="107" t="s">
        <v>368</v>
      </c>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c r="T34" s="107"/>
      <c r="U34" s="308"/>
      <c r="V34" s="107"/>
      <c r="W34" s="107" t="s">
        <v>368</v>
      </c>
      <c r="X34" s="107" t="s">
        <v>368</v>
      </c>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t="str">
        <f t="shared" si="1"/>
        <v>Y</v>
      </c>
      <c r="K35" s="107" t="s">
        <v>141</v>
      </c>
      <c r="L35" s="107" t="s">
        <v>142</v>
      </c>
      <c r="M35" s="275" t="s">
        <v>7</v>
      </c>
      <c r="N35" s="276" t="s">
        <v>55</v>
      </c>
      <c r="O35" s="277" t="s">
        <v>183</v>
      </c>
      <c r="P35" s="283">
        <v>44266</v>
      </c>
      <c r="Q35" s="280" t="s">
        <v>218</v>
      </c>
      <c r="R35" s="280" t="s">
        <v>266</v>
      </c>
      <c r="S35" s="237" t="s">
        <v>346</v>
      </c>
      <c r="T35" s="107" t="s">
        <v>72</v>
      </c>
      <c r="U35" s="308">
        <v>43753</v>
      </c>
      <c r="V35" s="107" t="s">
        <v>364</v>
      </c>
      <c r="W35" s="107" t="s">
        <v>367</v>
      </c>
      <c r="X35" s="107" t="s">
        <v>367</v>
      </c>
    </row>
    <row r="36" spans="1:24" ht="13.8"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t="str">
        <f t="shared" si="1"/>
        <v>Y</v>
      </c>
      <c r="K36" s="107"/>
      <c r="L36" s="107"/>
      <c r="M36" s="275" t="s">
        <v>7</v>
      </c>
      <c r="N36" s="276" t="s">
        <v>56</v>
      </c>
      <c r="O36" s="277" t="s">
        <v>213</v>
      </c>
      <c r="P36" s="280"/>
      <c r="Q36" s="280" t="s">
        <v>162</v>
      </c>
      <c r="R36" s="280" t="s">
        <v>317</v>
      </c>
      <c r="S36" s="237" t="s">
        <v>346</v>
      </c>
      <c r="T36" s="107" t="s">
        <v>72</v>
      </c>
      <c r="U36" s="308">
        <v>43752</v>
      </c>
      <c r="V36" s="107" t="s">
        <v>364</v>
      </c>
      <c r="W36" s="107" t="s">
        <v>368</v>
      </c>
      <c r="X36" s="107" t="s">
        <v>368</v>
      </c>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t="s">
        <v>346</v>
      </c>
      <c r="T37" s="107" t="s">
        <v>72</v>
      </c>
      <c r="U37" s="308">
        <v>44049</v>
      </c>
      <c r="V37" s="107" t="s">
        <v>364</v>
      </c>
      <c r="W37" s="237" t="s">
        <v>368</v>
      </c>
      <c r="X37" s="107" t="s">
        <v>368</v>
      </c>
    </row>
    <row r="38" spans="1:24" ht="23.4" customHeight="1" x14ac:dyDescent="0.3">
      <c r="A38" s="213" t="s">
        <v>54</v>
      </c>
      <c r="B38" s="206"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t="str">
        <f t="shared" si="1"/>
        <v>N</v>
      </c>
      <c r="K38" s="107"/>
      <c r="L38" s="107"/>
      <c r="M38" s="275" t="s">
        <v>7</v>
      </c>
      <c r="N38" s="276" t="s">
        <v>55</v>
      </c>
      <c r="O38" s="277" t="s">
        <v>410</v>
      </c>
      <c r="P38" s="280"/>
      <c r="Q38" s="282" t="s">
        <v>661</v>
      </c>
      <c r="R38" s="280" t="s">
        <v>662</v>
      </c>
      <c r="S38" s="237" t="s">
        <v>346</v>
      </c>
      <c r="T38" s="107" t="s">
        <v>72</v>
      </c>
      <c r="U38" s="308">
        <v>43753</v>
      </c>
      <c r="V38" s="107" t="s">
        <v>364</v>
      </c>
      <c r="W38" s="107" t="s">
        <v>368</v>
      </c>
      <c r="X38" s="107" t="s">
        <v>368</v>
      </c>
    </row>
    <row r="39" spans="1:24" ht="41.4" x14ac:dyDescent="0.3">
      <c r="A39" s="213" t="s">
        <v>54</v>
      </c>
      <c r="B39" s="206" t="s">
        <v>335</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t="str">
        <f t="shared" si="1"/>
        <v>N</v>
      </c>
      <c r="K39" s="107"/>
      <c r="L39" s="107"/>
      <c r="M39" s="275" t="s">
        <v>7</v>
      </c>
      <c r="N39" s="276" t="s">
        <v>55</v>
      </c>
      <c r="O39" s="277" t="s">
        <v>656</v>
      </c>
      <c r="P39" s="283">
        <v>43985</v>
      </c>
      <c r="Q39" s="282" t="s">
        <v>663</v>
      </c>
      <c r="R39" s="282" t="s">
        <v>664</v>
      </c>
      <c r="S39" s="237"/>
      <c r="T39" s="107"/>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t="str">
        <f t="shared" ref="J40:J59" si="3">VLOOKUP(B40,$O$4:$W$64,9,0)</f>
        <v>N</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I41" s="182">
        <f t="shared" si="2"/>
        <v>0</v>
      </c>
      <c r="J41" s="182" t="str">
        <f t="shared" si="3"/>
        <v>N</v>
      </c>
      <c r="K41" s="107"/>
      <c r="L41" s="107"/>
      <c r="M41" s="275" t="s">
        <v>7</v>
      </c>
      <c r="N41" s="276" t="s">
        <v>53</v>
      </c>
      <c r="O41" s="277" t="s">
        <v>221</v>
      </c>
      <c r="P41" s="283"/>
      <c r="Q41" s="280" t="s">
        <v>222</v>
      </c>
      <c r="R41" s="280" t="s">
        <v>344</v>
      </c>
      <c r="S41" s="237"/>
      <c r="T41" s="107"/>
      <c r="U41" s="308"/>
      <c r="V41" s="107" t="s">
        <v>364</v>
      </c>
      <c r="W41" s="107" t="s">
        <v>367</v>
      </c>
      <c r="X41" s="107" t="s">
        <v>367</v>
      </c>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2"/>
        <v>Passed</v>
      </c>
      <c r="J42" s="182" t="str">
        <f t="shared" si="3"/>
        <v>Y</v>
      </c>
      <c r="K42" s="107"/>
      <c r="L42" s="107"/>
      <c r="M42" s="275" t="s">
        <v>7</v>
      </c>
      <c r="N42" s="276" t="s">
        <v>53</v>
      </c>
      <c r="O42" s="277" t="s">
        <v>224</v>
      </c>
      <c r="P42" s="283"/>
      <c r="Q42" s="280" t="s">
        <v>225</v>
      </c>
      <c r="R42" s="280" t="s">
        <v>340</v>
      </c>
      <c r="S42" s="237" t="s">
        <v>346</v>
      </c>
      <c r="T42" s="107" t="s">
        <v>73</v>
      </c>
      <c r="U42" s="308"/>
      <c r="V42" s="107"/>
      <c r="W42" s="107" t="s">
        <v>368</v>
      </c>
      <c r="X42" s="107" t="s">
        <v>368</v>
      </c>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t="str">
        <f t="shared" si="3"/>
        <v>N</v>
      </c>
      <c r="K43" s="107"/>
      <c r="L43" s="107"/>
      <c r="M43" s="275" t="s">
        <v>7</v>
      </c>
      <c r="N43" s="276" t="s">
        <v>658</v>
      </c>
      <c r="O43" s="278" t="s">
        <v>614</v>
      </c>
      <c r="P43" s="283"/>
      <c r="Q43" s="280" t="s">
        <v>152</v>
      </c>
      <c r="R43" s="280" t="s">
        <v>154</v>
      </c>
      <c r="S43" s="237" t="s">
        <v>346</v>
      </c>
      <c r="T43" s="107" t="s">
        <v>72</v>
      </c>
      <c r="U43" s="308">
        <v>43623</v>
      </c>
      <c r="V43" s="107" t="s">
        <v>364</v>
      </c>
      <c r="W43" s="107" t="s">
        <v>368</v>
      </c>
      <c r="X43" s="107" t="s">
        <v>368</v>
      </c>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346</v>
      </c>
      <c r="T44" s="107" t="s">
        <v>72</v>
      </c>
      <c r="U44" s="308">
        <v>44008</v>
      </c>
      <c r="V44" s="107" t="s">
        <v>364</v>
      </c>
      <c r="W44" s="107" t="s">
        <v>368</v>
      </c>
      <c r="X44" s="107" t="s">
        <v>368</v>
      </c>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f t="shared" si="2"/>
        <v>0</v>
      </c>
      <c r="J45" s="182" t="str">
        <f t="shared" si="3"/>
        <v>N</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2"/>
        <v>Passed</v>
      </c>
      <c r="J46" s="182" t="str">
        <f t="shared" si="3"/>
        <v>Y</v>
      </c>
      <c r="K46" s="107"/>
      <c r="L46" s="107"/>
      <c r="M46" s="275" t="s">
        <v>7</v>
      </c>
      <c r="N46" s="276" t="s">
        <v>55</v>
      </c>
      <c r="O46" s="278" t="s">
        <v>1</v>
      </c>
      <c r="P46" s="283"/>
      <c r="Q46" s="280" t="s">
        <v>577</v>
      </c>
      <c r="R46" s="280" t="s">
        <v>477</v>
      </c>
      <c r="S46" s="237"/>
      <c r="T46" s="107"/>
      <c r="U46" s="308"/>
      <c r="V46" s="107"/>
      <c r="W46" s="107" t="s">
        <v>368</v>
      </c>
      <c r="X46" s="107" t="s">
        <v>368</v>
      </c>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c r="U47" s="308">
        <v>43684</v>
      </c>
      <c r="V47" s="107" t="s">
        <v>364</v>
      </c>
      <c r="W47" s="107" t="s">
        <v>368</v>
      </c>
      <c r="X47" s="107" t="s">
        <v>368</v>
      </c>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2"/>
        <v>Passed</v>
      </c>
      <c r="J48" s="182" t="str">
        <f t="shared" si="3"/>
        <v>Y</v>
      </c>
      <c r="K48" s="107"/>
      <c r="L48" s="107"/>
      <c r="M48" s="275" t="s">
        <v>7</v>
      </c>
      <c r="N48" s="276" t="s">
        <v>56</v>
      </c>
      <c r="O48" s="278" t="s">
        <v>385</v>
      </c>
      <c r="P48" s="280"/>
      <c r="Q48" s="280" t="s">
        <v>387</v>
      </c>
      <c r="R48" s="280" t="s">
        <v>386</v>
      </c>
      <c r="S48" s="237" t="s">
        <v>346</v>
      </c>
      <c r="T48" s="107" t="s">
        <v>73</v>
      </c>
      <c r="U48" s="308"/>
      <c r="V48" s="107"/>
      <c r="W48" s="107" t="s">
        <v>368</v>
      </c>
      <c r="X48" s="107" t="s">
        <v>368</v>
      </c>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2"/>
        <v>Passed</v>
      </c>
      <c r="J49" s="182" t="str">
        <f t="shared" si="3"/>
        <v>Y</v>
      </c>
      <c r="K49" s="107"/>
      <c r="L49" s="107"/>
      <c r="M49" s="275" t="s">
        <v>7</v>
      </c>
      <c r="N49" s="276" t="s">
        <v>54</v>
      </c>
      <c r="O49" s="278" t="s">
        <v>229</v>
      </c>
      <c r="P49" s="283"/>
      <c r="Q49" s="280" t="s">
        <v>665</v>
      </c>
      <c r="R49" s="280" t="s">
        <v>574</v>
      </c>
      <c r="S49" s="107"/>
      <c r="T49" s="107"/>
      <c r="U49" s="308"/>
      <c r="V49" s="107"/>
      <c r="W49" s="107" t="s">
        <v>368</v>
      </c>
      <c r="X49" s="107" t="s">
        <v>368</v>
      </c>
    </row>
    <row r="50" spans="1:24" ht="13.8" x14ac:dyDescent="0.3">
      <c r="A50" s="213" t="s">
        <v>643</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2"/>
        <v>Passed</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2"/>
        <v>0</v>
      </c>
      <c r="J53" s="182" t="str">
        <f t="shared" si="3"/>
        <v>N</v>
      </c>
      <c r="K53" s="107" t="s">
        <v>141</v>
      </c>
      <c r="L53" s="107" t="s">
        <v>142</v>
      </c>
      <c r="M53" s="284" t="s">
        <v>8</v>
      </c>
      <c r="N53" s="285" t="s">
        <v>2</v>
      </c>
      <c r="O53" s="279" t="s">
        <v>232</v>
      </c>
      <c r="P53" s="286" t="s">
        <v>228</v>
      </c>
      <c r="Q53" s="286" t="s">
        <v>671</v>
      </c>
      <c r="R53" s="286"/>
      <c r="S53" s="237" t="s">
        <v>346</v>
      </c>
      <c r="T53" s="107" t="s">
        <v>73</v>
      </c>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ht="18" customHeigh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t="str">
        <f t="shared" si="2"/>
        <v>Passed</v>
      </c>
      <c r="J56" s="182" t="str">
        <f t="shared" si="3"/>
        <v>Y</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2"/>
        <v>Passed</v>
      </c>
      <c r="J57" s="182" t="str">
        <f t="shared" si="3"/>
        <v>Y</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f t="shared" si="2"/>
        <v>0</v>
      </c>
      <c r="J58" s="182" t="str">
        <f t="shared" si="3"/>
        <v>N</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f t="shared" si="2"/>
        <v>0</v>
      </c>
      <c r="J59" s="182" t="str">
        <f t="shared" si="3"/>
        <v>N</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t="str">
        <f t="shared" ref="I60:I65" si="4">VLOOKUP(B61,$O$4:$W$64,8,0)</f>
        <v>Passed</v>
      </c>
      <c r="J60" s="182" t="str">
        <f t="shared" ref="J60:J65" si="5">VLOOKUP(B61,$O$4:$W$64,9,0)</f>
        <v>N</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c r="E61" s="292" t="s">
        <v>77</v>
      </c>
      <c r="F61" s="292"/>
      <c r="G61" s="292"/>
      <c r="H61" s="212">
        <f>IF(C61&lt;&gt;"",'CBL Score Standard'!$D118,IF(D61&lt;&gt;"",SUM('CBL Score Standard'!$D118:$E118),IF(E61&lt;&gt;"",SUM('CBL Score Standard'!$D118:$F118),IF(F61&lt;&gt;"",SUM('CBL Score Standard'!$D118:$G118),IF(G61&lt;&gt;"",SUM('CBL Score Standard'!$D118:$H118,0))))))</f>
        <v>2.8571428571428571E-2</v>
      </c>
      <c r="I61" s="182">
        <f t="shared" si="4"/>
        <v>0</v>
      </c>
      <c r="J61" s="182" t="str">
        <f t="shared" si="5"/>
        <v>N</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c r="G62" s="292"/>
      <c r="H62" s="212" t="b">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t="s">
        <v>77</v>
      </c>
      <c r="E64" s="240"/>
      <c r="F64" s="292"/>
      <c r="G64" s="292"/>
      <c r="H64" s="212">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c r="G65" s="292"/>
      <c r="H65" s="212" t="b">
        <f>IF(C65&lt;&gt;"",'CBL Score Standard'!$D122,IF(D65&lt;&gt;"",SUM('CBL Score Standard'!$D122:$E122),IF(E65&lt;&gt;"",SUM('CBL Score Standard'!$D122:$F122),IF(F65&lt;&gt;"",SUM('CBL Score Standard'!$D122:$G122),IF(G65&lt;&gt;"",SUM('CBL Score Standard'!$D122:$H122,0))))))</f>
        <v>0</v>
      </c>
      <c r="I65" s="182">
        <f t="shared" si="4"/>
        <v>0</v>
      </c>
      <c r="J65" s="182" t="str">
        <f t="shared" si="5"/>
        <v>N</v>
      </c>
      <c r="K65" s="205"/>
      <c r="L65" s="205"/>
      <c r="M65" s="205"/>
      <c r="N65" s="306"/>
      <c r="O65" s="205"/>
      <c r="P65" s="205"/>
      <c r="Q65" s="205"/>
      <c r="R65" s="205"/>
    </row>
    <row r="66" spans="1:18"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2.54349593495935</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autoFilter ref="A3:J70"/>
  <customSheetViews>
    <customSheetView guid="{6D9FC8F7-6352-4BF1-890A-27BF36FADC03}" scale="98" showGridLines="0" showAutoFilter="1" topLeftCell="A43">
      <selection activeCell="A7" sqref="A7:H68"/>
      <pageMargins left="0.7" right="0.7" top="0.75" bottom="0.75" header="0.3" footer="0.3"/>
      <pageSetup orientation="portrait" r:id="rId1"/>
      <autoFilter ref="A3:J70"/>
    </customSheetView>
    <customSheetView guid="{040B64FF-F135-4C7F-9498-A8399C10673D}" scale="98" showGridLines="0" showAutoFilter="1" topLeftCell="A43">
      <selection activeCell="A7" sqref="A7:H68"/>
      <pageMargins left="0.7" right="0.7" top="0.75" bottom="0.75" header="0.3" footer="0.3"/>
      <pageSetup orientation="portrait" r:id="rId2"/>
      <autoFilter ref="A3:J70"/>
    </customSheetView>
    <customSheetView guid="{3F51B73C-8999-4BDD-B7BB-CFA8C5D5F118}" scale="98" showGridLines="0" showAutoFilter="1">
      <selection activeCell="K1" sqref="K1:AN1048576"/>
      <pageMargins left="0.7" right="0.7" top="0.75" bottom="0.75" header="0.3" footer="0.3"/>
      <pageSetup orientation="portrait" r:id="rId3"/>
      <autoFilter ref="A3:AA70"/>
    </customSheetView>
    <customSheetView guid="{61959E49-C4BC-41CB-B0BE-7EDA73DE356A}" scale="98" showGridLines="0" showAutoFilter="1" topLeftCell="F40">
      <selection activeCell="V50" sqref="V50"/>
      <pageMargins left="0.7" right="0.7" top="0.75" bottom="0.75" header="0.3" footer="0.3"/>
      <pageSetup orientation="portrait" r:id="rId4"/>
      <autoFilter ref="A3:AB70"/>
    </customSheetView>
    <customSheetView guid="{9F775BAE-2403-40FE-95E3-B0411D9A7170}" scale="98" showGridLines="0" showAutoFilter="1">
      <selection activeCell="C8" sqref="C8:G67"/>
      <pageMargins left="0.7" right="0.7" top="0.75" bottom="0.75" header="0.3" footer="0.3"/>
      <pageSetup orientation="portrait" r:id="rId5"/>
      <autoFilter ref="A3:AB70"/>
    </customSheetView>
    <customSheetView guid="{B9E7682A-072E-4CF9-AE10-B3ED27CB27F8}" scale="98" showGridLines="0" showAutoFilter="1">
      <selection activeCell="E8" sqref="C8:G67"/>
      <pageMargins left="0.7" right="0.7" top="0.75" bottom="0.75" header="0.3" footer="0.3"/>
      <pageSetup orientation="portrait" r:id="rId6"/>
      <autoFilter ref="A3:AB70"/>
    </customSheetView>
    <customSheetView guid="{3BEDB203-29A8-4A82-B140-5CE8D0753F8B}" scale="98" showGridLines="0" showAutoFilter="1" topLeftCell="A43">
      <selection activeCell="A7" sqref="A7:H68"/>
      <pageMargins left="0.7" right="0.7" top="0.75" bottom="0.75" header="0.3" footer="0.3"/>
      <pageSetup orientation="portrait" r:id="rId7"/>
      <autoFilter ref="A3:J70"/>
    </customSheetView>
  </customSheetViews>
  <mergeCells count="6">
    <mergeCell ref="A69:G69"/>
    <mergeCell ref="M2:M3"/>
    <mergeCell ref="N2:N3"/>
    <mergeCell ref="S2:S3"/>
    <mergeCell ref="A1:H1"/>
    <mergeCell ref="A67:G67"/>
  </mergeCells>
  <conditionalFormatting sqref="C7:D7 F7:H7">
    <cfRule type="containsText" dxfId="250" priority="31" operator="containsText" text="N/A">
      <formula>NOT(ISERROR(SEARCH("N/A",C7)))</formula>
    </cfRule>
    <cfRule type="containsText" dxfId="249" priority="32" operator="containsText" text="Blank">
      <formula>NOT(ISERROR(SEARCH("Blank",C7)))</formula>
    </cfRule>
    <cfRule type="containsText" dxfId="248" priority="33" operator="containsText" text="M">
      <formula>NOT(ISERROR(SEARCH("M",C7)))</formula>
    </cfRule>
  </conditionalFormatting>
  <conditionalFormatting sqref="B67:B69 B7">
    <cfRule type="duplicateValues" dxfId="247" priority="30"/>
  </conditionalFormatting>
  <conditionalFormatting sqref="B30">
    <cfRule type="duplicateValues" dxfId="246" priority="13"/>
  </conditionalFormatting>
  <conditionalFormatting sqref="B55">
    <cfRule type="duplicateValues" dxfId="245" priority="12"/>
  </conditionalFormatting>
  <conditionalFormatting sqref="B13">
    <cfRule type="duplicateValues" dxfId="244" priority="11"/>
  </conditionalFormatting>
  <conditionalFormatting sqref="B56:B66 B31:B54 B8:B12 B14:B28">
    <cfRule type="duplicateValues" dxfId="243" priority="14"/>
  </conditionalFormatting>
  <conditionalFormatting sqref="B29">
    <cfRule type="duplicateValues" dxfId="242" priority="15"/>
  </conditionalFormatting>
  <conditionalFormatting sqref="O25">
    <cfRule type="duplicateValues" dxfId="241" priority="1"/>
  </conditionalFormatting>
  <conditionalFormatting sqref="O4:O9 O12:O18">
    <cfRule type="duplicateValues" dxfId="240" priority="10"/>
  </conditionalFormatting>
  <conditionalFormatting sqref="O10">
    <cfRule type="duplicateValues" dxfId="239" priority="9"/>
  </conditionalFormatting>
  <conditionalFormatting sqref="O11">
    <cfRule type="duplicateValues" dxfId="238" priority="8"/>
  </conditionalFormatting>
  <conditionalFormatting sqref="O19:O24 O32:O34 O26:O30">
    <cfRule type="duplicateValues" dxfId="237" priority="7"/>
  </conditionalFormatting>
  <conditionalFormatting sqref="O36:O52">
    <cfRule type="duplicateValues" dxfId="236" priority="6"/>
  </conditionalFormatting>
  <conditionalFormatting sqref="O35">
    <cfRule type="duplicateValues" dxfId="235" priority="5"/>
  </conditionalFormatting>
  <conditionalFormatting sqref="O53:O60">
    <cfRule type="duplicateValues" dxfId="234" priority="4"/>
  </conditionalFormatting>
  <conditionalFormatting sqref="O61:O64">
    <cfRule type="duplicateValues" dxfId="233" priority="3"/>
  </conditionalFormatting>
  <conditionalFormatting sqref="O31">
    <cfRule type="duplicateValues" dxfId="232"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69:X1048576 T20:X64">
      <formula1>"M, O, N/A"</formula1>
    </dataValidation>
  </dataValidations>
  <hyperlinks>
    <hyperlink ref="J1" location="Summary!A1" display="Home"/>
  </hyperlinks>
  <pageMargins left="0.7" right="0.7" top="0.75" bottom="0.75" header="0.3" footer="0.3"/>
  <pageSetup orientation="portrait" r:id="rId8"/>
  <drawing r:id="rId9"/>
  <legacyDrawing r:id="rId1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pageSetUpPr fitToPage="1"/>
  </sheetPr>
  <dimension ref="A1:X197"/>
  <sheetViews>
    <sheetView showGridLines="0" topLeftCell="P1" zoomScale="85" zoomScaleNormal="85" workbookViewId="0">
      <selection activeCell="T4" sqref="T4:X6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3.4" customHeight="1" x14ac:dyDescent="0.3">
      <c r="A2" s="70" t="s">
        <v>357</v>
      </c>
      <c r="B2" s="58" t="s">
        <v>359</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43353</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2.408219178082192</v>
      </c>
      <c r="C4" s="3"/>
      <c r="D4" s="3"/>
      <c r="E4" s="3"/>
      <c r="F4" s="3"/>
      <c r="G4" s="3"/>
      <c r="H4" s="3"/>
      <c r="K4" s="107" t="s">
        <v>141</v>
      </c>
      <c r="L4" s="107" t="s">
        <v>142</v>
      </c>
      <c r="M4" s="254" t="s">
        <v>5</v>
      </c>
      <c r="N4" s="255" t="s">
        <v>143</v>
      </c>
      <c r="O4" s="256" t="s">
        <v>362</v>
      </c>
      <c r="P4" s="258"/>
      <c r="Q4" s="261" t="s">
        <v>145</v>
      </c>
      <c r="R4" s="261" t="s">
        <v>211</v>
      </c>
      <c r="S4" s="237" t="s">
        <v>359</v>
      </c>
      <c r="T4" s="107" t="s">
        <v>72</v>
      </c>
      <c r="U4" s="307">
        <v>44041.194444444445</v>
      </c>
      <c r="V4" s="107" t="s">
        <v>364</v>
      </c>
      <c r="W4" s="107"/>
      <c r="X4" s="107"/>
    </row>
    <row r="5" spans="1:24" ht="12.75" customHeight="1" x14ac:dyDescent="0.3">
      <c r="A5" s="70" t="s">
        <v>377</v>
      </c>
      <c r="B5" s="95">
        <v>10.083333333333334</v>
      </c>
      <c r="C5" s="97"/>
      <c r="D5" s="3"/>
      <c r="E5" s="3"/>
      <c r="F5" s="3"/>
      <c r="G5" s="3"/>
      <c r="H5" s="3"/>
      <c r="K5" s="107"/>
      <c r="L5" s="107"/>
      <c r="M5" s="254" t="s">
        <v>5</v>
      </c>
      <c r="N5" s="255" t="s">
        <v>143</v>
      </c>
      <c r="O5" s="256" t="s">
        <v>363</v>
      </c>
      <c r="P5" s="259" t="s">
        <v>144</v>
      </c>
      <c r="Q5" s="259" t="s">
        <v>149</v>
      </c>
      <c r="R5" s="259" t="s">
        <v>150</v>
      </c>
      <c r="S5" s="237" t="s">
        <v>359</v>
      </c>
      <c r="T5" s="107"/>
      <c r="U5" s="308"/>
      <c r="V5" s="107" t="s">
        <v>364</v>
      </c>
      <c r="W5" s="107"/>
      <c r="X5" s="107"/>
    </row>
    <row r="6" spans="1:24" thickBot="1" x14ac:dyDescent="0.35">
      <c r="A6" s="70" t="s">
        <v>378</v>
      </c>
      <c r="B6" s="95">
        <f ca="1">B4+B5</f>
        <v>12.491552511415525</v>
      </c>
      <c r="C6" s="97"/>
      <c r="K6" s="107"/>
      <c r="L6" s="107"/>
      <c r="M6" s="254" t="s">
        <v>5</v>
      </c>
      <c r="N6" s="255" t="s">
        <v>148</v>
      </c>
      <c r="O6" s="256" t="s">
        <v>148</v>
      </c>
      <c r="P6" s="259" t="s">
        <v>144</v>
      </c>
      <c r="Q6" s="259" t="s">
        <v>149</v>
      </c>
      <c r="R6" s="259" t="s">
        <v>150</v>
      </c>
      <c r="S6" s="237" t="s">
        <v>359</v>
      </c>
      <c r="T6" s="107" t="s">
        <v>72</v>
      </c>
      <c r="U6" s="308">
        <v>43755</v>
      </c>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359</v>
      </c>
      <c r="T7" s="107"/>
      <c r="U7" s="308"/>
      <c r="V7" s="107" t="s">
        <v>364</v>
      </c>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 t="shared" ref="I8:I39" si="0">VLOOKUP(B8,$O$4:$W$64,8,0)</f>
        <v>Passed</v>
      </c>
      <c r="J8" s="182">
        <f t="shared" ref="J8:J39" si="1">VLOOKUP(B8,$O$4:$W$64,9,0)</f>
        <v>0</v>
      </c>
      <c r="K8" s="107"/>
      <c r="L8" s="107"/>
      <c r="M8" s="254" t="s">
        <v>5</v>
      </c>
      <c r="N8" s="255" t="s">
        <v>678</v>
      </c>
      <c r="O8" s="257" t="s">
        <v>645</v>
      </c>
      <c r="P8" s="259" t="s">
        <v>144</v>
      </c>
      <c r="Q8" s="259" t="s">
        <v>152</v>
      </c>
      <c r="R8" s="259" t="s">
        <v>154</v>
      </c>
      <c r="S8" s="237"/>
      <c r="T8" s="107" t="s">
        <v>72</v>
      </c>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si="0"/>
        <v>Passed</v>
      </c>
      <c r="J9" s="182">
        <f t="shared" si="1"/>
        <v>0</v>
      </c>
      <c r="K9" s="107"/>
      <c r="L9" s="107"/>
      <c r="M9" s="254" t="s">
        <v>5</v>
      </c>
      <c r="N9" s="255" t="s">
        <v>678</v>
      </c>
      <c r="O9" s="257" t="s">
        <v>592</v>
      </c>
      <c r="P9" s="259" t="s">
        <v>144</v>
      </c>
      <c r="Q9" s="259" t="s">
        <v>153</v>
      </c>
      <c r="R9" s="259" t="s">
        <v>263</v>
      </c>
      <c r="S9" s="237" t="s">
        <v>359</v>
      </c>
      <c r="T9" s="107"/>
      <c r="U9" s="308"/>
      <c r="V9" s="107" t="s">
        <v>364</v>
      </c>
      <c r="W9" s="107"/>
      <c r="X9" s="107"/>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f t="shared" si="1"/>
        <v>0</v>
      </c>
      <c r="K10" s="107"/>
      <c r="L10" s="107"/>
      <c r="M10" s="254" t="s">
        <v>5</v>
      </c>
      <c r="N10" s="255" t="s">
        <v>678</v>
      </c>
      <c r="O10" s="257" t="s">
        <v>593</v>
      </c>
      <c r="P10" s="259" t="s">
        <v>144</v>
      </c>
      <c r="Q10" s="259" t="s">
        <v>590</v>
      </c>
      <c r="R10" s="259" t="s">
        <v>274</v>
      </c>
      <c r="S10" s="237" t="s">
        <v>359</v>
      </c>
      <c r="T10" s="107" t="s">
        <v>72</v>
      </c>
      <c r="U10" s="308"/>
      <c r="V10" s="107"/>
      <c r="W10" s="107"/>
      <c r="X10" s="107"/>
    </row>
    <row r="11" spans="1:24" ht="13.8" x14ac:dyDescent="0.3">
      <c r="A11" s="213" t="s">
        <v>63</v>
      </c>
      <c r="B11" s="206" t="s">
        <v>234</v>
      </c>
      <c r="C11" s="240"/>
      <c r="D11" s="240" t="s">
        <v>77</v>
      </c>
      <c r="E11" s="240"/>
      <c r="F11" s="292"/>
      <c r="G11" s="292"/>
      <c r="H11" s="212">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359</v>
      </c>
      <c r="T13" s="107" t="s">
        <v>72</v>
      </c>
      <c r="U13" s="308">
        <v>44029</v>
      </c>
      <c r="V13" s="107" t="s">
        <v>364</v>
      </c>
      <c r="W13" s="107"/>
      <c r="X13" s="107"/>
    </row>
    <row r="14" spans="1:24" ht="13.8" x14ac:dyDescent="0.3">
      <c r="A14" s="213" t="s">
        <v>55</v>
      </c>
      <c r="B14" s="206" t="s">
        <v>617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f t="shared" si="1"/>
        <v>0</v>
      </c>
      <c r="K15" s="107"/>
      <c r="L15" s="107"/>
      <c r="M15" s="254" t="s">
        <v>5</v>
      </c>
      <c r="N15" s="255" t="s">
        <v>54</v>
      </c>
      <c r="O15" s="257" t="s">
        <v>388</v>
      </c>
      <c r="P15" s="259"/>
      <c r="Q15" s="259" t="s">
        <v>215</v>
      </c>
      <c r="R15" s="259" t="s">
        <v>216</v>
      </c>
      <c r="S15" s="107" t="s">
        <v>359</v>
      </c>
      <c r="T15" s="107" t="s">
        <v>72</v>
      </c>
      <c r="U15" s="308"/>
      <c r="V15" s="107" t="s">
        <v>364</v>
      </c>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t="str">
        <f t="shared" si="0"/>
        <v>Passed</v>
      </c>
      <c r="J16" s="182">
        <f t="shared" si="1"/>
        <v>0</v>
      </c>
      <c r="K16" s="107"/>
      <c r="L16" s="107"/>
      <c r="M16" s="254" t="s">
        <v>5</v>
      </c>
      <c r="N16" s="255" t="s">
        <v>41</v>
      </c>
      <c r="O16" s="257" t="s">
        <v>412</v>
      </c>
      <c r="P16" s="260"/>
      <c r="Q16" s="259" t="s">
        <v>371</v>
      </c>
      <c r="R16" s="259" t="s">
        <v>372</v>
      </c>
      <c r="S16" s="107" t="s">
        <v>359</v>
      </c>
      <c r="T16" s="107" t="s">
        <v>72</v>
      </c>
      <c r="U16" s="308"/>
      <c r="V16" s="107" t="s">
        <v>364</v>
      </c>
      <c r="W16" s="107"/>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t="str">
        <f t="shared" si="0"/>
        <v>Passed</v>
      </c>
      <c r="J18" s="182">
        <f t="shared" si="1"/>
        <v>0</v>
      </c>
      <c r="K18" s="107"/>
      <c r="L18" s="107"/>
      <c r="M18" s="254" t="s">
        <v>5</v>
      </c>
      <c r="N18" s="255" t="s">
        <v>46</v>
      </c>
      <c r="O18" s="252" t="s">
        <v>169</v>
      </c>
      <c r="P18" s="260"/>
      <c r="Q18" s="262" t="s">
        <v>170</v>
      </c>
      <c r="R18" s="262" t="s">
        <v>651</v>
      </c>
      <c r="S18" s="107" t="s">
        <v>359</v>
      </c>
      <c r="T18" s="107" t="s">
        <v>72</v>
      </c>
      <c r="U18" s="308"/>
      <c r="V18" s="107" t="s">
        <v>364</v>
      </c>
      <c r="W18" s="107"/>
      <c r="X18" s="107"/>
    </row>
    <row r="19" spans="1:24" x14ac:dyDescent="0.3">
      <c r="A19" s="213" t="s">
        <v>55</v>
      </c>
      <c r="B19" s="206" t="s">
        <v>196</v>
      </c>
      <c r="C19" s="240" t="s">
        <v>77</v>
      </c>
      <c r="D19" s="240"/>
      <c r="E19" s="240"/>
      <c r="F19" s="240"/>
      <c r="G19" s="240"/>
      <c r="H19" s="212">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26" t="s">
        <v>359</v>
      </c>
      <c r="T19" s="133" t="s">
        <v>72</v>
      </c>
      <c r="U19" s="308">
        <v>44083</v>
      </c>
      <c r="V19" s="133" t="s">
        <v>364</v>
      </c>
    </row>
    <row r="20" spans="1:24" x14ac:dyDescent="0.3">
      <c r="A20" s="213" t="s">
        <v>55</v>
      </c>
      <c r="B20" s="206" t="s">
        <v>200</v>
      </c>
      <c r="C20" s="240"/>
      <c r="D20" s="240"/>
      <c r="E20" s="240" t="s">
        <v>77</v>
      </c>
      <c r="F20" s="240"/>
      <c r="G20" s="240"/>
      <c r="H20" s="212">
        <f>IF(C20&lt;&gt;"",'CBL Score Standard'!$D78,IF(D20&lt;&gt;"",SUM('CBL Score Standard'!$D78:$E78),IF(E20&lt;&gt;"",SUM('CBL Score Standard'!$D78:$F78),IF(F20&lt;&gt;"",SUM('CBL Score Standard'!$D78:$G78),IF(G20&lt;&gt;"",SUM('CBL Score Standard'!$D78:$H78,0))))))</f>
        <v>0</v>
      </c>
      <c r="I20" s="182" t="str">
        <f t="shared" si="0"/>
        <v>Passed</v>
      </c>
      <c r="J20" s="182">
        <f t="shared" si="1"/>
        <v>0</v>
      </c>
      <c r="K20" s="107"/>
      <c r="L20" s="107"/>
      <c r="M20" s="266" t="s">
        <v>6</v>
      </c>
      <c r="N20" s="267" t="s">
        <v>56</v>
      </c>
      <c r="O20" s="270" t="s">
        <v>180</v>
      </c>
      <c r="P20" s="272"/>
      <c r="Q20" s="269" t="s">
        <v>170</v>
      </c>
      <c r="R20" s="269" t="s">
        <v>651</v>
      </c>
      <c r="S20" s="237" t="s">
        <v>359</v>
      </c>
      <c r="T20" s="107" t="s">
        <v>72</v>
      </c>
      <c r="U20" s="308"/>
      <c r="V20" s="107" t="s">
        <v>364</v>
      </c>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t="s">
        <v>359</v>
      </c>
      <c r="T21" s="107" t="s">
        <v>72</v>
      </c>
      <c r="U21" s="308">
        <v>44063</v>
      </c>
      <c r="V21" s="107" t="s">
        <v>364</v>
      </c>
      <c r="W21" s="107"/>
      <c r="X21" s="107"/>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f t="shared" si="1"/>
        <v>0</v>
      </c>
      <c r="K22" s="107"/>
      <c r="L22" s="107"/>
      <c r="M22" s="266" t="s">
        <v>6</v>
      </c>
      <c r="N22" s="267" t="s">
        <v>678</v>
      </c>
      <c r="O22" s="270" t="s">
        <v>186</v>
      </c>
      <c r="P22" s="274">
        <v>44392</v>
      </c>
      <c r="Q22" s="269" t="s">
        <v>153</v>
      </c>
      <c r="R22" s="269" t="s">
        <v>263</v>
      </c>
      <c r="S22" s="237" t="s">
        <v>359</v>
      </c>
      <c r="T22" s="107" t="s">
        <v>72</v>
      </c>
      <c r="U22" s="308"/>
      <c r="V22" s="107" t="s">
        <v>364</v>
      </c>
      <c r="W22" s="107"/>
      <c r="X22" s="107"/>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f t="shared" si="1"/>
        <v>0</v>
      </c>
      <c r="K23" s="107"/>
      <c r="L23" s="107"/>
      <c r="M23" s="266" t="s">
        <v>6</v>
      </c>
      <c r="N23" s="267" t="s">
        <v>678</v>
      </c>
      <c r="O23" s="252" t="s">
        <v>652</v>
      </c>
      <c r="P23" s="273">
        <v>44378</v>
      </c>
      <c r="Q23" s="269" t="s">
        <v>590</v>
      </c>
      <c r="R23" s="269" t="s">
        <v>274</v>
      </c>
      <c r="S23" s="237" t="s">
        <v>359</v>
      </c>
      <c r="T23" s="107"/>
      <c r="U23" s="308"/>
      <c r="V23" s="107" t="s">
        <v>364</v>
      </c>
      <c r="W23" s="107"/>
      <c r="X23" s="107"/>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678</v>
      </c>
      <c r="O24" s="270" t="s">
        <v>189</v>
      </c>
      <c r="P24" s="274"/>
      <c r="Q24" s="269" t="s">
        <v>225</v>
      </c>
      <c r="R24" s="269" t="s">
        <v>340</v>
      </c>
      <c r="S24" s="237" t="s">
        <v>359</v>
      </c>
      <c r="T24" s="107"/>
      <c r="U24" s="308">
        <v>43760</v>
      </c>
      <c r="V24" s="107" t="s">
        <v>364</v>
      </c>
      <c r="W24" s="107"/>
      <c r="X24" s="107"/>
    </row>
    <row r="25" spans="1:24" x14ac:dyDescent="0.3">
      <c r="A25" s="213" t="s">
        <v>55</v>
      </c>
      <c r="B25" s="206" t="s">
        <v>236</v>
      </c>
      <c r="C25" s="240"/>
      <c r="D25" s="240" t="s">
        <v>77</v>
      </c>
      <c r="E25" s="240"/>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t="s">
        <v>359</v>
      </c>
      <c r="T26" s="107" t="s">
        <v>72</v>
      </c>
      <c r="U26" s="308">
        <v>43608</v>
      </c>
      <c r="V26" s="107" t="s">
        <v>364</v>
      </c>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t="s">
        <v>359</v>
      </c>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t="s">
        <v>359</v>
      </c>
      <c r="T28" s="107" t="s">
        <v>72</v>
      </c>
      <c r="U28" s="308"/>
      <c r="V28" s="107" t="s">
        <v>364</v>
      </c>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196</v>
      </c>
      <c r="P29" s="272"/>
      <c r="Q29" s="269" t="s">
        <v>197</v>
      </c>
      <c r="R29" s="269" t="s">
        <v>256</v>
      </c>
      <c r="S29" s="237" t="s">
        <v>359</v>
      </c>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t="str">
        <f t="shared" si="0"/>
        <v>Failed</v>
      </c>
      <c r="J30" s="182">
        <f t="shared" si="1"/>
        <v>0</v>
      </c>
      <c r="K30" s="107"/>
      <c r="L30" s="107"/>
      <c r="M30" s="266" t="s">
        <v>6</v>
      </c>
      <c r="N30" s="267" t="s">
        <v>55</v>
      </c>
      <c r="O30" s="270" t="s">
        <v>200</v>
      </c>
      <c r="P30" s="272"/>
      <c r="Q30" s="269" t="s">
        <v>374</v>
      </c>
      <c r="R30" s="269" t="s">
        <v>375</v>
      </c>
      <c r="S30" s="107" t="s">
        <v>359</v>
      </c>
      <c r="T30" s="107" t="s">
        <v>72</v>
      </c>
      <c r="U30" s="308">
        <v>43629</v>
      </c>
      <c r="V30" s="107" t="s">
        <v>364</v>
      </c>
      <c r="W30" s="107"/>
      <c r="X30" s="107"/>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t="s">
        <v>359</v>
      </c>
      <c r="T32" s="107" t="s">
        <v>72</v>
      </c>
      <c r="U32" s="308"/>
      <c r="V32" s="107" t="s">
        <v>364</v>
      </c>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t="s">
        <v>359</v>
      </c>
      <c r="T33" s="107"/>
      <c r="U33" s="308"/>
      <c r="V33" s="107"/>
      <c r="W33" s="107"/>
      <c r="X33" s="107"/>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t="s">
        <v>359</v>
      </c>
      <c r="T34" s="107" t="s">
        <v>72</v>
      </c>
      <c r="U34" s="308"/>
      <c r="V34" s="107" t="s">
        <v>364</v>
      </c>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f t="shared" si="1"/>
        <v>0</v>
      </c>
      <c r="K35" s="107" t="s">
        <v>141</v>
      </c>
      <c r="L35" s="107" t="s">
        <v>142</v>
      </c>
      <c r="M35" s="275" t="s">
        <v>7</v>
      </c>
      <c r="N35" s="276" t="s">
        <v>55</v>
      </c>
      <c r="O35" s="277" t="s">
        <v>183</v>
      </c>
      <c r="P35" s="283">
        <v>44266</v>
      </c>
      <c r="Q35" s="280" t="s">
        <v>218</v>
      </c>
      <c r="R35" s="280" t="s">
        <v>266</v>
      </c>
      <c r="S35" s="237" t="s">
        <v>359</v>
      </c>
      <c r="T35" s="107"/>
      <c r="U35" s="308"/>
      <c r="V35" s="107" t="s">
        <v>364</v>
      </c>
      <c r="W35" s="107"/>
      <c r="X35" s="107"/>
    </row>
    <row r="36" spans="1:24" ht="13.8"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f t="shared" si="1"/>
        <v>0</v>
      </c>
      <c r="K36" s="107"/>
      <c r="L36" s="107"/>
      <c r="M36" s="275" t="s">
        <v>7</v>
      </c>
      <c r="N36" s="276" t="s">
        <v>56</v>
      </c>
      <c r="O36" s="277" t="s">
        <v>213</v>
      </c>
      <c r="P36" s="280"/>
      <c r="Q36" s="280" t="s">
        <v>162</v>
      </c>
      <c r="R36" s="280" t="s">
        <v>317</v>
      </c>
      <c r="S36" s="237" t="s">
        <v>359</v>
      </c>
      <c r="T36" s="107" t="s">
        <v>72</v>
      </c>
      <c r="U36" s="308"/>
      <c r="V36" s="107" t="s">
        <v>364</v>
      </c>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t="s">
        <v>359</v>
      </c>
      <c r="T37" s="107" t="s">
        <v>72</v>
      </c>
      <c r="U37" s="308">
        <v>43766</v>
      </c>
      <c r="V37" s="107" t="s">
        <v>364</v>
      </c>
      <c r="W37" s="237"/>
      <c r="X37" s="107"/>
    </row>
    <row r="38" spans="1:24" ht="23.4" customHeight="1" x14ac:dyDescent="0.3">
      <c r="A38" s="213" t="s">
        <v>54</v>
      </c>
      <c r="B38" s="206"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t="str">
        <f t="shared" si="0"/>
        <v>Passed</v>
      </c>
      <c r="J38" s="182">
        <f t="shared" si="1"/>
        <v>0</v>
      </c>
      <c r="K38" s="107"/>
      <c r="L38" s="107"/>
      <c r="M38" s="275" t="s">
        <v>7</v>
      </c>
      <c r="N38" s="276" t="s">
        <v>55</v>
      </c>
      <c r="O38" s="277" t="s">
        <v>410</v>
      </c>
      <c r="P38" s="280"/>
      <c r="Q38" s="282" t="s">
        <v>661</v>
      </c>
      <c r="R38" s="280" t="s">
        <v>662</v>
      </c>
      <c r="S38" s="237" t="s">
        <v>359</v>
      </c>
      <c r="T38" s="107" t="s">
        <v>72</v>
      </c>
      <c r="U38" s="308">
        <v>43753</v>
      </c>
      <c r="V38" s="107" t="s">
        <v>364</v>
      </c>
      <c r="W38" s="107"/>
      <c r="X38" s="107"/>
    </row>
    <row r="39" spans="1:24" ht="41.4"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t="str">
        <f t="shared" ref="I40:I59" si="2">VLOOKUP(B40,$O$4:$W$64,8,0)</f>
        <v>Passed</v>
      </c>
      <c r="J40" s="182">
        <f t="shared" ref="J40:J59" si="3">VLOOKUP(B40,$O$4:$W$64,9,0)</f>
        <v>0</v>
      </c>
      <c r="K40" s="107"/>
      <c r="L40" s="107"/>
      <c r="M40" s="275" t="s">
        <v>7</v>
      </c>
      <c r="N40" s="276" t="s">
        <v>55</v>
      </c>
      <c r="O40" s="277" t="s">
        <v>657</v>
      </c>
      <c r="P40" s="283"/>
      <c r="Q40" s="280" t="s">
        <v>219</v>
      </c>
      <c r="R40" s="280" t="s">
        <v>256</v>
      </c>
      <c r="S40" s="237"/>
      <c r="T40" s="107" t="s">
        <v>73</v>
      </c>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t="s">
        <v>359</v>
      </c>
      <c r="T41" s="107" t="s">
        <v>72</v>
      </c>
      <c r="U41" s="308"/>
      <c r="V41" s="107"/>
      <c r="W41" s="107"/>
      <c r="X41" s="107"/>
    </row>
    <row r="42" spans="1:24" ht="13.8"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t="s">
        <v>359</v>
      </c>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t="s">
        <v>359</v>
      </c>
      <c r="T43" s="107" t="s">
        <v>72</v>
      </c>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359</v>
      </c>
      <c r="T44" s="107" t="s">
        <v>72</v>
      </c>
      <c r="U44" s="308">
        <v>44008</v>
      </c>
      <c r="V44" s="107" t="s">
        <v>382</v>
      </c>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t="str">
        <f t="shared" si="2"/>
        <v>Passed</v>
      </c>
      <c r="J45" s="182">
        <f t="shared" si="3"/>
        <v>0</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2"/>
        <v>Passed</v>
      </c>
      <c r="J46" s="182">
        <f t="shared" si="3"/>
        <v>0</v>
      </c>
      <c r="K46" s="107"/>
      <c r="L46" s="107"/>
      <c r="M46" s="275" t="s">
        <v>7</v>
      </c>
      <c r="N46" s="276" t="s">
        <v>55</v>
      </c>
      <c r="O46" s="278" t="s">
        <v>1</v>
      </c>
      <c r="P46" s="283"/>
      <c r="Q46" s="280" t="s">
        <v>577</v>
      </c>
      <c r="R46" s="280" t="s">
        <v>477</v>
      </c>
      <c r="S46" s="237" t="s">
        <v>359</v>
      </c>
      <c r="T46" s="107" t="s">
        <v>72</v>
      </c>
      <c r="U46" s="308">
        <v>43763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t="s">
        <v>359</v>
      </c>
      <c r="T47" s="107"/>
      <c r="U47" s="308"/>
      <c r="V47" s="107" t="s">
        <v>364</v>
      </c>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2"/>
        <v>Passed</v>
      </c>
      <c r="J48" s="182">
        <f t="shared" si="3"/>
        <v>0</v>
      </c>
      <c r="K48" s="107"/>
      <c r="L48" s="107"/>
      <c r="M48" s="275" t="s">
        <v>7</v>
      </c>
      <c r="N48" s="276" t="s">
        <v>56</v>
      </c>
      <c r="O48" s="278" t="s">
        <v>385</v>
      </c>
      <c r="P48" s="280"/>
      <c r="Q48" s="280" t="s">
        <v>387</v>
      </c>
      <c r="R48" s="280" t="s">
        <v>386</v>
      </c>
      <c r="S48" s="237" t="s">
        <v>359</v>
      </c>
      <c r="T48" s="107" t="s">
        <v>72</v>
      </c>
      <c r="U48" s="308">
        <v>43669</v>
      </c>
      <c r="V48" s="107" t="s">
        <v>364</v>
      </c>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2"/>
        <v>Passed</v>
      </c>
      <c r="J49" s="182">
        <f t="shared" si="3"/>
        <v>0</v>
      </c>
      <c r="K49" s="107"/>
      <c r="L49" s="107"/>
      <c r="M49" s="275" t="s">
        <v>7</v>
      </c>
      <c r="N49" s="276" t="s">
        <v>54</v>
      </c>
      <c r="O49" s="278" t="s">
        <v>229</v>
      </c>
      <c r="P49" s="283"/>
      <c r="Q49" s="280" t="s">
        <v>665</v>
      </c>
      <c r="R49" s="280" t="s">
        <v>574</v>
      </c>
      <c r="S49" s="107" t="s">
        <v>359</v>
      </c>
      <c r="T49" s="107"/>
      <c r="U49" s="308"/>
      <c r="V49" s="107" t="s">
        <v>364</v>
      </c>
      <c r="W49" s="107"/>
      <c r="X49" s="107"/>
    </row>
    <row r="50" spans="1:24" ht="13.8" x14ac:dyDescent="0.3">
      <c r="A50" s="213" t="s">
        <v>643</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2"/>
        <v>Passed</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t="e">
        <f t="shared" si="2"/>
        <v>#N/A</v>
      </c>
      <c r="J51" s="182" t="e">
        <f t="shared" si="3"/>
        <v>#N/A</v>
      </c>
      <c r="K51" s="107"/>
      <c r="L51" s="107"/>
      <c r="M51" s="275" t="s">
        <v>7</v>
      </c>
      <c r="N51" s="276" t="s">
        <v>55</v>
      </c>
      <c r="O51" s="277" t="s">
        <v>660</v>
      </c>
      <c r="P51" s="283"/>
      <c r="Q51" s="280" t="s">
        <v>667</v>
      </c>
      <c r="R51" s="280" t="s">
        <v>316</v>
      </c>
      <c r="S51" s="107"/>
      <c r="T51" s="107" t="s">
        <v>72</v>
      </c>
      <c r="U51" s="107"/>
      <c r="V51" s="107"/>
      <c r="W51" s="107"/>
      <c r="X51" s="107"/>
    </row>
    <row r="52" spans="1:24" ht="13.8" x14ac:dyDescent="0.3">
      <c r="A52" s="213" t="s">
        <v>643</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2"/>
        <v>0</v>
      </c>
      <c r="J53" s="182">
        <f t="shared" si="3"/>
        <v>0</v>
      </c>
      <c r="K53" s="107" t="s">
        <v>141</v>
      </c>
      <c r="L53" s="107" t="s">
        <v>142</v>
      </c>
      <c r="M53" s="284" t="s">
        <v>8</v>
      </c>
      <c r="N53" s="285" t="s">
        <v>2</v>
      </c>
      <c r="O53" s="279" t="s">
        <v>232</v>
      </c>
      <c r="P53" s="286" t="s">
        <v>228</v>
      </c>
      <c r="Q53" s="286" t="s">
        <v>671</v>
      </c>
      <c r="R53" s="286"/>
      <c r="S53" s="237" t="s">
        <v>359</v>
      </c>
      <c r="T53" s="107"/>
      <c r="U53" s="107"/>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t="s">
        <v>359</v>
      </c>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t="str">
        <f t="shared" si="2"/>
        <v>Passed</v>
      </c>
      <c r="J56" s="182">
        <f t="shared" si="3"/>
        <v>0</v>
      </c>
      <c r="K56" s="107"/>
      <c r="L56" s="107"/>
      <c r="M56" s="284" t="s">
        <v>8</v>
      </c>
      <c r="N56" s="285" t="s">
        <v>55</v>
      </c>
      <c r="O56" s="279" t="s">
        <v>236</v>
      </c>
      <c r="P56" s="286" t="s">
        <v>228</v>
      </c>
      <c r="Q56" s="286" t="s">
        <v>673</v>
      </c>
      <c r="R56" s="286"/>
      <c r="S56" s="237" t="s">
        <v>359</v>
      </c>
      <c r="T56" s="107"/>
      <c r="U56" s="107"/>
      <c r="V56" s="107"/>
      <c r="W56" s="107"/>
      <c r="X56" s="107"/>
    </row>
    <row r="57" spans="1:24" ht="26.4" x14ac:dyDescent="0.3">
      <c r="A57" s="213" t="s">
        <v>643</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2"/>
        <v>Passed</v>
      </c>
      <c r="J58" s="182">
        <f t="shared" si="3"/>
        <v>0</v>
      </c>
      <c r="K58" s="107"/>
      <c r="L58" s="107"/>
      <c r="M58" s="284" t="s">
        <v>8</v>
      </c>
      <c r="N58" s="285" t="s">
        <v>59</v>
      </c>
      <c r="O58" s="279" t="s">
        <v>237</v>
      </c>
      <c r="P58" s="286" t="s">
        <v>228</v>
      </c>
      <c r="Q58" s="286" t="s">
        <v>675</v>
      </c>
      <c r="R58" s="286"/>
      <c r="S58" s="107" t="s">
        <v>359</v>
      </c>
      <c r="T58" s="107"/>
      <c r="U58" s="307"/>
      <c r="V58" s="107"/>
      <c r="W58" s="107"/>
      <c r="X58" s="107"/>
    </row>
    <row r="59" spans="1:24" ht="26.4" x14ac:dyDescent="0.3">
      <c r="A59" s="213" t="s">
        <v>643</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2"/>
        <v>Passed</v>
      </c>
      <c r="J59" s="182">
        <f t="shared" si="3"/>
        <v>0</v>
      </c>
      <c r="K59" s="107"/>
      <c r="L59" s="107"/>
      <c r="M59" s="284" t="s">
        <v>8</v>
      </c>
      <c r="N59" s="285" t="s">
        <v>55</v>
      </c>
      <c r="O59" s="279" t="s">
        <v>473</v>
      </c>
      <c r="P59" s="286" t="s">
        <v>228</v>
      </c>
      <c r="Q59" s="286" t="s">
        <v>672</v>
      </c>
      <c r="R59" s="286"/>
      <c r="S59" s="107" t="s">
        <v>359</v>
      </c>
      <c r="T59" s="107"/>
      <c r="U59" s="307"/>
      <c r="V59" s="107"/>
      <c r="W59" s="107"/>
      <c r="X59" s="107"/>
    </row>
    <row r="60" spans="1:24" x14ac:dyDescent="0.3">
      <c r="A60" s="213" t="s">
        <v>643</v>
      </c>
      <c r="B60" s="206" t="s">
        <v>739</v>
      </c>
      <c r="C60" s="240"/>
      <c r="D60" s="240"/>
      <c r="E60" s="292"/>
      <c r="F60" s="292"/>
      <c r="G60" s="292"/>
      <c r="H60" s="212"/>
      <c r="I60" s="182" t="str">
        <f t="shared" ref="I60:I65" si="4">VLOOKUP(B61,$O$4:$W$64,8,0)</f>
        <v>Passed</v>
      </c>
      <c r="J60" s="182">
        <f t="shared" ref="J60:J65" si="5">VLOOKUP(B61,$O$4:$W$64,9,0)</f>
        <v>0</v>
      </c>
      <c r="K60" s="107"/>
      <c r="L60" s="107"/>
      <c r="M60" s="284" t="s">
        <v>8</v>
      </c>
      <c r="N60" s="285" t="s">
        <v>148</v>
      </c>
      <c r="O60" s="279" t="s">
        <v>360</v>
      </c>
      <c r="P60" s="286" t="s">
        <v>228</v>
      </c>
      <c r="Q60" s="286" t="s">
        <v>676</v>
      </c>
      <c r="R60" s="286" t="s">
        <v>216</v>
      </c>
      <c r="S60" s="107" t="s">
        <v>359</v>
      </c>
      <c r="T60" s="107"/>
      <c r="U60" s="107"/>
      <c r="V60" s="107"/>
      <c r="W60" s="107"/>
      <c r="X60" s="107"/>
    </row>
    <row r="61" spans="1:24" ht="13.8" x14ac:dyDescent="0.25">
      <c r="A61" s="150" t="s">
        <v>56</v>
      </c>
      <c r="B61" s="206" t="s">
        <v>383</v>
      </c>
      <c r="C61" s="240"/>
      <c r="D61" s="240"/>
      <c r="E61" s="292" t="s">
        <v>77</v>
      </c>
      <c r="F61" s="292"/>
      <c r="G61" s="292"/>
      <c r="H61" s="212">
        <f>IF(C61&lt;&gt;"",'CBL Score Standard'!$D118,IF(D61&lt;&gt;"",SUM('CBL Score Standard'!$D118:$E118),IF(E61&lt;&gt;"",SUM('CBL Score Standard'!$D118:$F118),IF(F61&lt;&gt;"",SUM('CBL Score Standard'!$D118:$G118),IF(G61&lt;&gt;"",SUM('CBL Score Standard'!$D118:$H118,0))))))</f>
        <v>2.8571428571428571E-2</v>
      </c>
      <c r="I61" s="182" t="str">
        <f t="shared" si="4"/>
        <v>Passed</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t="s">
        <v>77</v>
      </c>
      <c r="F65" s="292"/>
      <c r="G65" s="292"/>
      <c r="H65" s="212">
        <f>IF(C65&lt;&gt;"",'CBL Score Standard'!$D122,IF(D65&lt;&gt;"",SUM('CBL Score Standard'!$D122:$E122),IF(E65&lt;&gt;"",SUM('CBL Score Standard'!$D122:$F122),IF(F65&lt;&gt;"",SUM('CBL Score Standard'!$D122:$G122),IF(G65&lt;&gt;"",SUM('CBL Score Standard'!$D122:$H122,0))))))</f>
        <v>2.8571428571428571E-2</v>
      </c>
      <c r="I65" s="182" t="str">
        <f t="shared" si="4"/>
        <v>Passed</v>
      </c>
      <c r="J65" s="182">
        <f t="shared" si="5"/>
        <v>0</v>
      </c>
      <c r="K65" s="205"/>
      <c r="L65" s="205"/>
      <c r="M65" s="205"/>
      <c r="N65" s="306"/>
      <c r="O65" s="205"/>
      <c r="P65" s="205"/>
      <c r="Q65" s="205"/>
      <c r="R65" s="205"/>
    </row>
    <row r="66" spans="1:18" ht="15" thickBot="1" x14ac:dyDescent="0.35">
      <c r="A66" s="214" t="s">
        <v>55</v>
      </c>
      <c r="B66" s="206" t="s">
        <v>1</v>
      </c>
      <c r="C66" s="240"/>
      <c r="D66" s="240"/>
      <c r="E66" s="292" t="s">
        <v>77</v>
      </c>
      <c r="F66" s="292"/>
      <c r="G66" s="292"/>
      <c r="H66" s="212">
        <f>IF(C66&lt;&gt;"",'CBL Score Standard'!$D123,IF(D66&lt;&gt;"",SUM('CBL Score Standard'!$D123:$E123),IF(E66&lt;&gt;"",SUM('CBL Score Standard'!$D123:$F123),IF(F66&lt;&gt;"",SUM('CBL Score Standard'!$D123:$G123),IF(G66&lt;&gt;"",SUM('CBL Score Standard'!$D123:$H123,0))))))</f>
        <v>2.8571428571428571E-2</v>
      </c>
      <c r="K66" s="205"/>
      <c r="L66" s="205"/>
      <c r="M66" s="205"/>
      <c r="N66" s="306"/>
      <c r="O66" s="205"/>
      <c r="P66" s="205"/>
      <c r="Q66" s="205"/>
      <c r="R66" s="205"/>
    </row>
    <row r="67" spans="1:18" ht="15" thickBot="1" x14ac:dyDescent="0.35">
      <c r="A67" s="362" t="s">
        <v>79</v>
      </c>
      <c r="B67" s="363"/>
      <c r="C67" s="364"/>
      <c r="D67" s="364"/>
      <c r="E67" s="364"/>
      <c r="F67" s="364"/>
      <c r="G67" s="364"/>
      <c r="H67" s="183">
        <f>SUM(H8:H64)</f>
        <v>2.6149245063879212</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70" showGridLines="0" fitToPage="1" showAutoFilter="1" topLeftCell="A43">
      <selection activeCell="A7" sqref="A7:H68"/>
      <pageMargins left="0.25" right="0" top="0.25" bottom="0.25" header="0.3" footer="0"/>
      <pageSetup scale="32" fitToHeight="0" orientation="landscape" r:id="rId1"/>
      <autoFilter ref="A3:J70"/>
    </customSheetView>
    <customSheetView guid="{040B64FF-F135-4C7F-9498-A8399C10673D}" scale="70" showGridLines="0" fitToPage="1" showAutoFilter="1" topLeftCell="A43">
      <selection activeCell="A7" sqref="A7:H68"/>
      <pageMargins left="0.25" right="0" top="0.25" bottom="0.25" header="0.3" footer="0"/>
      <pageSetup scale="32" fitToHeight="0" orientation="landscape" r:id="rId2"/>
      <autoFilter ref="A3:J70"/>
    </customSheetView>
    <customSheetView guid="{3F51B73C-8999-4BDD-B7BB-CFA8C5D5F118}" scale="70" showGridLines="0" fitToPage="1" showAutoFilter="1" hiddenColumns="1">
      <selection activeCell="K1" sqref="K1:AN1048576"/>
      <pageMargins left="0.25" right="0" top="0.25" bottom="0.25" header="0.3" footer="0"/>
      <pageSetup scale="32" fitToHeight="0" orientation="landscape" r:id="rId3"/>
      <autoFilter ref="A3:AA70"/>
    </customSheetView>
    <customSheetView guid="{61959E49-C4BC-41CB-B0BE-7EDA73DE356A}" showGridLines="0" fitToPage="1" showAutoFilter="1" hiddenColumns="1" topLeftCell="J40">
      <selection activeCell="V58" sqref="V58"/>
      <pageMargins left="0.25" right="0" top="0.25" bottom="0.25" header="0.3" footer="0"/>
      <pageSetup scale="32" fitToHeight="0" orientation="landscape" r:id="rId4"/>
      <autoFilter ref="A3:AB70"/>
    </customSheetView>
    <customSheetView guid="{9F775BAE-2403-40FE-95E3-B0411D9A7170}" showGridLines="0" fitToPage="1" showAutoFilter="1" hiddenColumns="1" topLeftCell="J37">
      <selection activeCell="C8" sqref="C8:G67"/>
      <pageMargins left="0.25" right="0" top="0.25" bottom="0.25" header="0.3" footer="0"/>
      <pageSetup scale="32" fitToHeight="0" orientation="landscape" r:id="rId5"/>
      <autoFilter ref="A3:AB70"/>
    </customSheetView>
    <customSheetView guid="{B9E7682A-072E-4CF9-AE10-B3ED27CB27F8}" showGridLines="0" fitToPage="1" showAutoFilter="1" hiddenColumns="1" topLeftCell="G1">
      <selection activeCell="U31" sqref="U31:V31"/>
      <pageMargins left="0.25" right="0" top="0.25" bottom="0.25" header="0.3" footer="0"/>
      <pageSetup scale="32" fitToHeight="0" orientation="landscape" r:id="rId6"/>
      <autoFilter ref="A3:AB70"/>
    </customSheetView>
    <customSheetView guid="{3BEDB203-29A8-4A82-B140-5CE8D0753F8B}" scale="70" showGridLines="0" fitToPage="1" showAutoFilter="1" topLeftCell="A43">
      <selection activeCell="A7" sqref="A7:H68"/>
      <pageMargins left="0.25" right="0" top="0.25" bottom="0.25" header="0.3" footer="0"/>
      <pageSetup scale="32" fitToHeight="0" orientation="landscape" r:id="rId7"/>
      <autoFilter ref="A3:J70"/>
    </customSheetView>
  </customSheetViews>
  <mergeCells count="6">
    <mergeCell ref="A69:G69"/>
    <mergeCell ref="M2:M3"/>
    <mergeCell ref="N2:N3"/>
    <mergeCell ref="S2:S3"/>
    <mergeCell ref="A1:H1"/>
    <mergeCell ref="A67:G67"/>
  </mergeCells>
  <conditionalFormatting sqref="C7:D7 F7:H7">
    <cfRule type="containsText" dxfId="231" priority="31" operator="containsText" text="N/A">
      <formula>NOT(ISERROR(SEARCH("N/A",C7)))</formula>
    </cfRule>
    <cfRule type="containsText" dxfId="230" priority="32" operator="containsText" text="Blank">
      <formula>NOT(ISERROR(SEARCH("Blank",C7)))</formula>
    </cfRule>
    <cfRule type="containsText" dxfId="229" priority="33" operator="containsText" text="M">
      <formula>NOT(ISERROR(SEARCH("M",C7)))</formula>
    </cfRule>
  </conditionalFormatting>
  <conditionalFormatting sqref="B67:B69 B7">
    <cfRule type="duplicateValues" dxfId="228" priority="30"/>
  </conditionalFormatting>
  <conditionalFormatting sqref="B30">
    <cfRule type="duplicateValues" dxfId="227" priority="13"/>
  </conditionalFormatting>
  <conditionalFormatting sqref="B55">
    <cfRule type="duplicateValues" dxfId="226" priority="12"/>
  </conditionalFormatting>
  <conditionalFormatting sqref="B13">
    <cfRule type="duplicateValues" dxfId="225" priority="11"/>
  </conditionalFormatting>
  <conditionalFormatting sqref="B56:B66 B31:B54 B8:B12 B14:B28">
    <cfRule type="duplicateValues" dxfId="224" priority="14"/>
  </conditionalFormatting>
  <conditionalFormatting sqref="B29">
    <cfRule type="duplicateValues" dxfId="223" priority="15"/>
  </conditionalFormatting>
  <conditionalFormatting sqref="O25">
    <cfRule type="duplicateValues" dxfId="222" priority="1"/>
  </conditionalFormatting>
  <conditionalFormatting sqref="O4:O9 O12:O18">
    <cfRule type="duplicateValues" dxfId="221" priority="10"/>
  </conditionalFormatting>
  <conditionalFormatting sqref="O10">
    <cfRule type="duplicateValues" dxfId="220" priority="9"/>
  </conditionalFormatting>
  <conditionalFormatting sqref="O11">
    <cfRule type="duplicateValues" dxfId="219" priority="8"/>
  </conditionalFormatting>
  <conditionalFormatting sqref="O19:O24 O32:O34 O26:O30">
    <cfRule type="duplicateValues" dxfId="218" priority="7"/>
  </conditionalFormatting>
  <conditionalFormatting sqref="O36:O52">
    <cfRule type="duplicateValues" dxfId="217" priority="6"/>
  </conditionalFormatting>
  <conditionalFormatting sqref="O35">
    <cfRule type="duplicateValues" dxfId="216" priority="5"/>
  </conditionalFormatting>
  <conditionalFormatting sqref="O53:O60">
    <cfRule type="duplicateValues" dxfId="215" priority="4"/>
  </conditionalFormatting>
  <conditionalFormatting sqref="O61:O64">
    <cfRule type="duplicateValues" dxfId="214" priority="3"/>
  </conditionalFormatting>
  <conditionalFormatting sqref="O31">
    <cfRule type="duplicateValues" dxfId="213"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20:X64 T2 T69:X1048576 T3:X18">
      <formula1>"M, O, N/A"</formula1>
    </dataValidation>
  </dataValidations>
  <pageMargins left="0.25" right="0" top="0.25" bottom="0.25" header="0.3" footer="0"/>
  <pageSetup scale="32" fitToHeight="0" orientation="landscape" r:id="rId8"/>
  <drawing r:id="rId9"/>
  <legacyDrawing r:id="rId10"/>
  <controls>
    <mc:AlternateContent xmlns:mc="http://schemas.openxmlformats.org/markup-compatibility/2006">
      <mc:Choice Requires="x14">
        <control shapeId="4105" r:id="rId11" name="CommandButton1">
          <controlPr defaultSize="0" autoLine="0" r:id="rId12">
            <anchor moveWithCells="1">
              <from>
                <xdr:col>8</xdr:col>
                <xdr:colOff>251460</xdr:colOff>
                <xdr:row>49</xdr:row>
                <xdr:rowOff>68580</xdr:rowOff>
              </from>
              <to>
                <xdr:col>9</xdr:col>
                <xdr:colOff>541020</xdr:colOff>
                <xdr:row>51</xdr:row>
                <xdr:rowOff>68580</xdr:rowOff>
              </to>
            </anchor>
          </controlPr>
        </control>
      </mc:Choice>
      <mc:Fallback>
        <control shapeId="4105" r:id="rId11" name="CommandButton1"/>
      </mc:Fallback>
    </mc:AlternateContent>
    <mc:AlternateContent xmlns:mc="http://schemas.openxmlformats.org/markup-compatibility/2006">
      <mc:Choice Requires="x14">
        <control shapeId="4106" r:id="rId13" name="CommandButton2">
          <controlPr defaultSize="0" autoLine="0" r:id="rId14">
            <anchor moveWithCells="1">
              <from>
                <xdr:col>8</xdr:col>
                <xdr:colOff>144780</xdr:colOff>
                <xdr:row>59</xdr:row>
                <xdr:rowOff>0</xdr:rowOff>
              </from>
              <to>
                <xdr:col>9</xdr:col>
                <xdr:colOff>464820</xdr:colOff>
                <xdr:row>61</xdr:row>
                <xdr:rowOff>91440</xdr:rowOff>
              </to>
            </anchor>
          </controlPr>
        </control>
      </mc:Choice>
      <mc:Fallback>
        <control shapeId="4106" r:id="rId13"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theme="5"/>
    <pageSetUpPr fitToPage="1"/>
  </sheetPr>
  <dimension ref="A1:X197"/>
  <sheetViews>
    <sheetView showGridLines="0" topLeftCell="J28" zoomScale="70" zoomScaleNormal="70" workbookViewId="0">
      <selection activeCell="S4" sqref="S4:X60"/>
    </sheetView>
  </sheetViews>
  <sheetFormatPr defaultColWidth="9.109375" defaultRowHeight="14.4" x14ac:dyDescent="0.3"/>
  <cols>
    <col min="1" max="1" width="31.44140625" style="184" customWidth="1"/>
    <col min="2" max="2" width="38.88671875" style="184" customWidth="1"/>
    <col min="3" max="3" width="9.109375" style="184"/>
    <col min="4" max="5" width="10" style="184" bestFit="1" customWidth="1"/>
    <col min="6" max="7" width="9.109375" style="184"/>
    <col min="8" max="8" width="9.109375" style="185"/>
    <col min="9" max="10" width="9.109375" style="182"/>
    <col min="11" max="11" width="8.5546875" style="296" bestFit="1" customWidth="1"/>
    <col min="12" max="12" width="6.44140625" style="296" bestFit="1" customWidth="1"/>
    <col min="13" max="13" width="7.88671875" style="296" bestFit="1" customWidth="1"/>
    <col min="14" max="14" width="18.44140625" style="296" bestFit="1" customWidth="1"/>
    <col min="15" max="15" width="79.77734375" style="296" bestFit="1" customWidth="1"/>
    <col min="16" max="16" width="23.88671875" style="296" bestFit="1" customWidth="1"/>
    <col min="17" max="17" width="29.109375" style="296" bestFit="1" customWidth="1"/>
    <col min="18" max="18" width="17.5546875" style="296" bestFit="1" customWidth="1"/>
    <col min="19" max="19" width="16.88671875" style="296" bestFit="1" customWidth="1"/>
    <col min="20" max="24" width="15.5546875" style="296" customWidth="1"/>
    <col min="25" max="16384" width="9.109375" style="182"/>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205" t="s">
        <v>357</v>
      </c>
      <c r="B2" s="237" t="s">
        <v>736</v>
      </c>
      <c r="C2" s="182"/>
      <c r="D2" s="182"/>
      <c r="E2" s="182"/>
      <c r="F2" s="182"/>
      <c r="G2" s="182"/>
      <c r="H2" s="182"/>
      <c r="K2" s="324" t="s">
        <v>132</v>
      </c>
      <c r="L2" s="324" t="s">
        <v>91</v>
      </c>
      <c r="M2" s="335" t="s">
        <v>75</v>
      </c>
      <c r="N2" s="336" t="s">
        <v>133</v>
      </c>
      <c r="O2" s="324" t="s">
        <v>134</v>
      </c>
      <c r="P2" s="324" t="s">
        <v>135</v>
      </c>
      <c r="Q2" s="324" t="s">
        <v>136</v>
      </c>
      <c r="R2" s="324" t="s">
        <v>137</v>
      </c>
      <c r="S2" s="334" t="s">
        <v>138</v>
      </c>
      <c r="T2" s="297" t="s">
        <v>334</v>
      </c>
      <c r="U2" s="297" t="s">
        <v>332</v>
      </c>
      <c r="V2" s="297" t="s">
        <v>333</v>
      </c>
      <c r="W2" s="297" t="s">
        <v>365</v>
      </c>
      <c r="X2" s="297" t="s">
        <v>366</v>
      </c>
    </row>
    <row r="3" spans="1:24" ht="12.75" customHeight="1" x14ac:dyDescent="0.3">
      <c r="A3" s="205" t="s">
        <v>337</v>
      </c>
      <c r="B3" s="219">
        <v>44039</v>
      </c>
      <c r="C3" s="223"/>
      <c r="D3" s="182"/>
      <c r="E3" s="182"/>
      <c r="F3" s="182"/>
      <c r="G3" s="182"/>
      <c r="H3" s="182"/>
      <c r="K3" s="324"/>
      <c r="L3" s="324"/>
      <c r="M3" s="335"/>
      <c r="N3" s="336"/>
      <c r="O3" s="324"/>
      <c r="P3" s="298" t="s">
        <v>140</v>
      </c>
      <c r="Q3" s="324"/>
      <c r="R3" s="324"/>
      <c r="S3" s="334"/>
      <c r="T3" s="323"/>
      <c r="U3" s="323"/>
      <c r="V3" s="323"/>
      <c r="W3" s="323"/>
      <c r="X3" s="323"/>
    </row>
    <row r="4" spans="1:24" ht="13.8" x14ac:dyDescent="0.3">
      <c r="A4" s="205" t="s">
        <v>358</v>
      </c>
      <c r="B4" s="222">
        <f ca="1">DATEDIF(B3,TODAY(),"D")/365</f>
        <v>0.52876712328767128</v>
      </c>
      <c r="C4" s="182"/>
      <c r="D4" s="182"/>
      <c r="E4" s="182"/>
      <c r="F4" s="182"/>
      <c r="G4" s="182"/>
      <c r="H4" s="182"/>
      <c r="K4" s="107" t="s">
        <v>141</v>
      </c>
      <c r="L4" s="107" t="s">
        <v>142</v>
      </c>
      <c r="M4" s="254" t="s">
        <v>5</v>
      </c>
      <c r="N4" s="255" t="s">
        <v>143</v>
      </c>
      <c r="O4" s="256" t="s">
        <v>362</v>
      </c>
      <c r="P4" s="258"/>
      <c r="Q4" s="261" t="s">
        <v>145</v>
      </c>
      <c r="R4" s="261" t="s">
        <v>211</v>
      </c>
      <c r="S4" s="237"/>
      <c r="T4" s="107" t="s">
        <v>72</v>
      </c>
      <c r="U4" s="307"/>
      <c r="V4" s="107" t="s">
        <v>364</v>
      </c>
      <c r="W4" s="107"/>
      <c r="X4" s="107"/>
    </row>
    <row r="5" spans="1:24" ht="12.75" customHeight="1" x14ac:dyDescent="0.3">
      <c r="A5" s="205" t="s">
        <v>377</v>
      </c>
      <c r="B5" s="222">
        <v>0</v>
      </c>
      <c r="C5" s="224"/>
      <c r="D5" s="182"/>
      <c r="E5" s="182"/>
      <c r="F5" s="182"/>
      <c r="G5" s="182"/>
      <c r="H5" s="182"/>
      <c r="K5" s="107"/>
      <c r="L5" s="107"/>
      <c r="M5" s="254" t="s">
        <v>5</v>
      </c>
      <c r="N5" s="255" t="s">
        <v>143</v>
      </c>
      <c r="O5" s="256" t="s">
        <v>363</v>
      </c>
      <c r="P5" s="259" t="s">
        <v>144</v>
      </c>
      <c r="Q5" s="259" t="s">
        <v>149</v>
      </c>
      <c r="R5" s="259" t="s">
        <v>150</v>
      </c>
      <c r="S5" s="237"/>
      <c r="T5" s="107" t="s">
        <v>72</v>
      </c>
      <c r="U5" s="308"/>
      <c r="V5" s="107" t="s">
        <v>364</v>
      </c>
      <c r="W5" s="107"/>
      <c r="X5" s="107"/>
    </row>
    <row r="6" spans="1:24" thickBot="1" x14ac:dyDescent="0.35">
      <c r="A6" s="205" t="s">
        <v>378</v>
      </c>
      <c r="B6" s="222">
        <f ca="1">B4+B5</f>
        <v>0.52876712328767128</v>
      </c>
      <c r="C6" s="224"/>
      <c r="K6" s="107"/>
      <c r="L6" s="107"/>
      <c r="M6" s="254" t="s">
        <v>5</v>
      </c>
      <c r="N6" s="255" t="s">
        <v>148</v>
      </c>
      <c r="O6" s="256" t="s">
        <v>148</v>
      </c>
      <c r="P6" s="259" t="s">
        <v>144</v>
      </c>
      <c r="Q6" s="259" t="s">
        <v>149</v>
      </c>
      <c r="R6" s="259" t="s">
        <v>150</v>
      </c>
      <c r="S6" s="237"/>
      <c r="T6" s="107" t="s">
        <v>72</v>
      </c>
      <c r="U6" s="308"/>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t="s">
        <v>72</v>
      </c>
      <c r="U7" s="308"/>
      <c r="V7" s="107" t="s">
        <v>364</v>
      </c>
      <c r="W7" s="237"/>
      <c r="X7" s="107"/>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 t="shared" ref="I8:I39" si="0">VLOOKUP(B8,$O$4:$W$64,8,0)</f>
        <v>0</v>
      </c>
      <c r="J8" s="182">
        <f t="shared" ref="J8:J39" si="1">VLOOKUP(B8,$O$4:$W$64,9,0)</f>
        <v>0</v>
      </c>
      <c r="K8" s="107"/>
      <c r="L8" s="107"/>
      <c r="M8" s="254" t="s">
        <v>5</v>
      </c>
      <c r="N8" s="255" t="s">
        <v>678</v>
      </c>
      <c r="O8" s="257" t="s">
        <v>645</v>
      </c>
      <c r="P8" s="259" t="s">
        <v>144</v>
      </c>
      <c r="Q8" s="259" t="s">
        <v>152</v>
      </c>
      <c r="R8" s="259" t="s">
        <v>154</v>
      </c>
      <c r="S8" s="237"/>
      <c r="T8" s="107" t="s">
        <v>72</v>
      </c>
      <c r="U8" s="107"/>
      <c r="V8" s="107" t="s">
        <v>364</v>
      </c>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si="0"/>
        <v>0</v>
      </c>
      <c r="J9" s="182">
        <f t="shared" si="1"/>
        <v>0</v>
      </c>
      <c r="K9" s="107"/>
      <c r="L9" s="107"/>
      <c r="M9" s="254" t="s">
        <v>5</v>
      </c>
      <c r="N9" s="255" t="s">
        <v>678</v>
      </c>
      <c r="O9" s="257" t="s">
        <v>592</v>
      </c>
      <c r="P9" s="259" t="s">
        <v>144</v>
      </c>
      <c r="Q9" s="259" t="s">
        <v>153</v>
      </c>
      <c r="R9" s="259" t="s">
        <v>263</v>
      </c>
      <c r="S9" s="237"/>
      <c r="T9" s="107" t="s">
        <v>72</v>
      </c>
      <c r="U9" s="308"/>
      <c r="V9" s="107" t="s">
        <v>364</v>
      </c>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t="s">
        <v>72</v>
      </c>
      <c r="U10" s="308"/>
      <c r="V10" s="107" t="s">
        <v>364</v>
      </c>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row>
    <row r="14" spans="1:24" ht="13.8" x14ac:dyDescent="0.3">
      <c r="A14" s="213" t="s">
        <v>55</v>
      </c>
      <c r="B14" s="206" t="s">
        <v>617</v>
      </c>
      <c r="C14" s="240"/>
      <c r="D14" s="240" t="s">
        <v>77</v>
      </c>
      <c r="E14" s="240"/>
      <c r="F14" s="292"/>
      <c r="G14" s="292"/>
      <c r="H14" s="212">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t="s">
        <v>72</v>
      </c>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t="s">
        <v>77</v>
      </c>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c r="T18" s="107" t="s">
        <v>72</v>
      </c>
      <c r="U18" s="308"/>
      <c r="V18" s="107"/>
      <c r="W18" s="107"/>
      <c r="X18" s="107"/>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T19" s="107" t="s">
        <v>73</v>
      </c>
      <c r="U19" s="309"/>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c r="T20" s="107" t="s">
        <v>73</v>
      </c>
      <c r="U20" s="308"/>
      <c r="V20" s="107"/>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t="s">
        <v>72</v>
      </c>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678</v>
      </c>
      <c r="O22" s="270" t="s">
        <v>186</v>
      </c>
      <c r="P22" s="274">
        <v>44392</v>
      </c>
      <c r="Q22" s="269" t="s">
        <v>153</v>
      </c>
      <c r="R22" s="269" t="s">
        <v>263</v>
      </c>
      <c r="S22" s="237"/>
      <c r="T22" s="107" t="s">
        <v>72</v>
      </c>
      <c r="U22" s="308"/>
      <c r="V22" s="107"/>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c r="T23" s="107"/>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c r="T24" s="107" t="s">
        <v>73</v>
      </c>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t="s">
        <v>77</v>
      </c>
      <c r="D26" s="240"/>
      <c r="E26" s="240"/>
      <c r="F26" s="292"/>
      <c r="G26" s="292"/>
      <c r="H26" s="212">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196</v>
      </c>
      <c r="P29" s="272"/>
      <c r="Q29" s="269" t="s">
        <v>197</v>
      </c>
      <c r="R29" s="269" t="s">
        <v>256</v>
      </c>
      <c r="S29" s="237"/>
      <c r="T29" s="107" t="s">
        <v>73</v>
      </c>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55</v>
      </c>
      <c r="O30" s="270" t="s">
        <v>200</v>
      </c>
      <c r="P30" s="272"/>
      <c r="Q30" s="269" t="s">
        <v>374</v>
      </c>
      <c r="R30" s="269" t="s">
        <v>375</v>
      </c>
      <c r="S30" s="107"/>
      <c r="T30" s="107"/>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t="s">
        <v>73</v>
      </c>
      <c r="U32" s="308"/>
      <c r="V32" s="107"/>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t="s">
        <v>73</v>
      </c>
      <c r="U33" s="308"/>
      <c r="V33" s="107"/>
      <c r="W33" s="107"/>
      <c r="X33" s="107"/>
    </row>
    <row r="34" spans="1:24" ht="26.4" x14ac:dyDescent="0.3">
      <c r="A34" s="213" t="s">
        <v>31</v>
      </c>
      <c r="B34" s="206" t="s">
        <v>591</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t="e">
        <f t="shared" si="0"/>
        <v>#N/A</v>
      </c>
      <c r="J34" s="182" t="e">
        <f t="shared" si="1"/>
        <v>#N/A</v>
      </c>
      <c r="K34" s="107"/>
      <c r="L34" s="107"/>
      <c r="M34" s="266" t="s">
        <v>6</v>
      </c>
      <c r="N34" s="267" t="s">
        <v>54</v>
      </c>
      <c r="O34" s="270" t="s">
        <v>335</v>
      </c>
      <c r="P34" s="272"/>
      <c r="Q34" s="269" t="s">
        <v>207</v>
      </c>
      <c r="R34" s="269" t="s">
        <v>319</v>
      </c>
      <c r="S34" s="107"/>
      <c r="T34" s="107" t="s">
        <v>72</v>
      </c>
      <c r="U34" s="308"/>
      <c r="V34" s="107"/>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f t="shared" si="0"/>
        <v>0</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f t="shared" si="0"/>
        <v>0</v>
      </c>
      <c r="J36" s="182">
        <f t="shared" si="1"/>
        <v>0</v>
      </c>
      <c r="K36" s="107"/>
      <c r="L36" s="107"/>
      <c r="M36" s="275" t="s">
        <v>7</v>
      </c>
      <c r="N36" s="276" t="s">
        <v>56</v>
      </c>
      <c r="O36" s="277" t="s">
        <v>213</v>
      </c>
      <c r="P36" s="280"/>
      <c r="Q36" s="280" t="s">
        <v>162</v>
      </c>
      <c r="R36" s="280" t="s">
        <v>317</v>
      </c>
      <c r="S36" s="237"/>
      <c r="T36" s="107" t="s">
        <v>73</v>
      </c>
      <c r="U36" s="308"/>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t="s">
        <v>72</v>
      </c>
      <c r="U37" s="308"/>
      <c r="V37" s="107"/>
      <c r="W37" s="237"/>
      <c r="X37" s="107"/>
    </row>
    <row r="38" spans="1:24" ht="27.6" x14ac:dyDescent="0.3">
      <c r="A38" s="213" t="s">
        <v>54</v>
      </c>
      <c r="B38" s="206"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t="s">
        <v>73</v>
      </c>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c r="T44" s="107" t="s">
        <v>73</v>
      </c>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2"/>
        <v>0</v>
      </c>
      <c r="J45" s="182">
        <f t="shared" si="3"/>
        <v>0</v>
      </c>
      <c r="K45" s="107"/>
      <c r="L45" s="107"/>
      <c r="M45" s="275" t="s">
        <v>7</v>
      </c>
      <c r="N45" s="276" t="s">
        <v>56</v>
      </c>
      <c r="O45" s="278" t="s">
        <v>659</v>
      </c>
      <c r="P45" s="283"/>
      <c r="Q45" s="280" t="s">
        <v>575</v>
      </c>
      <c r="R45" s="280" t="s">
        <v>265</v>
      </c>
      <c r="S45" s="237"/>
      <c r="T45" s="107" t="s">
        <v>73</v>
      </c>
      <c r="U45" s="107"/>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f t="shared" si="2"/>
        <v>0</v>
      </c>
      <c r="J46" s="182">
        <f t="shared" si="3"/>
        <v>0</v>
      </c>
      <c r="K46" s="107"/>
      <c r="L46" s="107"/>
      <c r="M46" s="275" t="s">
        <v>7</v>
      </c>
      <c r="N46" s="276" t="s">
        <v>55</v>
      </c>
      <c r="O46" s="278" t="s">
        <v>1</v>
      </c>
      <c r="P46" s="283"/>
      <c r="Q46" s="280" t="s">
        <v>577</v>
      </c>
      <c r="R46" s="280" t="s">
        <v>477</v>
      </c>
      <c r="S46" s="237"/>
      <c r="T46" s="107" t="s">
        <v>72</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t="s">
        <v>73</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t="str">
        <f t="shared" si="2"/>
        <v>Passed</v>
      </c>
      <c r="J48" s="182">
        <f t="shared" si="3"/>
        <v>0</v>
      </c>
      <c r="K48" s="107"/>
      <c r="L48" s="107"/>
      <c r="M48" s="275" t="s">
        <v>7</v>
      </c>
      <c r="N48" s="276" t="s">
        <v>56</v>
      </c>
      <c r="O48" s="278" t="s">
        <v>385</v>
      </c>
      <c r="P48" s="280"/>
      <c r="Q48" s="280" t="s">
        <v>387</v>
      </c>
      <c r="R48" s="280" t="s">
        <v>386</v>
      </c>
      <c r="S48" s="237"/>
      <c r="T48" s="107" t="s">
        <v>73</v>
      </c>
      <c r="U48" s="308"/>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2"/>
        <v>Passed</v>
      </c>
      <c r="J49" s="182">
        <f t="shared" si="3"/>
        <v>0</v>
      </c>
      <c r="K49" s="107"/>
      <c r="L49" s="107"/>
      <c r="M49" s="275" t="s">
        <v>7</v>
      </c>
      <c r="N49" s="276" t="s">
        <v>54</v>
      </c>
      <c r="O49" s="278" t="s">
        <v>229</v>
      </c>
      <c r="P49" s="283"/>
      <c r="Q49" s="280" t="s">
        <v>665</v>
      </c>
      <c r="R49" s="280" t="s">
        <v>574</v>
      </c>
      <c r="S49" s="107"/>
      <c r="T49" s="107" t="s">
        <v>73</v>
      </c>
      <c r="U49" s="308"/>
      <c r="V49" s="107"/>
      <c r="W49" s="107"/>
      <c r="X49" s="107"/>
    </row>
    <row r="50" spans="1:24" ht="13.8" x14ac:dyDescent="0.3">
      <c r="A50" s="213" t="s">
        <v>643</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2"/>
        <v>Passed</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t="str">
        <f t="shared" si="2"/>
        <v>Passed</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s="181"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s="181" customFormat="1" x14ac:dyDescent="0.3">
      <c r="A56" s="213" t="s">
        <v>643</v>
      </c>
      <c r="B56" s="206" t="s">
        <v>679</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f t="shared" si="2"/>
        <v>0</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2"/>
        <v>0</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t="s">
        <v>77</v>
      </c>
      <c r="D59" s="240"/>
      <c r="E59" s="292"/>
      <c r="F59" s="292"/>
      <c r="G59" s="292"/>
      <c r="H59" s="212">
        <f>IF(C59&lt;&gt;"",'CBL Score Standard'!$D117,IF(D59&lt;&gt;"",SUM('CBL Score Standard'!$D117:$E117),IF(E59&lt;&gt;"",SUM('CBL Score Standard'!$D117:$F117),IF(F59&lt;&gt;"",SUM('CBL Score Standard'!$D117:$G117),IF(G59&lt;&gt;"",SUM('CBL Score Standard'!$D117:$H117,0))))))</f>
        <v>0</v>
      </c>
      <c r="I59" s="182">
        <f t="shared" si="2"/>
        <v>0</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t="s">
        <v>77</v>
      </c>
      <c r="E61" s="292"/>
      <c r="F61" s="292"/>
      <c r="G61" s="292"/>
      <c r="H61" s="212">
        <f>IF(C61&lt;&gt;"",'CBL Score Standard'!$D118,IF(D61&lt;&gt;"",SUM('CBL Score Standard'!$D118:$E118),IF(E61&lt;&gt;"",SUM('CBL Score Standard'!$D118:$F118),IF(F61&lt;&gt;"",SUM('CBL Score Standard'!$D118:$G118),IF(G61&lt;&gt;"",SUM('CBL Score Standard'!$D118:$H118,0))))))</f>
        <v>0</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c r="G62" s="292"/>
      <c r="H62" s="212" t="b">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t="s">
        <v>77</v>
      </c>
      <c r="E65" s="292"/>
      <c r="F65" s="292"/>
      <c r="G65" s="292"/>
      <c r="H65" s="212">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t="s">
        <v>77</v>
      </c>
      <c r="E66" s="292"/>
      <c r="F66" s="292"/>
      <c r="G66" s="292"/>
      <c r="H66" s="212">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1.7197444831591173</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226"/>
      <c r="D70" s="226"/>
      <c r="E70" s="226"/>
      <c r="F70" s="226"/>
      <c r="G70" s="226"/>
    </row>
    <row r="71" spans="1:18" x14ac:dyDescent="0.3">
      <c r="B71" s="226"/>
      <c r="C71" s="226"/>
      <c r="D71" s="226"/>
      <c r="E71" s="226"/>
      <c r="F71" s="226"/>
      <c r="G71" s="226"/>
    </row>
    <row r="72" spans="1:18" x14ac:dyDescent="0.3">
      <c r="B72" s="226"/>
      <c r="C72" s="226"/>
      <c r="D72" s="226"/>
      <c r="E72" s="226"/>
      <c r="F72" s="226"/>
      <c r="G72" s="226"/>
    </row>
    <row r="73" spans="1:18" x14ac:dyDescent="0.3">
      <c r="B73" s="226"/>
      <c r="C73" s="226"/>
      <c r="D73" s="226"/>
      <c r="E73" s="226"/>
      <c r="F73" s="226"/>
      <c r="G73" s="226"/>
    </row>
    <row r="74" spans="1:18" x14ac:dyDescent="0.3">
      <c r="B74" s="226"/>
      <c r="C74" s="226"/>
      <c r="D74" s="226"/>
      <c r="E74" s="226"/>
      <c r="F74" s="226"/>
      <c r="G74" s="226"/>
    </row>
    <row r="75" spans="1:18" ht="12.75" customHeight="1" x14ac:dyDescent="0.3">
      <c r="B75" s="226"/>
      <c r="C75" s="226"/>
      <c r="D75" s="226"/>
      <c r="E75" s="226"/>
      <c r="F75" s="226"/>
      <c r="G75" s="226"/>
    </row>
    <row r="76" spans="1:18" x14ac:dyDescent="0.3">
      <c r="B76" s="226"/>
      <c r="C76" s="226"/>
      <c r="D76" s="226"/>
      <c r="E76" s="226"/>
      <c r="F76" s="226"/>
      <c r="G76" s="226"/>
    </row>
    <row r="77" spans="1:18" x14ac:dyDescent="0.3">
      <c r="B77" s="226"/>
      <c r="C77" s="226"/>
      <c r="D77" s="226"/>
      <c r="E77" s="226"/>
      <c r="F77" s="226"/>
      <c r="G77" s="226"/>
    </row>
    <row r="78" spans="1:18" x14ac:dyDescent="0.3">
      <c r="B78" s="226"/>
      <c r="C78" s="226"/>
      <c r="D78" s="226"/>
      <c r="E78" s="226"/>
      <c r="F78" s="226"/>
      <c r="G78" s="226"/>
    </row>
    <row r="79" spans="1:18" x14ac:dyDescent="0.3">
      <c r="B79" s="226"/>
      <c r="C79" s="226"/>
      <c r="D79" s="226"/>
      <c r="E79" s="226"/>
      <c r="F79" s="226"/>
      <c r="G79" s="226"/>
    </row>
    <row r="80" spans="1:18" x14ac:dyDescent="0.3">
      <c r="B80" s="226"/>
      <c r="C80" s="226"/>
      <c r="D80" s="226"/>
      <c r="E80" s="226"/>
      <c r="F80" s="226"/>
      <c r="G80" s="226"/>
    </row>
    <row r="81" spans="2:7" x14ac:dyDescent="0.3">
      <c r="B81" s="226"/>
      <c r="C81" s="226"/>
      <c r="D81" s="226"/>
      <c r="E81" s="226"/>
      <c r="F81" s="226"/>
      <c r="G81" s="226"/>
    </row>
    <row r="82" spans="2:7" x14ac:dyDescent="0.3">
      <c r="B82" s="226"/>
      <c r="C82" s="226"/>
      <c r="D82" s="226"/>
      <c r="E82" s="226"/>
      <c r="F82" s="226"/>
      <c r="G82" s="226"/>
    </row>
    <row r="83" spans="2:7" x14ac:dyDescent="0.3">
      <c r="B83" s="226"/>
      <c r="C83" s="226"/>
      <c r="D83" s="226"/>
      <c r="E83" s="226"/>
      <c r="F83" s="226"/>
      <c r="G83" s="226"/>
    </row>
    <row r="84" spans="2:7" x14ac:dyDescent="0.3">
      <c r="B84" s="226"/>
      <c r="C84" s="226"/>
      <c r="D84" s="226"/>
      <c r="E84" s="226"/>
      <c r="F84" s="226"/>
      <c r="G84" s="226"/>
    </row>
    <row r="85" spans="2:7" x14ac:dyDescent="0.3">
      <c r="B85" s="226"/>
      <c r="C85" s="226"/>
      <c r="D85" s="226"/>
      <c r="E85" s="226"/>
      <c r="F85" s="226"/>
      <c r="G85" s="226"/>
    </row>
    <row r="86" spans="2:7" x14ac:dyDescent="0.3">
      <c r="B86" s="226"/>
      <c r="C86" s="226"/>
      <c r="D86" s="226"/>
      <c r="E86" s="226"/>
      <c r="F86" s="226"/>
      <c r="G86" s="226"/>
    </row>
    <row r="87" spans="2:7" x14ac:dyDescent="0.3">
      <c r="B87" s="226"/>
      <c r="C87" s="226"/>
      <c r="D87" s="226"/>
      <c r="E87" s="226"/>
      <c r="F87" s="226"/>
      <c r="G87" s="226"/>
    </row>
    <row r="88" spans="2:7" x14ac:dyDescent="0.3">
      <c r="B88" s="226"/>
      <c r="C88" s="226"/>
      <c r="D88" s="226"/>
      <c r="E88" s="226"/>
      <c r="F88" s="226"/>
      <c r="G88" s="226"/>
    </row>
    <row r="89" spans="2:7" x14ac:dyDescent="0.3">
      <c r="B89" s="226"/>
      <c r="C89" s="226"/>
      <c r="D89" s="226"/>
      <c r="E89" s="226"/>
      <c r="F89" s="226"/>
      <c r="G89" s="226"/>
    </row>
    <row r="90" spans="2:7" x14ac:dyDescent="0.3">
      <c r="B90" s="226"/>
      <c r="C90" s="226"/>
      <c r="D90" s="226"/>
      <c r="E90" s="226"/>
      <c r="F90" s="226"/>
      <c r="G90" s="226"/>
    </row>
    <row r="91" spans="2:7" x14ac:dyDescent="0.3">
      <c r="B91" s="226"/>
      <c r="C91" s="226"/>
      <c r="D91" s="226"/>
      <c r="E91" s="226"/>
      <c r="F91" s="226"/>
      <c r="G91" s="226"/>
    </row>
    <row r="92" spans="2:7" x14ac:dyDescent="0.3">
      <c r="B92" s="226"/>
      <c r="C92" s="226"/>
      <c r="D92" s="226"/>
      <c r="E92" s="226"/>
      <c r="F92" s="226"/>
      <c r="G92" s="226"/>
    </row>
    <row r="93" spans="2:7" x14ac:dyDescent="0.3">
      <c r="B93" s="226"/>
      <c r="C93" s="226"/>
      <c r="D93" s="226"/>
      <c r="E93" s="226"/>
      <c r="F93" s="226"/>
      <c r="G93" s="226"/>
    </row>
    <row r="94" spans="2:7" x14ac:dyDescent="0.3">
      <c r="B94" s="226"/>
      <c r="C94" s="226"/>
      <c r="D94" s="226"/>
      <c r="E94" s="226"/>
      <c r="F94" s="226"/>
      <c r="G94" s="226"/>
    </row>
    <row r="95" spans="2:7" x14ac:dyDescent="0.3">
      <c r="B95" s="226"/>
      <c r="C95" s="226"/>
      <c r="D95" s="226"/>
      <c r="E95" s="226"/>
      <c r="F95" s="226"/>
      <c r="G95" s="226"/>
    </row>
    <row r="96" spans="2:7" x14ac:dyDescent="0.3">
      <c r="B96" s="226"/>
      <c r="C96" s="226"/>
      <c r="D96" s="226"/>
      <c r="E96" s="226"/>
      <c r="F96" s="226"/>
      <c r="G96" s="226"/>
    </row>
    <row r="97" spans="2:7" x14ac:dyDescent="0.3">
      <c r="B97" s="226"/>
      <c r="C97" s="226"/>
      <c r="D97" s="226"/>
      <c r="E97" s="226"/>
      <c r="F97" s="226"/>
      <c r="G97" s="226"/>
    </row>
    <row r="98" spans="2:7" x14ac:dyDescent="0.3">
      <c r="B98" s="226"/>
      <c r="C98" s="226"/>
      <c r="D98" s="226"/>
      <c r="E98" s="226"/>
      <c r="F98" s="226"/>
      <c r="G98" s="226"/>
    </row>
    <row r="99" spans="2:7" x14ac:dyDescent="0.3">
      <c r="B99" s="226"/>
      <c r="C99" s="226"/>
      <c r="D99" s="226"/>
      <c r="E99" s="226"/>
      <c r="F99" s="226"/>
      <c r="G99" s="226"/>
    </row>
    <row r="100" spans="2:7" x14ac:dyDescent="0.3">
      <c r="B100" s="226"/>
      <c r="C100" s="226"/>
      <c r="D100" s="226"/>
      <c r="E100" s="226"/>
      <c r="F100" s="226"/>
      <c r="G100" s="226"/>
    </row>
    <row r="101" spans="2:7" x14ac:dyDescent="0.3">
      <c r="B101" s="226"/>
      <c r="C101" s="226"/>
      <c r="D101" s="226"/>
      <c r="E101" s="226"/>
      <c r="F101" s="226"/>
      <c r="G101" s="226"/>
    </row>
    <row r="102" spans="2:7" x14ac:dyDescent="0.3">
      <c r="B102" s="226"/>
      <c r="C102" s="226"/>
      <c r="D102" s="226"/>
      <c r="E102" s="226"/>
      <c r="F102" s="226"/>
      <c r="G102" s="226"/>
    </row>
    <row r="103" spans="2:7" x14ac:dyDescent="0.3">
      <c r="B103" s="226"/>
      <c r="C103" s="226"/>
      <c r="D103" s="226"/>
      <c r="E103" s="226"/>
      <c r="F103" s="226"/>
      <c r="G103" s="226"/>
    </row>
    <row r="104" spans="2:7" x14ac:dyDescent="0.3">
      <c r="B104" s="226"/>
      <c r="C104" s="226"/>
      <c r="D104" s="226"/>
      <c r="E104" s="226"/>
      <c r="F104" s="226"/>
      <c r="G104" s="226"/>
    </row>
    <row r="105" spans="2:7" x14ac:dyDescent="0.3">
      <c r="B105" s="226"/>
      <c r="C105" s="226"/>
      <c r="D105" s="226"/>
      <c r="E105" s="226"/>
      <c r="F105" s="226"/>
      <c r="G105" s="226"/>
    </row>
    <row r="106" spans="2:7" x14ac:dyDescent="0.3">
      <c r="B106" s="226"/>
      <c r="C106" s="226"/>
      <c r="D106" s="226"/>
      <c r="E106" s="226"/>
      <c r="F106" s="226"/>
      <c r="G106" s="226"/>
    </row>
    <row r="107" spans="2:7" x14ac:dyDescent="0.3">
      <c r="B107" s="226"/>
      <c r="C107" s="226"/>
      <c r="D107" s="226"/>
      <c r="E107" s="226"/>
      <c r="F107" s="226"/>
      <c r="G107" s="226"/>
    </row>
    <row r="108" spans="2:7" x14ac:dyDescent="0.3">
      <c r="B108" s="226"/>
      <c r="C108" s="226"/>
      <c r="D108" s="226"/>
      <c r="E108" s="226"/>
      <c r="F108" s="226"/>
      <c r="G108" s="226"/>
    </row>
    <row r="109" spans="2:7" x14ac:dyDescent="0.3">
      <c r="B109" s="226"/>
      <c r="C109" s="226"/>
      <c r="D109" s="226"/>
      <c r="E109" s="226"/>
      <c r="F109" s="226"/>
      <c r="G109" s="226"/>
    </row>
    <row r="110" spans="2:7" x14ac:dyDescent="0.3">
      <c r="B110" s="226"/>
      <c r="C110" s="226"/>
      <c r="D110" s="226"/>
      <c r="E110" s="226"/>
      <c r="F110" s="226"/>
      <c r="G110" s="226"/>
    </row>
    <row r="111" spans="2:7" x14ac:dyDescent="0.3">
      <c r="B111" s="226"/>
      <c r="C111" s="226"/>
      <c r="D111" s="226"/>
      <c r="E111" s="226"/>
      <c r="F111" s="226"/>
      <c r="G111" s="226"/>
    </row>
    <row r="112" spans="2:7" x14ac:dyDescent="0.3">
      <c r="B112" s="226"/>
      <c r="C112" s="226"/>
      <c r="D112" s="226"/>
      <c r="E112" s="226"/>
      <c r="F112" s="226"/>
      <c r="G112" s="226"/>
    </row>
    <row r="113" spans="2:7" x14ac:dyDescent="0.3">
      <c r="B113" s="226"/>
      <c r="C113" s="226"/>
      <c r="D113" s="226"/>
      <c r="E113" s="226"/>
      <c r="F113" s="226"/>
      <c r="G113" s="226"/>
    </row>
    <row r="114" spans="2:7" x14ac:dyDescent="0.3">
      <c r="B114" s="226"/>
      <c r="C114" s="226"/>
      <c r="D114" s="226"/>
      <c r="E114" s="226"/>
      <c r="F114" s="226"/>
      <c r="G114" s="226"/>
    </row>
    <row r="115" spans="2:7" x14ac:dyDescent="0.3">
      <c r="B115" s="226"/>
      <c r="C115" s="226"/>
      <c r="D115" s="226"/>
      <c r="E115" s="226"/>
      <c r="F115" s="226"/>
      <c r="G115" s="226"/>
    </row>
    <row r="116" spans="2:7" x14ac:dyDescent="0.3">
      <c r="B116" s="226"/>
      <c r="C116" s="226"/>
      <c r="D116" s="226"/>
      <c r="E116" s="226"/>
      <c r="F116" s="226"/>
      <c r="G116" s="226"/>
    </row>
    <row r="117" spans="2:7" x14ac:dyDescent="0.3">
      <c r="B117" s="226"/>
      <c r="C117" s="226"/>
      <c r="D117" s="226"/>
      <c r="E117" s="226"/>
      <c r="F117" s="226"/>
      <c r="G117" s="226"/>
    </row>
    <row r="118" spans="2:7" x14ac:dyDescent="0.3">
      <c r="B118" s="226"/>
      <c r="C118" s="226"/>
      <c r="D118" s="226"/>
      <c r="E118" s="226"/>
      <c r="F118" s="226"/>
      <c r="G118" s="226"/>
    </row>
    <row r="119" spans="2:7" x14ac:dyDescent="0.3">
      <c r="B119" s="226"/>
      <c r="C119" s="226"/>
      <c r="D119" s="226"/>
      <c r="E119" s="226"/>
      <c r="F119" s="226"/>
      <c r="G119" s="226"/>
    </row>
    <row r="120" spans="2:7" x14ac:dyDescent="0.3">
      <c r="B120" s="226"/>
      <c r="C120" s="226"/>
      <c r="D120" s="226"/>
      <c r="E120" s="226"/>
      <c r="F120" s="226"/>
      <c r="G120" s="226"/>
    </row>
    <row r="121" spans="2:7" x14ac:dyDescent="0.3">
      <c r="B121" s="226"/>
      <c r="C121" s="226"/>
      <c r="D121" s="226"/>
      <c r="E121" s="226"/>
      <c r="F121" s="226"/>
      <c r="G121" s="226"/>
    </row>
    <row r="122" spans="2:7" x14ac:dyDescent="0.3">
      <c r="B122" s="226"/>
      <c r="C122" s="226"/>
      <c r="D122" s="226"/>
      <c r="E122" s="226"/>
      <c r="F122" s="226"/>
      <c r="G122" s="226"/>
    </row>
    <row r="123" spans="2:7" x14ac:dyDescent="0.3">
      <c r="B123" s="226"/>
      <c r="C123" s="226"/>
      <c r="D123" s="226"/>
      <c r="E123" s="226"/>
      <c r="F123" s="226"/>
      <c r="G123" s="226"/>
    </row>
    <row r="124" spans="2:7" x14ac:dyDescent="0.3">
      <c r="B124" s="226"/>
      <c r="C124" s="226"/>
      <c r="D124" s="226"/>
      <c r="E124" s="226"/>
      <c r="F124" s="226"/>
      <c r="G124" s="226"/>
    </row>
    <row r="125" spans="2:7" x14ac:dyDescent="0.3">
      <c r="B125" s="226"/>
      <c r="C125" s="226"/>
      <c r="D125" s="226"/>
      <c r="E125" s="226"/>
      <c r="F125" s="226"/>
      <c r="G125" s="226"/>
    </row>
    <row r="126" spans="2:7" x14ac:dyDescent="0.3">
      <c r="C126" s="226"/>
      <c r="D126" s="226"/>
      <c r="E126" s="226"/>
      <c r="F126" s="226"/>
      <c r="G126" s="226"/>
    </row>
    <row r="127" spans="2:7" x14ac:dyDescent="0.3">
      <c r="C127" s="226"/>
      <c r="D127" s="226"/>
      <c r="E127" s="226"/>
      <c r="F127" s="226"/>
      <c r="G127" s="226"/>
    </row>
    <row r="128" spans="2:7" x14ac:dyDescent="0.3">
      <c r="C128" s="226"/>
      <c r="D128" s="226"/>
      <c r="E128" s="226"/>
      <c r="F128" s="226"/>
      <c r="G128" s="226"/>
    </row>
    <row r="129" spans="3:7" x14ac:dyDescent="0.3">
      <c r="C129" s="226"/>
      <c r="D129" s="226"/>
      <c r="E129" s="226"/>
      <c r="F129" s="226"/>
      <c r="G129" s="226"/>
    </row>
    <row r="130" spans="3:7" x14ac:dyDescent="0.3">
      <c r="C130" s="226"/>
      <c r="D130" s="226"/>
      <c r="E130" s="226"/>
      <c r="F130" s="226"/>
      <c r="G130" s="226"/>
    </row>
    <row r="131" spans="3:7" x14ac:dyDescent="0.3">
      <c r="C131" s="226"/>
      <c r="D131" s="226"/>
      <c r="E131" s="226"/>
      <c r="F131" s="226"/>
      <c r="G131" s="226"/>
    </row>
    <row r="132" spans="3:7" x14ac:dyDescent="0.3">
      <c r="C132" s="226"/>
      <c r="D132" s="226"/>
      <c r="E132" s="226"/>
      <c r="F132" s="226"/>
      <c r="G132" s="226"/>
    </row>
    <row r="133" spans="3:7" x14ac:dyDescent="0.3">
      <c r="C133" s="226"/>
      <c r="D133" s="226"/>
      <c r="E133" s="226"/>
      <c r="F133" s="226"/>
      <c r="G133" s="226"/>
    </row>
    <row r="134" spans="3:7" x14ac:dyDescent="0.3">
      <c r="C134" s="226"/>
      <c r="D134" s="226"/>
      <c r="E134" s="226"/>
      <c r="F134" s="226"/>
      <c r="G134" s="226"/>
    </row>
    <row r="135" spans="3:7" x14ac:dyDescent="0.3">
      <c r="C135" s="226"/>
      <c r="D135" s="226"/>
      <c r="E135" s="226"/>
      <c r="F135" s="226"/>
      <c r="G135" s="226"/>
    </row>
    <row r="136" spans="3:7" x14ac:dyDescent="0.3">
      <c r="C136" s="226"/>
      <c r="D136" s="226"/>
      <c r="E136" s="226"/>
      <c r="F136" s="226"/>
      <c r="G136" s="226"/>
    </row>
    <row r="137" spans="3:7" x14ac:dyDescent="0.3">
      <c r="C137" s="226"/>
      <c r="D137" s="226"/>
      <c r="E137" s="226"/>
      <c r="F137" s="226"/>
      <c r="G137" s="226"/>
    </row>
    <row r="138" spans="3:7" x14ac:dyDescent="0.3">
      <c r="C138" s="226"/>
      <c r="D138" s="226"/>
      <c r="E138" s="226"/>
      <c r="F138" s="226"/>
      <c r="G138" s="226"/>
    </row>
    <row r="139" spans="3:7" x14ac:dyDescent="0.3">
      <c r="C139" s="226"/>
      <c r="D139" s="226"/>
      <c r="E139" s="226"/>
      <c r="F139" s="226"/>
      <c r="G139" s="226"/>
    </row>
    <row r="140" spans="3:7" x14ac:dyDescent="0.3">
      <c r="C140" s="226"/>
      <c r="D140" s="226"/>
      <c r="E140" s="226"/>
      <c r="F140" s="226"/>
      <c r="G140" s="226"/>
    </row>
    <row r="141" spans="3:7" x14ac:dyDescent="0.3">
      <c r="C141" s="226"/>
      <c r="D141" s="226"/>
      <c r="E141" s="226"/>
      <c r="F141" s="226"/>
      <c r="G141" s="226"/>
    </row>
    <row r="142" spans="3:7" x14ac:dyDescent="0.3">
      <c r="C142" s="226"/>
      <c r="D142" s="226"/>
      <c r="E142" s="226"/>
      <c r="F142" s="226"/>
      <c r="G142" s="226"/>
    </row>
    <row r="143" spans="3:7" x14ac:dyDescent="0.3">
      <c r="C143" s="226"/>
      <c r="D143" s="226"/>
      <c r="E143" s="226"/>
      <c r="F143" s="226"/>
      <c r="G143" s="226"/>
    </row>
    <row r="144" spans="3:7" x14ac:dyDescent="0.3">
      <c r="C144" s="226"/>
      <c r="D144" s="226"/>
      <c r="E144" s="226"/>
      <c r="F144" s="226"/>
      <c r="G144" s="226"/>
    </row>
    <row r="145" spans="3:7" x14ac:dyDescent="0.3">
      <c r="C145" s="226"/>
      <c r="D145" s="226"/>
      <c r="E145" s="226"/>
      <c r="F145" s="226"/>
      <c r="G145" s="226"/>
    </row>
    <row r="146" spans="3:7" x14ac:dyDescent="0.3">
      <c r="C146" s="226"/>
      <c r="D146" s="226"/>
      <c r="E146" s="226"/>
      <c r="F146" s="226"/>
      <c r="G146" s="226"/>
    </row>
    <row r="147" spans="3:7" x14ac:dyDescent="0.3">
      <c r="C147" s="226"/>
      <c r="D147" s="226"/>
      <c r="E147" s="226"/>
      <c r="F147" s="226"/>
      <c r="G147" s="226"/>
    </row>
    <row r="148" spans="3:7" x14ac:dyDescent="0.3">
      <c r="C148" s="226"/>
      <c r="D148" s="226"/>
      <c r="E148" s="226"/>
      <c r="F148" s="226"/>
      <c r="G148" s="226"/>
    </row>
    <row r="149" spans="3:7" x14ac:dyDescent="0.3">
      <c r="C149" s="226"/>
      <c r="D149" s="226"/>
      <c r="E149" s="226"/>
      <c r="F149" s="226"/>
      <c r="G149" s="226"/>
    </row>
    <row r="150" spans="3:7" x14ac:dyDescent="0.3">
      <c r="C150" s="226"/>
      <c r="D150" s="226"/>
      <c r="E150" s="226"/>
      <c r="F150" s="226"/>
      <c r="G150" s="226"/>
    </row>
    <row r="151" spans="3:7" x14ac:dyDescent="0.3">
      <c r="C151" s="226"/>
      <c r="D151" s="226"/>
      <c r="E151" s="226"/>
      <c r="F151" s="226"/>
      <c r="G151" s="226"/>
    </row>
    <row r="152" spans="3:7" x14ac:dyDescent="0.3">
      <c r="C152" s="226"/>
      <c r="D152" s="226"/>
      <c r="E152" s="226"/>
      <c r="F152" s="226"/>
      <c r="G152" s="226"/>
    </row>
    <row r="153" spans="3:7" x14ac:dyDescent="0.3">
      <c r="C153" s="226"/>
      <c r="D153" s="226"/>
      <c r="E153" s="226"/>
      <c r="F153" s="226"/>
      <c r="G153" s="226"/>
    </row>
    <row r="154" spans="3:7" x14ac:dyDescent="0.3">
      <c r="C154" s="226"/>
      <c r="D154" s="226"/>
      <c r="E154" s="226"/>
      <c r="F154" s="226"/>
      <c r="G154" s="226"/>
    </row>
    <row r="155" spans="3:7" x14ac:dyDescent="0.3">
      <c r="C155" s="226"/>
      <c r="D155" s="226"/>
      <c r="E155" s="226"/>
      <c r="F155" s="226"/>
      <c r="G155" s="226"/>
    </row>
    <row r="156" spans="3:7" x14ac:dyDescent="0.3">
      <c r="C156" s="226"/>
      <c r="D156" s="226"/>
      <c r="E156" s="226"/>
      <c r="F156" s="226"/>
      <c r="G156" s="226"/>
    </row>
    <row r="157" spans="3:7" x14ac:dyDescent="0.3">
      <c r="C157" s="226"/>
      <c r="D157" s="226"/>
      <c r="E157" s="226"/>
      <c r="F157" s="226"/>
      <c r="G157" s="226"/>
    </row>
    <row r="158" spans="3:7" x14ac:dyDescent="0.3">
      <c r="C158" s="226"/>
      <c r="D158" s="226"/>
      <c r="E158" s="226"/>
      <c r="F158" s="226"/>
      <c r="G158" s="226"/>
    </row>
    <row r="159" spans="3:7" x14ac:dyDescent="0.3">
      <c r="C159" s="226"/>
      <c r="D159" s="226"/>
      <c r="E159" s="226"/>
      <c r="F159" s="226"/>
      <c r="G159" s="226"/>
    </row>
    <row r="160" spans="3:7" x14ac:dyDescent="0.3">
      <c r="C160" s="226"/>
      <c r="D160" s="226"/>
      <c r="E160" s="226"/>
      <c r="F160" s="226"/>
      <c r="G160" s="226"/>
    </row>
    <row r="161" spans="3:7" x14ac:dyDescent="0.3">
      <c r="C161" s="226"/>
      <c r="D161" s="226"/>
      <c r="E161" s="226"/>
      <c r="F161" s="226"/>
      <c r="G161" s="226"/>
    </row>
    <row r="162" spans="3:7" x14ac:dyDescent="0.3">
      <c r="C162" s="226"/>
      <c r="D162" s="226"/>
      <c r="E162" s="226"/>
      <c r="F162" s="226"/>
      <c r="G162" s="226"/>
    </row>
    <row r="163" spans="3:7" x14ac:dyDescent="0.3">
      <c r="C163" s="226"/>
      <c r="D163" s="226"/>
      <c r="E163" s="226"/>
      <c r="F163" s="226"/>
      <c r="G163" s="226"/>
    </row>
    <row r="164" spans="3:7" x14ac:dyDescent="0.3">
      <c r="C164" s="226"/>
      <c r="D164" s="226"/>
      <c r="E164" s="226"/>
      <c r="F164" s="226"/>
      <c r="G164" s="226"/>
    </row>
    <row r="165" spans="3:7" x14ac:dyDescent="0.3">
      <c r="C165" s="226"/>
      <c r="D165" s="226"/>
      <c r="E165" s="226"/>
      <c r="F165" s="226"/>
      <c r="G165" s="226"/>
    </row>
    <row r="166" spans="3:7" x14ac:dyDescent="0.3">
      <c r="C166" s="226"/>
      <c r="D166" s="226"/>
      <c r="E166" s="226"/>
      <c r="F166" s="226"/>
      <c r="G166" s="226"/>
    </row>
    <row r="167" spans="3:7" x14ac:dyDescent="0.3">
      <c r="C167" s="226"/>
      <c r="D167" s="226"/>
      <c r="E167" s="226"/>
      <c r="F167" s="226"/>
      <c r="G167" s="226"/>
    </row>
    <row r="168" spans="3:7" x14ac:dyDescent="0.3">
      <c r="C168" s="226"/>
      <c r="D168" s="226"/>
      <c r="E168" s="226"/>
      <c r="F168" s="226"/>
      <c r="G168" s="226"/>
    </row>
    <row r="169" spans="3:7" x14ac:dyDescent="0.3">
      <c r="C169" s="226"/>
      <c r="D169" s="226"/>
      <c r="E169" s="226"/>
      <c r="F169" s="226"/>
      <c r="G169" s="226"/>
    </row>
    <row r="170" spans="3:7" x14ac:dyDescent="0.3">
      <c r="C170" s="226"/>
      <c r="D170" s="226"/>
      <c r="E170" s="226"/>
      <c r="F170" s="226"/>
      <c r="G170" s="226"/>
    </row>
    <row r="171" spans="3:7" x14ac:dyDescent="0.3">
      <c r="C171" s="226"/>
      <c r="D171" s="226"/>
      <c r="E171" s="226"/>
      <c r="F171" s="226"/>
      <c r="G171" s="226"/>
    </row>
    <row r="172" spans="3:7" x14ac:dyDescent="0.3">
      <c r="C172" s="226"/>
      <c r="D172" s="226"/>
      <c r="E172" s="226"/>
      <c r="F172" s="226"/>
      <c r="G172" s="226"/>
    </row>
    <row r="173" spans="3:7" x14ac:dyDescent="0.3">
      <c r="C173" s="226"/>
      <c r="D173" s="226"/>
      <c r="E173" s="226"/>
      <c r="F173" s="226"/>
      <c r="G173" s="226"/>
    </row>
    <row r="174" spans="3:7" x14ac:dyDescent="0.3">
      <c r="C174" s="226"/>
      <c r="D174" s="226"/>
      <c r="E174" s="226"/>
      <c r="F174" s="226"/>
      <c r="G174" s="226"/>
    </row>
    <row r="175" spans="3:7" x14ac:dyDescent="0.3">
      <c r="C175" s="226"/>
      <c r="D175" s="226"/>
      <c r="E175" s="226"/>
      <c r="F175" s="226"/>
      <c r="G175" s="226"/>
    </row>
    <row r="176" spans="3:7" x14ac:dyDescent="0.3">
      <c r="C176" s="226"/>
      <c r="D176" s="226"/>
      <c r="E176" s="226"/>
      <c r="F176" s="226"/>
      <c r="G176" s="226"/>
    </row>
    <row r="177" spans="3:7" x14ac:dyDescent="0.3">
      <c r="C177" s="226"/>
      <c r="D177" s="226"/>
      <c r="E177" s="226"/>
      <c r="F177" s="226"/>
      <c r="G177" s="226"/>
    </row>
    <row r="178" spans="3:7" x14ac:dyDescent="0.3">
      <c r="C178" s="226"/>
      <c r="D178" s="226"/>
      <c r="E178" s="226"/>
      <c r="F178" s="226"/>
      <c r="G178" s="226"/>
    </row>
    <row r="179" spans="3:7" x14ac:dyDescent="0.3">
      <c r="C179" s="226"/>
      <c r="D179" s="226"/>
      <c r="E179" s="226"/>
      <c r="F179" s="226"/>
      <c r="G179" s="226"/>
    </row>
    <row r="180" spans="3:7" x14ac:dyDescent="0.3">
      <c r="C180" s="226"/>
      <c r="D180" s="226"/>
      <c r="E180" s="226"/>
      <c r="F180" s="226"/>
      <c r="G180" s="226"/>
    </row>
    <row r="181" spans="3:7" x14ac:dyDescent="0.3">
      <c r="C181" s="226"/>
      <c r="D181" s="226"/>
      <c r="E181" s="226"/>
      <c r="F181" s="226"/>
      <c r="G181" s="226"/>
    </row>
    <row r="182" spans="3:7" x14ac:dyDescent="0.3">
      <c r="C182" s="226"/>
      <c r="D182" s="226"/>
      <c r="E182" s="226"/>
      <c r="F182" s="226"/>
      <c r="G182" s="226"/>
    </row>
    <row r="183" spans="3:7" x14ac:dyDescent="0.3">
      <c r="C183" s="226"/>
      <c r="D183" s="226"/>
      <c r="E183" s="226"/>
      <c r="F183" s="226"/>
      <c r="G183" s="226"/>
    </row>
    <row r="184" spans="3:7" x14ac:dyDescent="0.3">
      <c r="C184" s="226"/>
      <c r="D184" s="226"/>
      <c r="E184" s="226"/>
      <c r="F184" s="226"/>
      <c r="G184" s="226"/>
    </row>
    <row r="185" spans="3:7" x14ac:dyDescent="0.3">
      <c r="C185" s="226"/>
      <c r="D185" s="226"/>
      <c r="E185" s="226"/>
      <c r="F185" s="226"/>
      <c r="G185" s="226"/>
    </row>
    <row r="186" spans="3:7" x14ac:dyDescent="0.3">
      <c r="C186" s="226"/>
      <c r="D186" s="226"/>
      <c r="E186" s="226"/>
      <c r="F186" s="226"/>
      <c r="G186" s="226"/>
    </row>
    <row r="187" spans="3:7" x14ac:dyDescent="0.3">
      <c r="C187" s="226"/>
      <c r="D187" s="226"/>
      <c r="E187" s="226"/>
      <c r="F187" s="226"/>
      <c r="G187" s="226"/>
    </row>
    <row r="188" spans="3:7" x14ac:dyDescent="0.3">
      <c r="C188" s="226"/>
      <c r="D188" s="226"/>
      <c r="E188" s="226"/>
      <c r="F188" s="226"/>
      <c r="G188" s="226"/>
    </row>
    <row r="189" spans="3:7" x14ac:dyDescent="0.3">
      <c r="C189" s="226"/>
      <c r="D189" s="226"/>
      <c r="E189" s="226"/>
      <c r="F189" s="226"/>
      <c r="G189" s="226"/>
    </row>
    <row r="190" spans="3:7" x14ac:dyDescent="0.3">
      <c r="C190" s="226"/>
      <c r="D190" s="226"/>
      <c r="E190" s="226"/>
      <c r="F190" s="226"/>
      <c r="G190" s="226"/>
    </row>
    <row r="191" spans="3:7" x14ac:dyDescent="0.3">
      <c r="C191" s="226"/>
      <c r="D191" s="226"/>
      <c r="E191" s="226"/>
      <c r="F191" s="226"/>
      <c r="G191" s="226"/>
    </row>
    <row r="192" spans="3:7" x14ac:dyDescent="0.3">
      <c r="C192" s="226"/>
      <c r="D192" s="226"/>
      <c r="E192" s="226"/>
      <c r="F192" s="226"/>
      <c r="G192" s="226"/>
    </row>
    <row r="193" spans="3:7" x14ac:dyDescent="0.3">
      <c r="C193" s="226"/>
      <c r="D193" s="226"/>
      <c r="E193" s="226"/>
      <c r="F193" s="226"/>
      <c r="G193" s="226"/>
    </row>
    <row r="194" spans="3:7" x14ac:dyDescent="0.3">
      <c r="C194" s="226"/>
      <c r="D194" s="226"/>
      <c r="E194" s="226"/>
      <c r="F194" s="226"/>
      <c r="G194" s="226"/>
    </row>
    <row r="195" spans="3:7" x14ac:dyDescent="0.3">
      <c r="C195" s="226"/>
      <c r="D195" s="226"/>
      <c r="E195" s="226"/>
      <c r="F195" s="226"/>
      <c r="G195" s="226"/>
    </row>
    <row r="196" spans="3:7" x14ac:dyDescent="0.3">
      <c r="C196" s="226"/>
      <c r="D196" s="226"/>
      <c r="E196" s="226"/>
      <c r="F196" s="226"/>
      <c r="G196" s="226"/>
    </row>
    <row r="197" spans="3:7" x14ac:dyDescent="0.3">
      <c r="C197" s="226"/>
      <c r="D197" s="226"/>
      <c r="E197" s="226"/>
      <c r="F197" s="226"/>
      <c r="G197" s="226"/>
    </row>
  </sheetData>
  <mergeCells count="6">
    <mergeCell ref="A69:G69"/>
    <mergeCell ref="A1:H1"/>
    <mergeCell ref="M2:M3"/>
    <mergeCell ref="N2:N3"/>
    <mergeCell ref="S2:S3"/>
    <mergeCell ref="A67:G67"/>
  </mergeCells>
  <conditionalFormatting sqref="B126:B1048576 B1:B6 B70">
    <cfRule type="duplicateValues" dxfId="212" priority="52"/>
  </conditionalFormatting>
  <conditionalFormatting sqref="C7:D7 F7:H7">
    <cfRule type="containsText" dxfId="211" priority="41" operator="containsText" text="N/A">
      <formula>NOT(ISERROR(SEARCH("N/A",C7)))</formula>
    </cfRule>
    <cfRule type="containsText" dxfId="210" priority="42" operator="containsText" text="Blank">
      <formula>NOT(ISERROR(SEARCH("Blank",C7)))</formula>
    </cfRule>
    <cfRule type="containsText" dxfId="209" priority="43" operator="containsText" text="M">
      <formula>NOT(ISERROR(SEARCH("M",C7)))</formula>
    </cfRule>
  </conditionalFormatting>
  <conditionalFormatting sqref="B67:B69 B7">
    <cfRule type="duplicateValues" dxfId="208" priority="40"/>
  </conditionalFormatting>
  <conditionalFormatting sqref="B30">
    <cfRule type="duplicateValues" dxfId="207" priority="23"/>
  </conditionalFormatting>
  <conditionalFormatting sqref="B55">
    <cfRule type="duplicateValues" dxfId="206" priority="22"/>
  </conditionalFormatting>
  <conditionalFormatting sqref="B13">
    <cfRule type="duplicateValues" dxfId="205" priority="21"/>
  </conditionalFormatting>
  <conditionalFormatting sqref="B56:B66 B31:B54 B8:B12 B14:B28">
    <cfRule type="duplicateValues" dxfId="204" priority="24"/>
  </conditionalFormatting>
  <conditionalFormatting sqref="B29">
    <cfRule type="duplicateValues" dxfId="203" priority="25"/>
  </conditionalFormatting>
  <conditionalFormatting sqref="O25">
    <cfRule type="duplicateValues" dxfId="202" priority="1"/>
  </conditionalFormatting>
  <conditionalFormatting sqref="O4:O9 O12:O18">
    <cfRule type="duplicateValues" dxfId="201" priority="10"/>
  </conditionalFormatting>
  <conditionalFormatting sqref="O10">
    <cfRule type="duplicateValues" dxfId="200" priority="9"/>
  </conditionalFormatting>
  <conditionalFormatting sqref="O11">
    <cfRule type="duplicateValues" dxfId="199" priority="8"/>
  </conditionalFormatting>
  <conditionalFormatting sqref="O19:O24 O32:O34 O26:O30">
    <cfRule type="duplicateValues" dxfId="198" priority="7"/>
  </conditionalFormatting>
  <conditionalFormatting sqref="O36:O52">
    <cfRule type="duplicateValues" dxfId="197" priority="6"/>
  </conditionalFormatting>
  <conditionalFormatting sqref="O35">
    <cfRule type="duplicateValues" dxfId="196" priority="5"/>
  </conditionalFormatting>
  <conditionalFormatting sqref="O53:O60">
    <cfRule type="duplicateValues" dxfId="195" priority="4"/>
  </conditionalFormatting>
  <conditionalFormatting sqref="O61:O64">
    <cfRule type="duplicateValues" dxfId="194" priority="3"/>
  </conditionalFormatting>
  <conditionalFormatting sqref="O31">
    <cfRule type="duplicateValues" dxfId="193" priority="2"/>
  </conditionalFormatting>
  <dataValidations count="3">
    <dataValidation type="list" allowBlank="1" showInputMessage="1" showErrorMessage="1" sqref="T1:X1 T2 T69:X1048576 U20:X64 T19:T64 T3:X18">
      <formula1>"M, O, N/A"</formula1>
    </dataValidation>
    <dataValidation type="list" allowBlank="1" showInputMessage="1" showErrorMessage="1" sqref="W2">
      <formula1>"Y, N"</formula1>
    </dataValidation>
    <dataValidation type="list" allowBlank="1" showInputMessage="1" showErrorMessage="1" sqref="V2">
      <formula1>"Passed, Failed, N/A"</formula1>
    </dataValidation>
  </dataValidations>
  <pageMargins left="0.25" right="0" top="0.25" bottom="0.25" header="0.3" footer="0"/>
  <pageSetup scale="30" fitToHeight="0" orientation="landscape"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theme="5"/>
    <pageSetUpPr fitToPage="1"/>
  </sheetPr>
  <dimension ref="A1:X197"/>
  <sheetViews>
    <sheetView showGridLines="0" topLeftCell="N7" zoomScale="85" zoomScaleNormal="85" workbookViewId="0">
      <selection activeCell="S4" sqref="S4:X60"/>
    </sheetView>
  </sheetViews>
  <sheetFormatPr defaultColWidth="9.109375" defaultRowHeight="14.4" x14ac:dyDescent="0.3"/>
  <cols>
    <col min="1" max="1" width="31.44140625" style="184" customWidth="1"/>
    <col min="2" max="2" width="38.88671875" style="184" customWidth="1"/>
    <col min="3" max="3" width="9.109375" style="184"/>
    <col min="4" max="5" width="10" style="184" bestFit="1" customWidth="1"/>
    <col min="6" max="7" width="9.109375" style="184"/>
    <col min="8" max="8" width="9.109375" style="185"/>
    <col min="9" max="10" width="9.109375" style="182"/>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18.77734375" style="296" bestFit="1" customWidth="1"/>
    <col min="17" max="17" width="26.6640625" style="296" bestFit="1" customWidth="1"/>
    <col min="18" max="18" width="16.109375" style="296" bestFit="1" customWidth="1"/>
    <col min="19" max="19" width="32.109375" style="296" customWidth="1"/>
    <col min="20" max="24" width="15.5546875" style="296" customWidth="1"/>
    <col min="25" max="16384" width="9.109375" style="182"/>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205" t="s">
        <v>357</v>
      </c>
      <c r="B2" s="237" t="s">
        <v>736</v>
      </c>
      <c r="C2" s="182"/>
      <c r="D2" s="182"/>
      <c r="E2" s="182"/>
      <c r="F2" s="182"/>
      <c r="G2" s="182"/>
      <c r="H2" s="182"/>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205" t="s">
        <v>337</v>
      </c>
      <c r="B3" s="219">
        <v>43836</v>
      </c>
      <c r="C3" s="223"/>
      <c r="D3" s="182"/>
      <c r="E3" s="182"/>
      <c r="F3" s="182"/>
      <c r="G3" s="182"/>
      <c r="H3" s="182"/>
      <c r="K3" s="294"/>
      <c r="L3" s="294"/>
      <c r="M3" s="335"/>
      <c r="N3" s="336"/>
      <c r="O3" s="294"/>
      <c r="P3" s="298" t="s">
        <v>140</v>
      </c>
      <c r="Q3" s="294"/>
      <c r="R3" s="294"/>
      <c r="S3" s="334"/>
      <c r="T3" s="299"/>
      <c r="U3" s="299"/>
      <c r="V3" s="299"/>
      <c r="W3" s="299"/>
      <c r="X3" s="299"/>
    </row>
    <row r="4" spans="1:24" ht="13.8" x14ac:dyDescent="0.3">
      <c r="A4" s="205" t="s">
        <v>358</v>
      </c>
      <c r="B4" s="222">
        <f ca="1">DATEDIF(B3,TODAY(),"D")/365</f>
        <v>1.0849315068493151</v>
      </c>
      <c r="C4" s="182"/>
      <c r="D4" s="182"/>
      <c r="E4" s="182"/>
      <c r="F4" s="182"/>
      <c r="G4" s="182"/>
      <c r="H4" s="182"/>
      <c r="K4" s="107" t="s">
        <v>141</v>
      </c>
      <c r="L4" s="107" t="s">
        <v>142</v>
      </c>
      <c r="M4" s="254" t="s">
        <v>5</v>
      </c>
      <c r="N4" s="255" t="s">
        <v>143</v>
      </c>
      <c r="O4" s="256" t="s">
        <v>362</v>
      </c>
      <c r="P4" s="258"/>
      <c r="Q4" s="261" t="s">
        <v>145</v>
      </c>
      <c r="R4" s="261" t="s">
        <v>211</v>
      </c>
      <c r="S4" s="237"/>
      <c r="T4" s="107" t="s">
        <v>72</v>
      </c>
      <c r="U4" s="307"/>
      <c r="V4" s="107"/>
      <c r="W4" s="107"/>
      <c r="X4" s="107"/>
    </row>
    <row r="5" spans="1:24" ht="12.75" customHeight="1" x14ac:dyDescent="0.3">
      <c r="A5" s="205" t="s">
        <v>377</v>
      </c>
      <c r="B5" s="222">
        <v>0</v>
      </c>
      <c r="C5" s="224"/>
      <c r="D5" s="182"/>
      <c r="E5" s="182"/>
      <c r="F5" s="182"/>
      <c r="G5" s="182"/>
      <c r="H5" s="182"/>
      <c r="K5" s="107"/>
      <c r="L5" s="107"/>
      <c r="M5" s="254" t="s">
        <v>5</v>
      </c>
      <c r="N5" s="255" t="s">
        <v>143</v>
      </c>
      <c r="O5" s="256" t="s">
        <v>363</v>
      </c>
      <c r="P5" s="259" t="s">
        <v>144</v>
      </c>
      <c r="Q5" s="259" t="s">
        <v>149</v>
      </c>
      <c r="R5" s="259" t="s">
        <v>150</v>
      </c>
      <c r="S5" s="237"/>
      <c r="T5" s="107" t="s">
        <v>72</v>
      </c>
      <c r="U5" s="308"/>
      <c r="V5" s="107"/>
      <c r="W5" s="107"/>
      <c r="X5" s="107"/>
    </row>
    <row r="6" spans="1:24" thickBot="1" x14ac:dyDescent="0.35">
      <c r="A6" s="205" t="s">
        <v>378</v>
      </c>
      <c r="B6" s="222">
        <f ca="1">B4+B5</f>
        <v>1.0849315068493151</v>
      </c>
      <c r="C6" s="224"/>
      <c r="K6" s="107"/>
      <c r="L6" s="107"/>
      <c r="M6" s="254" t="s">
        <v>5</v>
      </c>
      <c r="N6" s="255" t="s">
        <v>148</v>
      </c>
      <c r="O6" s="256" t="s">
        <v>148</v>
      </c>
      <c r="P6" s="259" t="s">
        <v>144</v>
      </c>
      <c r="Q6" s="259" t="s">
        <v>149</v>
      </c>
      <c r="R6" s="259" t="s">
        <v>150</v>
      </c>
      <c r="S6" s="237"/>
      <c r="T6" s="107" t="s">
        <v>72</v>
      </c>
      <c r="U6" s="308"/>
      <c r="V6" s="107"/>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t="s">
        <v>72</v>
      </c>
      <c r="U7" s="308"/>
      <c r="V7" s="107"/>
      <c r="W7" s="237"/>
      <c r="X7" s="107"/>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 t="shared" ref="I8:I39" si="0">VLOOKUP(B8,$O$4:$W$64,8,0)</f>
        <v>0</v>
      </c>
      <c r="J8" s="182">
        <f t="shared" ref="J8:J39" si="1">VLOOKUP(B8,$O$4:$W$64,9,0)</f>
        <v>0</v>
      </c>
      <c r="K8" s="107"/>
      <c r="L8" s="107"/>
      <c r="M8" s="254" t="s">
        <v>5</v>
      </c>
      <c r="N8" s="255" t="s">
        <v>678</v>
      </c>
      <c r="O8" s="257" t="s">
        <v>645</v>
      </c>
      <c r="P8" s="259" t="s">
        <v>144</v>
      </c>
      <c r="Q8" s="259" t="s">
        <v>152</v>
      </c>
      <c r="R8" s="259" t="s">
        <v>154</v>
      </c>
      <c r="S8" s="237"/>
      <c r="T8" s="107" t="s">
        <v>72</v>
      </c>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si="0"/>
        <v>0</v>
      </c>
      <c r="J9" s="182">
        <f t="shared" si="1"/>
        <v>0</v>
      </c>
      <c r="K9" s="107"/>
      <c r="L9" s="107"/>
      <c r="M9" s="254" t="s">
        <v>5</v>
      </c>
      <c r="N9" s="255" t="s">
        <v>678</v>
      </c>
      <c r="O9" s="257" t="s">
        <v>592</v>
      </c>
      <c r="P9" s="259" t="s">
        <v>144</v>
      </c>
      <c r="Q9" s="259" t="s">
        <v>153</v>
      </c>
      <c r="R9" s="259" t="s">
        <v>263</v>
      </c>
      <c r="S9" s="237"/>
      <c r="T9" s="107" t="s">
        <v>72</v>
      </c>
      <c r="U9" s="308"/>
      <c r="V9" s="107"/>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row>
    <row r="14" spans="1:24" ht="13.8" x14ac:dyDescent="0.3">
      <c r="A14" s="213" t="s">
        <v>55</v>
      </c>
      <c r="B14" s="206" t="s">
        <v>617</v>
      </c>
      <c r="C14" s="240"/>
      <c r="D14" s="240" t="s">
        <v>77</v>
      </c>
      <c r="E14" s="240"/>
      <c r="F14" s="292"/>
      <c r="G14" s="292"/>
      <c r="H14" s="212">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t="s">
        <v>72</v>
      </c>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t="s">
        <v>77</v>
      </c>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c r="T18" s="107" t="s">
        <v>72</v>
      </c>
      <c r="U18" s="308"/>
      <c r="V18" s="107"/>
      <c r="W18" s="107"/>
      <c r="X18" s="107"/>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T19" s="107" t="s">
        <v>73</v>
      </c>
      <c r="U19" s="309"/>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c r="T20" s="107" t="s">
        <v>73</v>
      </c>
      <c r="U20" s="308"/>
      <c r="V20" s="107"/>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t="s">
        <v>72</v>
      </c>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678</v>
      </c>
      <c r="O22" s="270" t="s">
        <v>186</v>
      </c>
      <c r="P22" s="274">
        <v>44392</v>
      </c>
      <c r="Q22" s="269" t="s">
        <v>153</v>
      </c>
      <c r="R22" s="269" t="s">
        <v>263</v>
      </c>
      <c r="S22" s="237"/>
      <c r="T22" s="107" t="s">
        <v>72</v>
      </c>
      <c r="U22" s="308"/>
      <c r="V22" s="107"/>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c r="T23" s="107"/>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c r="T24" s="107" t="s">
        <v>73</v>
      </c>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t="s">
        <v>77</v>
      </c>
      <c r="D26" s="240"/>
      <c r="E26" s="240"/>
      <c r="F26" s="292"/>
      <c r="G26" s="292"/>
      <c r="H26" s="212">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196</v>
      </c>
      <c r="P29" s="272"/>
      <c r="Q29" s="269" t="s">
        <v>197</v>
      </c>
      <c r="R29" s="269" t="s">
        <v>256</v>
      </c>
      <c r="S29" s="237"/>
      <c r="T29" s="107" t="s">
        <v>73</v>
      </c>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55</v>
      </c>
      <c r="O30" s="270" t="s">
        <v>200</v>
      </c>
      <c r="P30" s="272"/>
      <c r="Q30" s="269" t="s">
        <v>374</v>
      </c>
      <c r="R30" s="269" t="s">
        <v>375</v>
      </c>
      <c r="S30" s="107"/>
      <c r="T30" s="107"/>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f t="shared" si="0"/>
        <v>0</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t="s">
        <v>73</v>
      </c>
      <c r="U32" s="308"/>
      <c r="V32" s="107"/>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t="s">
        <v>73</v>
      </c>
      <c r="U33" s="308"/>
      <c r="V33" s="107"/>
      <c r="W33" s="107"/>
      <c r="X33" s="107"/>
    </row>
    <row r="34" spans="1:24" ht="26.4" x14ac:dyDescent="0.3">
      <c r="A34" s="213" t="s">
        <v>31</v>
      </c>
      <c r="B34" s="206" t="s">
        <v>591</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t="e">
        <f t="shared" si="0"/>
        <v>#N/A</v>
      </c>
      <c r="J34" s="182" t="e">
        <f t="shared" si="1"/>
        <v>#N/A</v>
      </c>
      <c r="K34" s="107"/>
      <c r="L34" s="107"/>
      <c r="M34" s="266" t="s">
        <v>6</v>
      </c>
      <c r="N34" s="267" t="s">
        <v>54</v>
      </c>
      <c r="O34" s="270" t="s">
        <v>335</v>
      </c>
      <c r="P34" s="272"/>
      <c r="Q34" s="269" t="s">
        <v>207</v>
      </c>
      <c r="R34" s="269" t="s">
        <v>319</v>
      </c>
      <c r="S34" s="107"/>
      <c r="T34" s="107" t="s">
        <v>72</v>
      </c>
      <c r="U34" s="308"/>
      <c r="V34" s="107"/>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f t="shared" si="0"/>
        <v>0</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f t="shared" si="0"/>
        <v>0</v>
      </c>
      <c r="J36" s="182">
        <f t="shared" si="1"/>
        <v>0</v>
      </c>
      <c r="K36" s="107"/>
      <c r="L36" s="107"/>
      <c r="M36" s="275" t="s">
        <v>7</v>
      </c>
      <c r="N36" s="276" t="s">
        <v>56</v>
      </c>
      <c r="O36" s="277" t="s">
        <v>213</v>
      </c>
      <c r="P36" s="280"/>
      <c r="Q36" s="280" t="s">
        <v>162</v>
      </c>
      <c r="R36" s="280" t="s">
        <v>317</v>
      </c>
      <c r="S36" s="237"/>
      <c r="T36" s="107" t="s">
        <v>73</v>
      </c>
      <c r="U36" s="308"/>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t="s">
        <v>72</v>
      </c>
      <c r="U37" s="308"/>
      <c r="V37" s="107"/>
      <c r="W37" s="237"/>
      <c r="X37" s="107"/>
    </row>
    <row r="38" spans="1:24" ht="27.6" x14ac:dyDescent="0.3">
      <c r="A38" s="213" t="s">
        <v>54</v>
      </c>
      <c r="B38" s="206"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t="s">
        <v>73</v>
      </c>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c r="T44" s="107" t="s">
        <v>73</v>
      </c>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2"/>
        <v>0</v>
      </c>
      <c r="J45" s="182">
        <f t="shared" si="3"/>
        <v>0</v>
      </c>
      <c r="K45" s="107"/>
      <c r="L45" s="107"/>
      <c r="M45" s="275" t="s">
        <v>7</v>
      </c>
      <c r="N45" s="276" t="s">
        <v>56</v>
      </c>
      <c r="O45" s="278" t="s">
        <v>659</v>
      </c>
      <c r="P45" s="283"/>
      <c r="Q45" s="280" t="s">
        <v>575</v>
      </c>
      <c r="R45" s="280" t="s">
        <v>265</v>
      </c>
      <c r="S45" s="237"/>
      <c r="T45" s="107" t="s">
        <v>73</v>
      </c>
      <c r="U45" s="107"/>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f t="shared" si="2"/>
        <v>0</v>
      </c>
      <c r="J46" s="182">
        <f t="shared" si="3"/>
        <v>0</v>
      </c>
      <c r="K46" s="107"/>
      <c r="L46" s="107"/>
      <c r="M46" s="275" t="s">
        <v>7</v>
      </c>
      <c r="N46" s="276" t="s">
        <v>55</v>
      </c>
      <c r="O46" s="278" t="s">
        <v>1</v>
      </c>
      <c r="P46" s="283"/>
      <c r="Q46" s="280" t="s">
        <v>577</v>
      </c>
      <c r="R46" s="280" t="s">
        <v>477</v>
      </c>
      <c r="S46" s="237"/>
      <c r="T46" s="107" t="s">
        <v>72</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t="s">
        <v>73</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2"/>
        <v>0</v>
      </c>
      <c r="J48" s="182">
        <f t="shared" si="3"/>
        <v>0</v>
      </c>
      <c r="K48" s="107"/>
      <c r="L48" s="107"/>
      <c r="M48" s="275" t="s">
        <v>7</v>
      </c>
      <c r="N48" s="276" t="s">
        <v>56</v>
      </c>
      <c r="O48" s="278" t="s">
        <v>385</v>
      </c>
      <c r="P48" s="280"/>
      <c r="Q48" s="280" t="s">
        <v>387</v>
      </c>
      <c r="R48" s="280" t="s">
        <v>386</v>
      </c>
      <c r="S48" s="237"/>
      <c r="T48" s="107" t="s">
        <v>73</v>
      </c>
      <c r="U48" s="308"/>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f t="shared" si="2"/>
        <v>0</v>
      </c>
      <c r="J49" s="182">
        <f t="shared" si="3"/>
        <v>0</v>
      </c>
      <c r="K49" s="107"/>
      <c r="L49" s="107"/>
      <c r="M49" s="275" t="s">
        <v>7</v>
      </c>
      <c r="N49" s="276" t="s">
        <v>54</v>
      </c>
      <c r="O49" s="278" t="s">
        <v>229</v>
      </c>
      <c r="P49" s="283"/>
      <c r="Q49" s="280" t="s">
        <v>665</v>
      </c>
      <c r="R49" s="280" t="s">
        <v>574</v>
      </c>
      <c r="S49" s="107"/>
      <c r="T49" s="107" t="s">
        <v>73</v>
      </c>
      <c r="U49" s="308"/>
      <c r="V49" s="107"/>
      <c r="W49" s="107"/>
      <c r="X49" s="107"/>
    </row>
    <row r="50" spans="1:24" ht="13.8" x14ac:dyDescent="0.3">
      <c r="A50" s="213" t="s">
        <v>643</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f t="shared" si="2"/>
        <v>0</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f t="shared" si="2"/>
        <v>0</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2"/>
        <v>0</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s="181"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s="181" customFormat="1" x14ac:dyDescent="0.3">
      <c r="A56" s="213" t="s">
        <v>643</v>
      </c>
      <c r="B56" s="206" t="s">
        <v>679</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f t="shared" si="2"/>
        <v>0</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2"/>
        <v>0</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t="s">
        <v>77</v>
      </c>
      <c r="D59" s="240"/>
      <c r="E59" s="292"/>
      <c r="F59" s="292"/>
      <c r="G59" s="292"/>
      <c r="H59" s="212">
        <f>IF(C59&lt;&gt;"",'CBL Score Standard'!$D117,IF(D59&lt;&gt;"",SUM('CBL Score Standard'!$D117:$E117),IF(E59&lt;&gt;"",SUM('CBL Score Standard'!$D117:$F117),IF(F59&lt;&gt;"",SUM('CBL Score Standard'!$D117:$G117),IF(G59&lt;&gt;"",SUM('CBL Score Standard'!$D117:$H117,0))))))</f>
        <v>0</v>
      </c>
      <c r="I59" s="182">
        <f t="shared" si="2"/>
        <v>0</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t="s">
        <v>77</v>
      </c>
      <c r="E61" s="292"/>
      <c r="F61" s="292"/>
      <c r="G61" s="292"/>
      <c r="H61" s="212">
        <f>IF(C61&lt;&gt;"",'CBL Score Standard'!$D118,IF(D61&lt;&gt;"",SUM('CBL Score Standard'!$D118:$E118),IF(E61&lt;&gt;"",SUM('CBL Score Standard'!$D118:$F118),IF(F61&lt;&gt;"",SUM('CBL Score Standard'!$D118:$G118),IF(G61&lt;&gt;"",SUM('CBL Score Standard'!$D118:$H118,0))))))</f>
        <v>0</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c r="G62" s="292"/>
      <c r="H62" s="212" t="b">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t="s">
        <v>77</v>
      </c>
      <c r="E65" s="292"/>
      <c r="F65" s="292"/>
      <c r="G65" s="292"/>
      <c r="H65" s="212">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t="s">
        <v>77</v>
      </c>
      <c r="E66" s="292"/>
      <c r="F66" s="292"/>
      <c r="G66" s="292"/>
      <c r="H66" s="212">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1.7197444831591173</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226"/>
      <c r="D70" s="226"/>
      <c r="E70" s="226"/>
      <c r="F70" s="226"/>
      <c r="G70" s="226"/>
    </row>
    <row r="71" spans="1:18" x14ac:dyDescent="0.3">
      <c r="B71" s="226"/>
      <c r="C71" s="226"/>
      <c r="D71" s="226"/>
      <c r="E71" s="226"/>
      <c r="F71" s="226"/>
      <c r="G71" s="226"/>
    </row>
    <row r="72" spans="1:18" x14ac:dyDescent="0.3">
      <c r="B72" s="226"/>
      <c r="C72" s="226"/>
      <c r="D72" s="226"/>
      <c r="E72" s="226"/>
      <c r="F72" s="226"/>
      <c r="G72" s="226"/>
    </row>
    <row r="73" spans="1:18" x14ac:dyDescent="0.3">
      <c r="B73" s="226"/>
      <c r="C73" s="226"/>
      <c r="D73" s="226"/>
      <c r="E73" s="226"/>
      <c r="F73" s="226"/>
      <c r="G73" s="226"/>
    </row>
    <row r="74" spans="1:18" x14ac:dyDescent="0.3">
      <c r="B74" s="226"/>
      <c r="C74" s="226"/>
      <c r="D74" s="226"/>
      <c r="E74" s="226"/>
      <c r="F74" s="226"/>
      <c r="G74" s="226"/>
    </row>
    <row r="75" spans="1:18" ht="12.75" customHeight="1" x14ac:dyDescent="0.3">
      <c r="B75" s="226"/>
      <c r="C75" s="226"/>
      <c r="D75" s="226"/>
      <c r="E75" s="226"/>
      <c r="F75" s="226"/>
      <c r="G75" s="226"/>
    </row>
    <row r="76" spans="1:18" x14ac:dyDescent="0.3">
      <c r="B76" s="226"/>
      <c r="C76" s="226"/>
      <c r="D76" s="226"/>
      <c r="E76" s="226"/>
      <c r="F76" s="226"/>
      <c r="G76" s="226"/>
    </row>
    <row r="77" spans="1:18" x14ac:dyDescent="0.3">
      <c r="B77" s="226"/>
      <c r="C77" s="226"/>
      <c r="D77" s="226"/>
      <c r="E77" s="226"/>
      <c r="F77" s="226"/>
      <c r="G77" s="226"/>
    </row>
    <row r="78" spans="1:18" x14ac:dyDescent="0.3">
      <c r="B78" s="226"/>
      <c r="C78" s="226"/>
      <c r="D78" s="226"/>
      <c r="E78" s="226"/>
      <c r="F78" s="226"/>
      <c r="G78" s="226"/>
    </row>
    <row r="79" spans="1:18" x14ac:dyDescent="0.3">
      <c r="B79" s="226"/>
      <c r="C79" s="226"/>
      <c r="D79" s="226"/>
      <c r="E79" s="226"/>
      <c r="F79" s="226"/>
      <c r="G79" s="226"/>
    </row>
    <row r="80" spans="1:18" x14ac:dyDescent="0.3">
      <c r="B80" s="226"/>
      <c r="C80" s="226"/>
      <c r="D80" s="226"/>
      <c r="E80" s="226"/>
      <c r="F80" s="226"/>
      <c r="G80" s="226"/>
    </row>
    <row r="81" spans="2:7" x14ac:dyDescent="0.3">
      <c r="B81" s="226"/>
      <c r="C81" s="226"/>
      <c r="D81" s="226"/>
      <c r="E81" s="226"/>
      <c r="F81" s="226"/>
      <c r="G81" s="226"/>
    </row>
    <row r="82" spans="2:7" x14ac:dyDescent="0.3">
      <c r="B82" s="226"/>
      <c r="C82" s="226"/>
      <c r="D82" s="226"/>
      <c r="E82" s="226"/>
      <c r="F82" s="226"/>
      <c r="G82" s="226"/>
    </row>
    <row r="83" spans="2:7" x14ac:dyDescent="0.3">
      <c r="B83" s="226"/>
      <c r="C83" s="226"/>
      <c r="D83" s="226"/>
      <c r="E83" s="226"/>
      <c r="F83" s="226"/>
      <c r="G83" s="226"/>
    </row>
    <row r="84" spans="2:7" x14ac:dyDescent="0.3">
      <c r="B84" s="226"/>
      <c r="C84" s="226"/>
      <c r="D84" s="226"/>
      <c r="E84" s="226"/>
      <c r="F84" s="226"/>
      <c r="G84" s="226"/>
    </row>
    <row r="85" spans="2:7" x14ac:dyDescent="0.3">
      <c r="B85" s="226"/>
      <c r="C85" s="226"/>
      <c r="D85" s="226"/>
      <c r="E85" s="226"/>
      <c r="F85" s="226"/>
      <c r="G85" s="226"/>
    </row>
    <row r="86" spans="2:7" x14ac:dyDescent="0.3">
      <c r="B86" s="226"/>
      <c r="C86" s="226"/>
      <c r="D86" s="226"/>
      <c r="E86" s="226"/>
      <c r="F86" s="226"/>
      <c r="G86" s="226"/>
    </row>
    <row r="87" spans="2:7" x14ac:dyDescent="0.3">
      <c r="B87" s="226"/>
      <c r="C87" s="226"/>
      <c r="D87" s="226"/>
      <c r="E87" s="226"/>
      <c r="F87" s="226"/>
      <c r="G87" s="226"/>
    </row>
    <row r="88" spans="2:7" x14ac:dyDescent="0.3">
      <c r="B88" s="226"/>
      <c r="C88" s="226"/>
      <c r="D88" s="226"/>
      <c r="E88" s="226"/>
      <c r="F88" s="226"/>
      <c r="G88" s="226"/>
    </row>
    <row r="89" spans="2:7" x14ac:dyDescent="0.3">
      <c r="B89" s="226"/>
      <c r="C89" s="226"/>
      <c r="D89" s="226"/>
      <c r="E89" s="226"/>
      <c r="F89" s="226"/>
      <c r="G89" s="226"/>
    </row>
    <row r="90" spans="2:7" x14ac:dyDescent="0.3">
      <c r="B90" s="226"/>
      <c r="C90" s="226"/>
      <c r="D90" s="226"/>
      <c r="E90" s="226"/>
      <c r="F90" s="226"/>
      <c r="G90" s="226"/>
    </row>
    <row r="91" spans="2:7" x14ac:dyDescent="0.3">
      <c r="B91" s="226"/>
      <c r="C91" s="226"/>
      <c r="D91" s="226"/>
      <c r="E91" s="226"/>
      <c r="F91" s="226"/>
      <c r="G91" s="226"/>
    </row>
    <row r="92" spans="2:7" x14ac:dyDescent="0.3">
      <c r="B92" s="226"/>
      <c r="C92" s="226"/>
      <c r="D92" s="226"/>
      <c r="E92" s="226"/>
      <c r="F92" s="226"/>
      <c r="G92" s="226"/>
    </row>
    <row r="93" spans="2:7" x14ac:dyDescent="0.3">
      <c r="B93" s="226"/>
      <c r="C93" s="226"/>
      <c r="D93" s="226"/>
      <c r="E93" s="226"/>
      <c r="F93" s="226"/>
      <c r="G93" s="226"/>
    </row>
    <row r="94" spans="2:7" x14ac:dyDescent="0.3">
      <c r="B94" s="226"/>
      <c r="C94" s="226"/>
      <c r="D94" s="226"/>
      <c r="E94" s="226"/>
      <c r="F94" s="226"/>
      <c r="G94" s="226"/>
    </row>
    <row r="95" spans="2:7" x14ac:dyDescent="0.3">
      <c r="B95" s="226"/>
      <c r="C95" s="226"/>
      <c r="D95" s="226"/>
      <c r="E95" s="226"/>
      <c r="F95" s="226"/>
      <c r="G95" s="226"/>
    </row>
    <row r="96" spans="2:7" x14ac:dyDescent="0.3">
      <c r="B96" s="226"/>
      <c r="C96" s="226"/>
      <c r="D96" s="226"/>
      <c r="E96" s="226"/>
      <c r="F96" s="226"/>
      <c r="G96" s="226"/>
    </row>
    <row r="97" spans="2:7" x14ac:dyDescent="0.3">
      <c r="B97" s="226"/>
      <c r="C97" s="226"/>
      <c r="D97" s="226"/>
      <c r="E97" s="226"/>
      <c r="F97" s="226"/>
      <c r="G97" s="226"/>
    </row>
    <row r="98" spans="2:7" x14ac:dyDescent="0.3">
      <c r="B98" s="226"/>
      <c r="C98" s="226"/>
      <c r="D98" s="226"/>
      <c r="E98" s="226"/>
      <c r="F98" s="226"/>
      <c r="G98" s="226"/>
    </row>
    <row r="99" spans="2:7" x14ac:dyDescent="0.3">
      <c r="B99" s="226"/>
      <c r="C99" s="226"/>
      <c r="D99" s="226"/>
      <c r="E99" s="226"/>
      <c r="F99" s="226"/>
      <c r="G99" s="226"/>
    </row>
    <row r="100" spans="2:7" x14ac:dyDescent="0.3">
      <c r="B100" s="226"/>
      <c r="C100" s="226"/>
      <c r="D100" s="226"/>
      <c r="E100" s="226"/>
      <c r="F100" s="226"/>
      <c r="G100" s="226"/>
    </row>
    <row r="101" spans="2:7" x14ac:dyDescent="0.3">
      <c r="B101" s="226"/>
      <c r="C101" s="226"/>
      <c r="D101" s="226"/>
      <c r="E101" s="226"/>
      <c r="F101" s="226"/>
      <c r="G101" s="226"/>
    </row>
    <row r="102" spans="2:7" x14ac:dyDescent="0.3">
      <c r="B102" s="226"/>
      <c r="C102" s="226"/>
      <c r="D102" s="226"/>
      <c r="E102" s="226"/>
      <c r="F102" s="226"/>
      <c r="G102" s="226"/>
    </row>
    <row r="103" spans="2:7" x14ac:dyDescent="0.3">
      <c r="B103" s="226"/>
      <c r="C103" s="226"/>
      <c r="D103" s="226"/>
      <c r="E103" s="226"/>
      <c r="F103" s="226"/>
      <c r="G103" s="226"/>
    </row>
    <row r="104" spans="2:7" x14ac:dyDescent="0.3">
      <c r="B104" s="226"/>
      <c r="C104" s="226"/>
      <c r="D104" s="226"/>
      <c r="E104" s="226"/>
      <c r="F104" s="226"/>
      <c r="G104" s="226"/>
    </row>
    <row r="105" spans="2:7" x14ac:dyDescent="0.3">
      <c r="B105" s="226"/>
      <c r="C105" s="226"/>
      <c r="D105" s="226"/>
      <c r="E105" s="226"/>
      <c r="F105" s="226"/>
      <c r="G105" s="226"/>
    </row>
    <row r="106" spans="2:7" x14ac:dyDescent="0.3">
      <c r="B106" s="226"/>
      <c r="C106" s="226"/>
      <c r="D106" s="226"/>
      <c r="E106" s="226"/>
      <c r="F106" s="226"/>
      <c r="G106" s="226"/>
    </row>
    <row r="107" spans="2:7" x14ac:dyDescent="0.3">
      <c r="B107" s="226"/>
      <c r="C107" s="226"/>
      <c r="D107" s="226"/>
      <c r="E107" s="226"/>
      <c r="F107" s="226"/>
      <c r="G107" s="226"/>
    </row>
    <row r="108" spans="2:7" x14ac:dyDescent="0.3">
      <c r="B108" s="226"/>
      <c r="C108" s="226"/>
      <c r="D108" s="226"/>
      <c r="E108" s="226"/>
      <c r="F108" s="226"/>
      <c r="G108" s="226"/>
    </row>
    <row r="109" spans="2:7" x14ac:dyDescent="0.3">
      <c r="B109" s="226"/>
      <c r="C109" s="226"/>
      <c r="D109" s="226"/>
      <c r="E109" s="226"/>
      <c r="F109" s="226"/>
      <c r="G109" s="226"/>
    </row>
    <row r="110" spans="2:7" x14ac:dyDescent="0.3">
      <c r="B110" s="226"/>
      <c r="C110" s="226"/>
      <c r="D110" s="226"/>
      <c r="E110" s="226"/>
      <c r="F110" s="226"/>
      <c r="G110" s="226"/>
    </row>
    <row r="111" spans="2:7" x14ac:dyDescent="0.3">
      <c r="B111" s="226"/>
      <c r="C111" s="226"/>
      <c r="D111" s="226"/>
      <c r="E111" s="226"/>
      <c r="F111" s="226"/>
      <c r="G111" s="226"/>
    </row>
    <row r="112" spans="2:7" x14ac:dyDescent="0.3">
      <c r="B112" s="226"/>
      <c r="C112" s="226"/>
      <c r="D112" s="226"/>
      <c r="E112" s="226"/>
      <c r="F112" s="226"/>
      <c r="G112" s="226"/>
    </row>
    <row r="113" spans="2:7" x14ac:dyDescent="0.3">
      <c r="B113" s="226"/>
      <c r="C113" s="226"/>
      <c r="D113" s="226"/>
      <c r="E113" s="226"/>
      <c r="F113" s="226"/>
      <c r="G113" s="226"/>
    </row>
    <row r="114" spans="2:7" x14ac:dyDescent="0.3">
      <c r="B114" s="226"/>
      <c r="C114" s="226"/>
      <c r="D114" s="226"/>
      <c r="E114" s="226"/>
      <c r="F114" s="226"/>
      <c r="G114" s="226"/>
    </row>
    <row r="115" spans="2:7" x14ac:dyDescent="0.3">
      <c r="B115" s="226"/>
      <c r="C115" s="226"/>
      <c r="D115" s="226"/>
      <c r="E115" s="226"/>
      <c r="F115" s="226"/>
      <c r="G115" s="226"/>
    </row>
    <row r="116" spans="2:7" x14ac:dyDescent="0.3">
      <c r="B116" s="226"/>
      <c r="C116" s="226"/>
      <c r="D116" s="226"/>
      <c r="E116" s="226"/>
      <c r="F116" s="226"/>
      <c r="G116" s="226"/>
    </row>
    <row r="117" spans="2:7" x14ac:dyDescent="0.3">
      <c r="B117" s="226"/>
      <c r="C117" s="226"/>
      <c r="D117" s="226"/>
      <c r="E117" s="226"/>
      <c r="F117" s="226"/>
      <c r="G117" s="226"/>
    </row>
    <row r="118" spans="2:7" x14ac:dyDescent="0.3">
      <c r="B118" s="226"/>
      <c r="C118" s="226"/>
      <c r="D118" s="226"/>
      <c r="E118" s="226"/>
      <c r="F118" s="226"/>
      <c r="G118" s="226"/>
    </row>
    <row r="119" spans="2:7" x14ac:dyDescent="0.3">
      <c r="B119" s="226"/>
      <c r="C119" s="226"/>
      <c r="D119" s="226"/>
      <c r="E119" s="226"/>
      <c r="F119" s="226"/>
      <c r="G119" s="226"/>
    </row>
    <row r="120" spans="2:7" x14ac:dyDescent="0.3">
      <c r="B120" s="226"/>
      <c r="C120" s="226"/>
      <c r="D120" s="226"/>
      <c r="E120" s="226"/>
      <c r="F120" s="226"/>
      <c r="G120" s="226"/>
    </row>
    <row r="121" spans="2:7" x14ac:dyDescent="0.3">
      <c r="B121" s="226"/>
      <c r="C121" s="226"/>
      <c r="D121" s="226"/>
      <c r="E121" s="226"/>
      <c r="F121" s="226"/>
      <c r="G121" s="226"/>
    </row>
    <row r="122" spans="2:7" x14ac:dyDescent="0.3">
      <c r="B122" s="226"/>
      <c r="C122" s="226"/>
      <c r="D122" s="226"/>
      <c r="E122" s="226"/>
      <c r="F122" s="226"/>
      <c r="G122" s="226"/>
    </row>
    <row r="123" spans="2:7" x14ac:dyDescent="0.3">
      <c r="B123" s="226"/>
      <c r="C123" s="226"/>
      <c r="D123" s="226"/>
      <c r="E123" s="226"/>
      <c r="F123" s="226"/>
      <c r="G123" s="226"/>
    </row>
    <row r="124" spans="2:7" x14ac:dyDescent="0.3">
      <c r="B124" s="226"/>
      <c r="C124" s="226"/>
      <c r="D124" s="226"/>
      <c r="E124" s="226"/>
      <c r="F124" s="226"/>
      <c r="G124" s="226"/>
    </row>
    <row r="125" spans="2:7" x14ac:dyDescent="0.3">
      <c r="B125" s="226"/>
      <c r="C125" s="226"/>
      <c r="D125" s="226"/>
      <c r="E125" s="226"/>
      <c r="F125" s="226"/>
      <c r="G125" s="226"/>
    </row>
    <row r="126" spans="2:7" x14ac:dyDescent="0.3">
      <c r="C126" s="226"/>
      <c r="D126" s="226"/>
      <c r="E126" s="226"/>
      <c r="F126" s="226"/>
      <c r="G126" s="226"/>
    </row>
    <row r="127" spans="2:7" x14ac:dyDescent="0.3">
      <c r="C127" s="226"/>
      <c r="D127" s="226"/>
      <c r="E127" s="226"/>
      <c r="F127" s="226"/>
      <c r="G127" s="226"/>
    </row>
    <row r="128" spans="2:7" x14ac:dyDescent="0.3">
      <c r="C128" s="226"/>
      <c r="D128" s="226"/>
      <c r="E128" s="226"/>
      <c r="F128" s="226"/>
      <c r="G128" s="226"/>
    </row>
    <row r="129" spans="3:7" x14ac:dyDescent="0.3">
      <c r="C129" s="226"/>
      <c r="D129" s="226"/>
      <c r="E129" s="226"/>
      <c r="F129" s="226"/>
      <c r="G129" s="226"/>
    </row>
    <row r="130" spans="3:7" x14ac:dyDescent="0.3">
      <c r="C130" s="226"/>
      <c r="D130" s="226"/>
      <c r="E130" s="226"/>
      <c r="F130" s="226"/>
      <c r="G130" s="226"/>
    </row>
    <row r="131" spans="3:7" x14ac:dyDescent="0.3">
      <c r="C131" s="226"/>
      <c r="D131" s="226"/>
      <c r="E131" s="226"/>
      <c r="F131" s="226"/>
      <c r="G131" s="226"/>
    </row>
    <row r="132" spans="3:7" x14ac:dyDescent="0.3">
      <c r="C132" s="226"/>
      <c r="D132" s="226"/>
      <c r="E132" s="226"/>
      <c r="F132" s="226"/>
      <c r="G132" s="226"/>
    </row>
    <row r="133" spans="3:7" x14ac:dyDescent="0.3">
      <c r="C133" s="226"/>
      <c r="D133" s="226"/>
      <c r="E133" s="226"/>
      <c r="F133" s="226"/>
      <c r="G133" s="226"/>
    </row>
    <row r="134" spans="3:7" x14ac:dyDescent="0.3">
      <c r="C134" s="226"/>
      <c r="D134" s="226"/>
      <c r="E134" s="226"/>
      <c r="F134" s="226"/>
      <c r="G134" s="226"/>
    </row>
    <row r="135" spans="3:7" x14ac:dyDescent="0.3">
      <c r="C135" s="226"/>
      <c r="D135" s="226"/>
      <c r="E135" s="226"/>
      <c r="F135" s="226"/>
      <c r="G135" s="226"/>
    </row>
    <row r="136" spans="3:7" x14ac:dyDescent="0.3">
      <c r="C136" s="226"/>
      <c r="D136" s="226"/>
      <c r="E136" s="226"/>
      <c r="F136" s="226"/>
      <c r="G136" s="226"/>
    </row>
    <row r="137" spans="3:7" x14ac:dyDescent="0.3">
      <c r="C137" s="226"/>
      <c r="D137" s="226"/>
      <c r="E137" s="226"/>
      <c r="F137" s="226"/>
      <c r="G137" s="226"/>
    </row>
    <row r="138" spans="3:7" x14ac:dyDescent="0.3">
      <c r="C138" s="226"/>
      <c r="D138" s="226"/>
      <c r="E138" s="226"/>
      <c r="F138" s="226"/>
      <c r="G138" s="226"/>
    </row>
    <row r="139" spans="3:7" x14ac:dyDescent="0.3">
      <c r="C139" s="226"/>
      <c r="D139" s="226"/>
      <c r="E139" s="226"/>
      <c r="F139" s="226"/>
      <c r="G139" s="226"/>
    </row>
    <row r="140" spans="3:7" x14ac:dyDescent="0.3">
      <c r="C140" s="226"/>
      <c r="D140" s="226"/>
      <c r="E140" s="226"/>
      <c r="F140" s="226"/>
      <c r="G140" s="226"/>
    </row>
    <row r="141" spans="3:7" x14ac:dyDescent="0.3">
      <c r="C141" s="226"/>
      <c r="D141" s="226"/>
      <c r="E141" s="226"/>
      <c r="F141" s="226"/>
      <c r="G141" s="226"/>
    </row>
    <row r="142" spans="3:7" x14ac:dyDescent="0.3">
      <c r="C142" s="226"/>
      <c r="D142" s="226"/>
      <c r="E142" s="226"/>
      <c r="F142" s="226"/>
      <c r="G142" s="226"/>
    </row>
    <row r="143" spans="3:7" x14ac:dyDescent="0.3">
      <c r="C143" s="226"/>
      <c r="D143" s="226"/>
      <c r="E143" s="226"/>
      <c r="F143" s="226"/>
      <c r="G143" s="226"/>
    </row>
    <row r="144" spans="3:7" x14ac:dyDescent="0.3">
      <c r="C144" s="226"/>
      <c r="D144" s="226"/>
      <c r="E144" s="226"/>
      <c r="F144" s="226"/>
      <c r="G144" s="226"/>
    </row>
    <row r="145" spans="3:7" x14ac:dyDescent="0.3">
      <c r="C145" s="226"/>
      <c r="D145" s="226"/>
      <c r="E145" s="226"/>
      <c r="F145" s="226"/>
      <c r="G145" s="226"/>
    </row>
    <row r="146" spans="3:7" x14ac:dyDescent="0.3">
      <c r="C146" s="226"/>
      <c r="D146" s="226"/>
      <c r="E146" s="226"/>
      <c r="F146" s="226"/>
      <c r="G146" s="226"/>
    </row>
    <row r="147" spans="3:7" x14ac:dyDescent="0.3">
      <c r="C147" s="226"/>
      <c r="D147" s="226"/>
      <c r="E147" s="226"/>
      <c r="F147" s="226"/>
      <c r="G147" s="226"/>
    </row>
    <row r="148" spans="3:7" x14ac:dyDescent="0.3">
      <c r="C148" s="226"/>
      <c r="D148" s="226"/>
      <c r="E148" s="226"/>
      <c r="F148" s="226"/>
      <c r="G148" s="226"/>
    </row>
    <row r="149" spans="3:7" x14ac:dyDescent="0.3">
      <c r="C149" s="226"/>
      <c r="D149" s="226"/>
      <c r="E149" s="226"/>
      <c r="F149" s="226"/>
      <c r="G149" s="226"/>
    </row>
    <row r="150" spans="3:7" x14ac:dyDescent="0.3">
      <c r="C150" s="226"/>
      <c r="D150" s="226"/>
      <c r="E150" s="226"/>
      <c r="F150" s="226"/>
      <c r="G150" s="226"/>
    </row>
    <row r="151" spans="3:7" x14ac:dyDescent="0.3">
      <c r="C151" s="226"/>
      <c r="D151" s="226"/>
      <c r="E151" s="226"/>
      <c r="F151" s="226"/>
      <c r="G151" s="226"/>
    </row>
    <row r="152" spans="3:7" x14ac:dyDescent="0.3">
      <c r="C152" s="226"/>
      <c r="D152" s="226"/>
      <c r="E152" s="226"/>
      <c r="F152" s="226"/>
      <c r="G152" s="226"/>
    </row>
    <row r="153" spans="3:7" x14ac:dyDescent="0.3">
      <c r="C153" s="226"/>
      <c r="D153" s="226"/>
      <c r="E153" s="226"/>
      <c r="F153" s="226"/>
      <c r="G153" s="226"/>
    </row>
    <row r="154" spans="3:7" x14ac:dyDescent="0.3">
      <c r="C154" s="226"/>
      <c r="D154" s="226"/>
      <c r="E154" s="226"/>
      <c r="F154" s="226"/>
      <c r="G154" s="226"/>
    </row>
    <row r="155" spans="3:7" x14ac:dyDescent="0.3">
      <c r="C155" s="226"/>
      <c r="D155" s="226"/>
      <c r="E155" s="226"/>
      <c r="F155" s="226"/>
      <c r="G155" s="226"/>
    </row>
    <row r="156" spans="3:7" x14ac:dyDescent="0.3">
      <c r="C156" s="226"/>
      <c r="D156" s="226"/>
      <c r="E156" s="226"/>
      <c r="F156" s="226"/>
      <c r="G156" s="226"/>
    </row>
    <row r="157" spans="3:7" x14ac:dyDescent="0.3">
      <c r="C157" s="226"/>
      <c r="D157" s="226"/>
      <c r="E157" s="226"/>
      <c r="F157" s="226"/>
      <c r="G157" s="226"/>
    </row>
    <row r="158" spans="3:7" x14ac:dyDescent="0.3">
      <c r="C158" s="226"/>
      <c r="D158" s="226"/>
      <c r="E158" s="226"/>
      <c r="F158" s="226"/>
      <c r="G158" s="226"/>
    </row>
    <row r="159" spans="3:7" x14ac:dyDescent="0.3">
      <c r="C159" s="226"/>
      <c r="D159" s="226"/>
      <c r="E159" s="226"/>
      <c r="F159" s="226"/>
      <c r="G159" s="226"/>
    </row>
    <row r="160" spans="3:7" x14ac:dyDescent="0.3">
      <c r="C160" s="226"/>
      <c r="D160" s="226"/>
      <c r="E160" s="226"/>
      <c r="F160" s="226"/>
      <c r="G160" s="226"/>
    </row>
    <row r="161" spans="3:7" x14ac:dyDescent="0.3">
      <c r="C161" s="226"/>
      <c r="D161" s="226"/>
      <c r="E161" s="226"/>
      <c r="F161" s="226"/>
      <c r="G161" s="226"/>
    </row>
    <row r="162" spans="3:7" x14ac:dyDescent="0.3">
      <c r="C162" s="226"/>
      <c r="D162" s="226"/>
      <c r="E162" s="226"/>
      <c r="F162" s="226"/>
      <c r="G162" s="226"/>
    </row>
    <row r="163" spans="3:7" x14ac:dyDescent="0.3">
      <c r="C163" s="226"/>
      <c r="D163" s="226"/>
      <c r="E163" s="226"/>
      <c r="F163" s="226"/>
      <c r="G163" s="226"/>
    </row>
    <row r="164" spans="3:7" x14ac:dyDescent="0.3">
      <c r="C164" s="226"/>
      <c r="D164" s="226"/>
      <c r="E164" s="226"/>
      <c r="F164" s="226"/>
      <c r="G164" s="226"/>
    </row>
    <row r="165" spans="3:7" x14ac:dyDescent="0.3">
      <c r="C165" s="226"/>
      <c r="D165" s="226"/>
      <c r="E165" s="226"/>
      <c r="F165" s="226"/>
      <c r="G165" s="226"/>
    </row>
    <row r="166" spans="3:7" x14ac:dyDescent="0.3">
      <c r="C166" s="226"/>
      <c r="D166" s="226"/>
      <c r="E166" s="226"/>
      <c r="F166" s="226"/>
      <c r="G166" s="226"/>
    </row>
    <row r="167" spans="3:7" x14ac:dyDescent="0.3">
      <c r="C167" s="226"/>
      <c r="D167" s="226"/>
      <c r="E167" s="226"/>
      <c r="F167" s="226"/>
      <c r="G167" s="226"/>
    </row>
    <row r="168" spans="3:7" x14ac:dyDescent="0.3">
      <c r="C168" s="226"/>
      <c r="D168" s="226"/>
      <c r="E168" s="226"/>
      <c r="F168" s="226"/>
      <c r="G168" s="226"/>
    </row>
    <row r="169" spans="3:7" x14ac:dyDescent="0.3">
      <c r="C169" s="226"/>
      <c r="D169" s="226"/>
      <c r="E169" s="226"/>
      <c r="F169" s="226"/>
      <c r="G169" s="226"/>
    </row>
    <row r="170" spans="3:7" x14ac:dyDescent="0.3">
      <c r="C170" s="226"/>
      <c r="D170" s="226"/>
      <c r="E170" s="226"/>
      <c r="F170" s="226"/>
      <c r="G170" s="226"/>
    </row>
    <row r="171" spans="3:7" x14ac:dyDescent="0.3">
      <c r="C171" s="226"/>
      <c r="D171" s="226"/>
      <c r="E171" s="226"/>
      <c r="F171" s="226"/>
      <c r="G171" s="226"/>
    </row>
    <row r="172" spans="3:7" x14ac:dyDescent="0.3">
      <c r="C172" s="226"/>
      <c r="D172" s="226"/>
      <c r="E172" s="226"/>
      <c r="F172" s="226"/>
      <c r="G172" s="226"/>
    </row>
    <row r="173" spans="3:7" x14ac:dyDescent="0.3">
      <c r="C173" s="226"/>
      <c r="D173" s="226"/>
      <c r="E173" s="226"/>
      <c r="F173" s="226"/>
      <c r="G173" s="226"/>
    </row>
    <row r="174" spans="3:7" x14ac:dyDescent="0.3">
      <c r="C174" s="226"/>
      <c r="D174" s="226"/>
      <c r="E174" s="226"/>
      <c r="F174" s="226"/>
      <c r="G174" s="226"/>
    </row>
    <row r="175" spans="3:7" x14ac:dyDescent="0.3">
      <c r="C175" s="226"/>
      <c r="D175" s="226"/>
      <c r="E175" s="226"/>
      <c r="F175" s="226"/>
      <c r="G175" s="226"/>
    </row>
    <row r="176" spans="3:7" x14ac:dyDescent="0.3">
      <c r="C176" s="226"/>
      <c r="D176" s="226"/>
      <c r="E176" s="226"/>
      <c r="F176" s="226"/>
      <c r="G176" s="226"/>
    </row>
    <row r="177" spans="3:7" x14ac:dyDescent="0.3">
      <c r="C177" s="226"/>
      <c r="D177" s="226"/>
      <c r="E177" s="226"/>
      <c r="F177" s="226"/>
      <c r="G177" s="226"/>
    </row>
    <row r="178" spans="3:7" x14ac:dyDescent="0.3">
      <c r="C178" s="226"/>
      <c r="D178" s="226"/>
      <c r="E178" s="226"/>
      <c r="F178" s="226"/>
      <c r="G178" s="226"/>
    </row>
    <row r="179" spans="3:7" x14ac:dyDescent="0.3">
      <c r="C179" s="226"/>
      <c r="D179" s="226"/>
      <c r="E179" s="226"/>
      <c r="F179" s="226"/>
      <c r="G179" s="226"/>
    </row>
    <row r="180" spans="3:7" x14ac:dyDescent="0.3">
      <c r="C180" s="226"/>
      <c r="D180" s="226"/>
      <c r="E180" s="226"/>
      <c r="F180" s="226"/>
      <c r="G180" s="226"/>
    </row>
    <row r="181" spans="3:7" x14ac:dyDescent="0.3">
      <c r="C181" s="226"/>
      <c r="D181" s="226"/>
      <c r="E181" s="226"/>
      <c r="F181" s="226"/>
      <c r="G181" s="226"/>
    </row>
    <row r="182" spans="3:7" x14ac:dyDescent="0.3">
      <c r="C182" s="226"/>
      <c r="D182" s="226"/>
      <c r="E182" s="226"/>
      <c r="F182" s="226"/>
      <c r="G182" s="226"/>
    </row>
    <row r="183" spans="3:7" x14ac:dyDescent="0.3">
      <c r="C183" s="226"/>
      <c r="D183" s="226"/>
      <c r="E183" s="226"/>
      <c r="F183" s="226"/>
      <c r="G183" s="226"/>
    </row>
    <row r="184" spans="3:7" x14ac:dyDescent="0.3">
      <c r="C184" s="226"/>
      <c r="D184" s="226"/>
      <c r="E184" s="226"/>
      <c r="F184" s="226"/>
      <c r="G184" s="226"/>
    </row>
    <row r="185" spans="3:7" x14ac:dyDescent="0.3">
      <c r="C185" s="226"/>
      <c r="D185" s="226"/>
      <c r="E185" s="226"/>
      <c r="F185" s="226"/>
      <c r="G185" s="226"/>
    </row>
    <row r="186" spans="3:7" x14ac:dyDescent="0.3">
      <c r="C186" s="226"/>
      <c r="D186" s="226"/>
      <c r="E186" s="226"/>
      <c r="F186" s="226"/>
      <c r="G186" s="226"/>
    </row>
    <row r="187" spans="3:7" x14ac:dyDescent="0.3">
      <c r="C187" s="226"/>
      <c r="D187" s="226"/>
      <c r="E187" s="226"/>
      <c r="F187" s="226"/>
      <c r="G187" s="226"/>
    </row>
    <row r="188" spans="3:7" x14ac:dyDescent="0.3">
      <c r="C188" s="226"/>
      <c r="D188" s="226"/>
      <c r="E188" s="226"/>
      <c r="F188" s="226"/>
      <c r="G188" s="226"/>
    </row>
    <row r="189" spans="3:7" x14ac:dyDescent="0.3">
      <c r="C189" s="226"/>
      <c r="D189" s="226"/>
      <c r="E189" s="226"/>
      <c r="F189" s="226"/>
      <c r="G189" s="226"/>
    </row>
    <row r="190" spans="3:7" x14ac:dyDescent="0.3">
      <c r="C190" s="226"/>
      <c r="D190" s="226"/>
      <c r="E190" s="226"/>
      <c r="F190" s="226"/>
      <c r="G190" s="226"/>
    </row>
    <row r="191" spans="3:7" x14ac:dyDescent="0.3">
      <c r="C191" s="226"/>
      <c r="D191" s="226"/>
      <c r="E191" s="226"/>
      <c r="F191" s="226"/>
      <c r="G191" s="226"/>
    </row>
    <row r="192" spans="3:7" x14ac:dyDescent="0.3">
      <c r="C192" s="226"/>
      <c r="D192" s="226"/>
      <c r="E192" s="226"/>
      <c r="F192" s="226"/>
      <c r="G192" s="226"/>
    </row>
    <row r="193" spans="3:7" x14ac:dyDescent="0.3">
      <c r="C193" s="226"/>
      <c r="D193" s="226"/>
      <c r="E193" s="226"/>
      <c r="F193" s="226"/>
      <c r="G193" s="226"/>
    </row>
    <row r="194" spans="3:7" x14ac:dyDescent="0.3">
      <c r="C194" s="226"/>
      <c r="D194" s="226"/>
      <c r="E194" s="226"/>
      <c r="F194" s="226"/>
      <c r="G194" s="226"/>
    </row>
    <row r="195" spans="3:7" x14ac:dyDescent="0.3">
      <c r="C195" s="226"/>
      <c r="D195" s="226"/>
      <c r="E195" s="226"/>
      <c r="F195" s="226"/>
      <c r="G195" s="226"/>
    </row>
    <row r="196" spans="3:7" x14ac:dyDescent="0.3">
      <c r="C196" s="226"/>
      <c r="D196" s="226"/>
      <c r="E196" s="226"/>
      <c r="F196" s="226"/>
      <c r="G196" s="226"/>
    </row>
    <row r="197" spans="3:7" x14ac:dyDescent="0.3">
      <c r="C197" s="226"/>
      <c r="D197" s="226"/>
      <c r="E197" s="226"/>
      <c r="F197" s="226"/>
      <c r="G197" s="226"/>
    </row>
  </sheetData>
  <customSheetViews>
    <customSheetView guid="{6D9FC8F7-6352-4BF1-890A-27BF36FADC03}" showGridLines="0" fitToPage="1" topLeftCell="H1">
      <selection activeCell="A7" sqref="A7:H68"/>
      <pageMargins left="0.25" right="0" top="0.25" bottom="0.25" header="0.3" footer="0"/>
      <pageSetup scale="30" fitToHeight="0" orientation="landscape" r:id="rId1"/>
    </customSheetView>
    <customSheetView guid="{040B64FF-F135-4C7F-9498-A8399C10673D}" showGridLines="0" fitToPage="1" topLeftCell="H1">
      <selection activeCell="A7" sqref="A7:H68"/>
      <pageMargins left="0.25" right="0" top="0.25" bottom="0.25" header="0.3" footer="0"/>
      <pageSetup scale="30" fitToHeight="0" orientation="landscape" r:id="rId2"/>
    </customSheetView>
    <customSheetView guid="{3BEDB203-29A8-4A82-B140-5CE8D0753F8B}" showGridLines="0" fitToPage="1" topLeftCell="H1">
      <selection activeCell="A7" sqref="A7:H68"/>
      <pageMargins left="0.25" right="0" top="0.25" bottom="0.25" header="0.3" footer="0"/>
      <pageSetup scale="30" fitToHeight="0" orientation="landscape" r:id="rId3"/>
    </customSheetView>
  </customSheetViews>
  <mergeCells count="6">
    <mergeCell ref="A69:G69"/>
    <mergeCell ref="A1:H1"/>
    <mergeCell ref="M2:M3"/>
    <mergeCell ref="N2:N3"/>
    <mergeCell ref="S2:S3"/>
    <mergeCell ref="A67:G67"/>
  </mergeCells>
  <conditionalFormatting sqref="B126:B1048576 B1:B6 B70">
    <cfRule type="duplicateValues" dxfId="192" priority="59"/>
  </conditionalFormatting>
  <conditionalFormatting sqref="C7:D7 F7:H7">
    <cfRule type="containsText" dxfId="191" priority="41" operator="containsText" text="N/A">
      <formula>NOT(ISERROR(SEARCH("N/A",C7)))</formula>
    </cfRule>
    <cfRule type="containsText" dxfId="190" priority="42" operator="containsText" text="Blank">
      <formula>NOT(ISERROR(SEARCH("Blank",C7)))</formula>
    </cfRule>
    <cfRule type="containsText" dxfId="189" priority="43" operator="containsText" text="M">
      <formula>NOT(ISERROR(SEARCH("M",C7)))</formula>
    </cfRule>
  </conditionalFormatting>
  <conditionalFormatting sqref="B67:B69 B7">
    <cfRule type="duplicateValues" dxfId="188" priority="40"/>
  </conditionalFormatting>
  <conditionalFormatting sqref="B30">
    <cfRule type="duplicateValues" dxfId="187" priority="23"/>
  </conditionalFormatting>
  <conditionalFormatting sqref="B55">
    <cfRule type="duplicateValues" dxfId="186" priority="22"/>
  </conditionalFormatting>
  <conditionalFormatting sqref="B13">
    <cfRule type="duplicateValues" dxfId="185" priority="21"/>
  </conditionalFormatting>
  <conditionalFormatting sqref="B56:B66 B31:B54 B8:B12 B14:B28">
    <cfRule type="duplicateValues" dxfId="184" priority="24"/>
  </conditionalFormatting>
  <conditionalFormatting sqref="B29">
    <cfRule type="duplicateValues" dxfId="183" priority="25"/>
  </conditionalFormatting>
  <conditionalFormatting sqref="O25">
    <cfRule type="duplicateValues" dxfId="182" priority="1"/>
  </conditionalFormatting>
  <conditionalFormatting sqref="O4:O9 O12:O18">
    <cfRule type="duplicateValues" dxfId="181" priority="10"/>
  </conditionalFormatting>
  <conditionalFormatting sqref="O10">
    <cfRule type="duplicateValues" dxfId="180" priority="9"/>
  </conditionalFormatting>
  <conditionalFormatting sqref="O11">
    <cfRule type="duplicateValues" dxfId="179" priority="8"/>
  </conditionalFormatting>
  <conditionalFormatting sqref="O19:O24 O32:O34 O26:O30">
    <cfRule type="duplicateValues" dxfId="178" priority="7"/>
  </conditionalFormatting>
  <conditionalFormatting sqref="O36:O52">
    <cfRule type="duplicateValues" dxfId="177" priority="6"/>
  </conditionalFormatting>
  <conditionalFormatting sqref="O35">
    <cfRule type="duplicateValues" dxfId="176" priority="5"/>
  </conditionalFormatting>
  <conditionalFormatting sqref="O53:O60">
    <cfRule type="duplicateValues" dxfId="175" priority="4"/>
  </conditionalFormatting>
  <conditionalFormatting sqref="O61:O64">
    <cfRule type="duplicateValues" dxfId="174" priority="3"/>
  </conditionalFormatting>
  <conditionalFormatting sqref="O31">
    <cfRule type="duplicateValues" dxfId="173"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69:X1048576 U3:X18 T2:T64 U20:X64">
      <formula1>"M, O, N/A"</formula1>
    </dataValidation>
  </dataValidations>
  <pageMargins left="0.25" right="0" top="0.25" bottom="0.25" header="0.3" footer="0"/>
  <pageSetup scale="30" fitToHeight="0" orientation="landscape" r:id="rId4"/>
  <drawing r:id="rId5"/>
  <legacyDrawing r:id="rId6"/>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theme="8"/>
  </sheetPr>
  <dimension ref="A1:X197"/>
  <sheetViews>
    <sheetView showGridLines="0" topLeftCell="M49" zoomScale="70" zoomScaleNormal="70" workbookViewId="0">
      <selection activeCell="S4" sqref="S4:X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J1" s="109" t="s">
        <v>395</v>
      </c>
      <c r="K1" s="295" t="s">
        <v>681</v>
      </c>
      <c r="L1" s="295"/>
      <c r="M1" s="295"/>
      <c r="N1" s="295"/>
      <c r="O1" s="295"/>
      <c r="P1" s="295"/>
      <c r="Q1" s="295"/>
      <c r="R1" s="295"/>
      <c r="S1" s="295"/>
      <c r="T1" s="295"/>
      <c r="U1" s="295"/>
      <c r="V1" s="295"/>
      <c r="W1" s="295"/>
      <c r="X1" s="295"/>
    </row>
    <row r="2" spans="1:24" ht="23.25" customHeight="1" x14ac:dyDescent="0.3">
      <c r="A2" s="70" t="s">
        <v>357</v>
      </c>
      <c r="B2" s="58" t="s">
        <v>340</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42751</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4.0575342465753428</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2</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6.0575342465753428</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 t="shared" ref="I8:I39" si="0">VLOOKUP(B8,$O$4:$W$64,8,0)</f>
        <v>Passed</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f t="shared" si="0"/>
        <v>0</v>
      </c>
      <c r="J9" s="182">
        <f t="shared" si="1"/>
        <v>0</v>
      </c>
      <c r="K9" s="107"/>
      <c r="L9" s="107"/>
      <c r="M9" s="254" t="s">
        <v>5</v>
      </c>
      <c r="N9" s="255" t="s">
        <v>678</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678</v>
      </c>
      <c r="O10" s="257" t="s">
        <v>593</v>
      </c>
      <c r="P10" s="259" t="s">
        <v>144</v>
      </c>
      <c r="Q10" s="259" t="s">
        <v>590</v>
      </c>
      <c r="R10" s="259" t="s">
        <v>274</v>
      </c>
      <c r="S10" s="237"/>
      <c r="T10" s="107"/>
      <c r="U10" s="308"/>
      <c r="V10" s="107"/>
      <c r="W10" s="107" t="s">
        <v>367</v>
      </c>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t="str">
        <f t="shared" si="1"/>
        <v>N</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c r="X13" s="107"/>
    </row>
    <row r="14" spans="1:24" ht="13.8" x14ac:dyDescent="0.3">
      <c r="A14" s="213" t="s">
        <v>55</v>
      </c>
      <c r="B14" s="206" t="s">
        <v>617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340</v>
      </c>
      <c r="T16" s="107" t="s">
        <v>72</v>
      </c>
      <c r="U16" s="308">
        <v>43627</v>
      </c>
      <c r="V16" s="107" t="s">
        <v>364</v>
      </c>
      <c r="W16" s="107" t="s">
        <v>367</v>
      </c>
      <c r="X16" s="107" t="s">
        <v>367</v>
      </c>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t="s">
        <v>77</v>
      </c>
      <c r="G18" s="240"/>
      <c r="H18" s="212">
        <f>IF(C18&lt;&gt;"",'CBL Score Standard'!$D76,IF(D18&lt;&gt;"",SUM('CBL Score Standard'!$D76:$E76),IF(E18&lt;&gt;"",SUM('CBL Score Standard'!$D76:$F76),IF(F18&lt;&gt;"",SUM('CBL Score Standard'!$D76:$G76),IF(G18&lt;&gt;"",SUM('CBL Score Standard'!$D76:$H76,0))))))</f>
        <v>0</v>
      </c>
      <c r="I18" s="182" t="str">
        <f t="shared" si="0"/>
        <v>Passed</v>
      </c>
      <c r="J18" s="182">
        <f t="shared" si="1"/>
        <v>0</v>
      </c>
      <c r="K18" s="107"/>
      <c r="L18" s="107"/>
      <c r="M18" s="254" t="s">
        <v>5</v>
      </c>
      <c r="N18" s="255" t="s">
        <v>46</v>
      </c>
      <c r="O18" s="252" t="s">
        <v>169</v>
      </c>
      <c r="P18" s="260"/>
      <c r="Q18" s="262" t="s">
        <v>170</v>
      </c>
      <c r="R18" s="262" t="s">
        <v>651</v>
      </c>
      <c r="S18" s="107"/>
      <c r="T18" s="107" t="s">
        <v>72</v>
      </c>
      <c r="U18" s="308"/>
      <c r="V18" s="107"/>
      <c r="W18" s="107"/>
      <c r="X18" s="107"/>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651</v>
      </c>
      <c r="S20" s="237"/>
      <c r="T20" s="107"/>
      <c r="U20" s="308"/>
      <c r="V20" s="107" t="s">
        <v>364</v>
      </c>
      <c r="W20" s="107"/>
      <c r="X20" s="107" t="s">
        <v>367</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t="s">
        <v>72</v>
      </c>
      <c r="U21" s="308"/>
      <c r="V21" s="107"/>
      <c r="W21" s="107"/>
      <c r="X21" s="107"/>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Y</v>
      </c>
      <c r="K22" s="107"/>
      <c r="L22" s="107"/>
      <c r="M22" s="266" t="s">
        <v>6</v>
      </c>
      <c r="N22" s="267" t="s">
        <v>678</v>
      </c>
      <c r="O22" s="270" t="s">
        <v>186</v>
      </c>
      <c r="P22" s="274">
        <v>44392</v>
      </c>
      <c r="Q22" s="269" t="s">
        <v>153</v>
      </c>
      <c r="R22" s="269" t="s">
        <v>263</v>
      </c>
      <c r="S22" s="237"/>
      <c r="T22" s="107" t="s">
        <v>72</v>
      </c>
      <c r="U22" s="308"/>
      <c r="V22" s="107" t="s">
        <v>364</v>
      </c>
      <c r="W22" s="107"/>
      <c r="X22" s="107"/>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678</v>
      </c>
      <c r="O23" s="252" t="s">
        <v>652</v>
      </c>
      <c r="P23" s="273">
        <v>44378</v>
      </c>
      <c r="Q23" s="269" t="s">
        <v>590</v>
      </c>
      <c r="R23" s="269" t="s">
        <v>274</v>
      </c>
      <c r="S23" s="237"/>
      <c r="T23" s="107" t="s">
        <v>73</v>
      </c>
      <c r="U23" s="308"/>
      <c r="V23" s="107"/>
      <c r="W23" s="107"/>
      <c r="X23" s="107"/>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678</v>
      </c>
      <c r="O24" s="270" t="s">
        <v>189</v>
      </c>
      <c r="P24" s="274"/>
      <c r="Q24" s="269" t="s">
        <v>225</v>
      </c>
      <c r="R24" s="269" t="s">
        <v>340</v>
      </c>
      <c r="S24" s="237"/>
      <c r="T24" s="107"/>
      <c r="U24" s="308"/>
      <c r="V24" s="107" t="s">
        <v>364</v>
      </c>
      <c r="W24" s="107" t="s">
        <v>367</v>
      </c>
      <c r="X24" s="107" t="s">
        <v>367</v>
      </c>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t="s">
        <v>364</v>
      </c>
      <c r="W28" s="107"/>
      <c r="X28" s="107" t="s">
        <v>367</v>
      </c>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196</v>
      </c>
      <c r="P29" s="272"/>
      <c r="Q29" s="269" t="s">
        <v>197</v>
      </c>
      <c r="R29" s="269" t="s">
        <v>256</v>
      </c>
      <c r="S29" s="237"/>
      <c r="T29" s="107"/>
      <c r="U29" s="308"/>
      <c r="V29" s="107"/>
      <c r="W29" s="107"/>
      <c r="X29" s="107"/>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f t="shared" si="0"/>
        <v>0</v>
      </c>
      <c r="J30" s="182" t="str">
        <f t="shared" si="1"/>
        <v>N</v>
      </c>
      <c r="K30" s="107"/>
      <c r="L30" s="107"/>
      <c r="M30" s="266" t="s">
        <v>6</v>
      </c>
      <c r="N30" s="267" t="s">
        <v>55</v>
      </c>
      <c r="O30" s="270" t="s">
        <v>200</v>
      </c>
      <c r="P30" s="272"/>
      <c r="Q30" s="269" t="s">
        <v>374</v>
      </c>
      <c r="R30" s="269" t="s">
        <v>375</v>
      </c>
      <c r="S30" s="107" t="s">
        <v>340</v>
      </c>
      <c r="T30" s="107"/>
      <c r="U30" s="308">
        <v>43629</v>
      </c>
      <c r="V30" s="107" t="s">
        <v>364</v>
      </c>
      <c r="W30" s="107" t="s">
        <v>367</v>
      </c>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t="s">
        <v>77</v>
      </c>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c r="U32" s="308"/>
      <c r="V32" s="107"/>
      <c r="W32" s="107"/>
      <c r="X32" s="107" t="s">
        <v>367</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c r="X33" s="107"/>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c r="T34" s="107"/>
      <c r="U34" s="308"/>
      <c r="V34" s="107" t="s">
        <v>364</v>
      </c>
      <c r="W34" s="107"/>
      <c r="X34" s="107" t="s">
        <v>367</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f t="shared" si="1"/>
        <v>0</v>
      </c>
      <c r="K35" s="107" t="s">
        <v>141</v>
      </c>
      <c r="L35" s="107" t="s">
        <v>142</v>
      </c>
      <c r="M35" s="275" t="s">
        <v>7</v>
      </c>
      <c r="N35" s="276" t="s">
        <v>55</v>
      </c>
      <c r="O35" s="277" t="s">
        <v>183</v>
      </c>
      <c r="P35" s="283">
        <v>44266</v>
      </c>
      <c r="Q35" s="280" t="s">
        <v>218</v>
      </c>
      <c r="R35" s="280" t="s">
        <v>266</v>
      </c>
      <c r="S35" s="237"/>
      <c r="T35" s="107"/>
      <c r="U35" s="308"/>
      <c r="V35" s="107" t="s">
        <v>364</v>
      </c>
      <c r="W35" s="107" t="s">
        <v>367</v>
      </c>
      <c r="X35" s="107" t="s">
        <v>367</v>
      </c>
    </row>
    <row r="36" spans="1:24" ht="13.8"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f t="shared" si="0"/>
        <v>0</v>
      </c>
      <c r="J36" s="182">
        <f t="shared" si="1"/>
        <v>0</v>
      </c>
      <c r="K36" s="107"/>
      <c r="L36" s="107"/>
      <c r="M36" s="275" t="s">
        <v>7</v>
      </c>
      <c r="N36" s="276" t="s">
        <v>56</v>
      </c>
      <c r="O36" s="277" t="s">
        <v>213</v>
      </c>
      <c r="P36" s="280"/>
      <c r="Q36" s="280" t="s">
        <v>162</v>
      </c>
      <c r="R36" s="280" t="s">
        <v>317</v>
      </c>
      <c r="S36" s="237"/>
      <c r="T36" s="107"/>
      <c r="U36" s="308"/>
      <c r="V36" s="107" t="s">
        <v>364</v>
      </c>
      <c r="W36" s="107" t="s">
        <v>367</v>
      </c>
      <c r="X36" s="107" t="s">
        <v>367</v>
      </c>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t="str">
        <f t="shared" si="1"/>
        <v>N</v>
      </c>
      <c r="K37" s="107"/>
      <c r="L37" s="107"/>
      <c r="M37" s="275" t="s">
        <v>7</v>
      </c>
      <c r="N37" s="276" t="s">
        <v>55</v>
      </c>
      <c r="O37" s="277" t="s">
        <v>595</v>
      </c>
      <c r="P37" s="283"/>
      <c r="Q37" s="281" t="s">
        <v>387</v>
      </c>
      <c r="R37" s="282" t="s">
        <v>386</v>
      </c>
      <c r="S37" s="237"/>
      <c r="T37" s="107"/>
      <c r="U37" s="308"/>
      <c r="V37" s="107" t="s">
        <v>364</v>
      </c>
      <c r="W37" s="237" t="s">
        <v>367</v>
      </c>
      <c r="X37" s="107" t="s">
        <v>367</v>
      </c>
    </row>
    <row r="38" spans="1:24" ht="23.4" customHeight="1" x14ac:dyDescent="0.3">
      <c r="A38" s="213" t="s">
        <v>54</v>
      </c>
      <c r="B38" s="206"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410</v>
      </c>
      <c r="P38" s="280"/>
      <c r="Q38" s="282" t="s">
        <v>661</v>
      </c>
      <c r="R38" s="280" t="s">
        <v>662</v>
      </c>
      <c r="S38" s="237"/>
      <c r="T38" s="107"/>
      <c r="U38" s="308"/>
      <c r="V38" s="107" t="s">
        <v>364</v>
      </c>
      <c r="W38" s="107" t="s">
        <v>367</v>
      </c>
      <c r="X38" s="107" t="s">
        <v>367</v>
      </c>
    </row>
    <row r="39" spans="1:24" ht="41.4" x14ac:dyDescent="0.3">
      <c r="A39" s="213" t="s">
        <v>54</v>
      </c>
      <c r="B39" s="206" t="s">
        <v>335</v>
      </c>
      <c r="C39" s="240"/>
      <c r="D39" s="292"/>
      <c r="E39" s="292"/>
      <c r="F39" s="292" t="s">
        <v>77</v>
      </c>
      <c r="G39" s="292"/>
      <c r="H39" s="212">
        <f>IF(C39&lt;&gt;"",'CBL Score Standard'!$D97,IF(D39&lt;&gt;"",SUM('CBL Score Standard'!$D97:$E97),IF(E39&lt;&gt;"",SUM('CBL Score Standard'!$D97:$F97),IF(F39&lt;&gt;"",SUM('CBL Score Standard'!$D97:$G97),IF(G39&lt;&gt;"",SUM('CBL Score Standard'!$D97:$H97,0))))))</f>
        <v>9.8404547955253982E-2</v>
      </c>
      <c r="I39" s="182" t="str">
        <f t="shared" si="0"/>
        <v>Passed</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ref="I40:I59" si="2">VLOOKUP(B40,$O$4:$W$64,8,0)</f>
        <v>0</v>
      </c>
      <c r="J40" s="182" t="str">
        <f t="shared" ref="J40:J59" si="3">VLOOKUP(B40,$O$4:$W$64,9,0)</f>
        <v>N</v>
      </c>
      <c r="K40" s="107"/>
      <c r="L40" s="107"/>
      <c r="M40" s="275" t="s">
        <v>7</v>
      </c>
      <c r="N40" s="276" t="s">
        <v>55</v>
      </c>
      <c r="O40" s="277" t="s">
        <v>657</v>
      </c>
      <c r="P40" s="283"/>
      <c r="Q40" s="280" t="s">
        <v>219</v>
      </c>
      <c r="R40" s="280" t="s">
        <v>256</v>
      </c>
      <c r="S40" s="237"/>
      <c r="T40" s="107" t="s">
        <v>72</v>
      </c>
      <c r="U40" s="107"/>
      <c r="V40" s="107"/>
      <c r="W40" s="107"/>
      <c r="X40" s="107"/>
    </row>
    <row r="41" spans="1:24" ht="13.8" x14ac:dyDescent="0.3">
      <c r="A41" s="213" t="s">
        <v>53</v>
      </c>
      <c r="B41" s="206" t="s">
        <v>361</v>
      </c>
      <c r="C41" s="240"/>
      <c r="D41" s="240"/>
      <c r="E41" s="240"/>
      <c r="F41" s="292" t="s">
        <v>77</v>
      </c>
      <c r="G41" s="292"/>
      <c r="H41" s="212">
        <f>IF(C41&lt;&gt;"",'CBL Score Standard'!$D99,IF(D41&lt;&gt;"",SUM('CBL Score Standard'!$D99:$E99),IF(E41&lt;&gt;"",SUM('CBL Score Standard'!$D99:$F99),IF(F41&lt;&gt;"",SUM('CBL Score Standard'!$D99:$G99),IF(G41&lt;&gt;"",SUM('CBL Score Standard'!$D99:$H99,0))))))</f>
        <v>5.9728589767100673E-2</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3.8"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t="s">
        <v>340</v>
      </c>
      <c r="T42" s="107" t="s">
        <v>72</v>
      </c>
      <c r="U42" s="308"/>
      <c r="V42" s="107" t="s">
        <v>364</v>
      </c>
      <c r="W42" s="107" t="s">
        <v>367</v>
      </c>
      <c r="X42" s="107" t="s">
        <v>367</v>
      </c>
    </row>
    <row r="43" spans="1:24" ht="13.8" x14ac:dyDescent="0.3">
      <c r="A43" s="213" t="s">
        <v>53</v>
      </c>
      <c r="B43" s="206" t="s">
        <v>224</v>
      </c>
      <c r="C43" s="240"/>
      <c r="D43" s="240"/>
      <c r="E43" s="240"/>
      <c r="F43" s="292" t="s">
        <v>77</v>
      </c>
      <c r="G43" s="292"/>
      <c r="H43" s="212">
        <f>IF(C43&lt;&gt;"",'CBL Score Standard'!$D101,IF(D43&lt;&gt;"",SUM('CBL Score Standard'!$D101:$E101),IF(E43&lt;&gt;"",SUM('CBL Score Standard'!$D101:$F101),IF(F43&lt;&gt;"",SUM('CBL Score Standard'!$D101:$G101),IF(G43&lt;&gt;"",SUM('CBL Score Standard'!$D101:$H101,0))))))</f>
        <v>3.5338345864661655E-2</v>
      </c>
      <c r="I43" s="182" t="str">
        <f t="shared" si="2"/>
        <v>Passed</v>
      </c>
      <c r="J43" s="182" t="str">
        <f t="shared" si="3"/>
        <v>Y</v>
      </c>
      <c r="K43" s="107"/>
      <c r="L43" s="107"/>
      <c r="M43" s="275" t="s">
        <v>7</v>
      </c>
      <c r="N43" s="276" t="s">
        <v>658</v>
      </c>
      <c r="O43" s="278" t="s">
        <v>614</v>
      </c>
      <c r="P43" s="283"/>
      <c r="Q43" s="280" t="s">
        <v>152</v>
      </c>
      <c r="R43" s="280" t="s">
        <v>154</v>
      </c>
      <c r="S43" s="237" t="s">
        <v>340</v>
      </c>
      <c r="T43" s="107" t="s">
        <v>72</v>
      </c>
      <c r="U43" s="308">
        <v>44039</v>
      </c>
      <c r="V43" s="107" t="s">
        <v>364</v>
      </c>
      <c r="W43" s="107" t="s">
        <v>368</v>
      </c>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340</v>
      </c>
      <c r="T44" s="107" t="s">
        <v>72</v>
      </c>
      <c r="U44" s="308">
        <v>44008</v>
      </c>
      <c r="V44" s="107"/>
      <c r="W44" s="107" t="s">
        <v>368</v>
      </c>
      <c r="X44" s="107"/>
    </row>
    <row r="45" spans="1:24" ht="26.4"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2"/>
        <v>Passed</v>
      </c>
      <c r="J45" s="182" t="str">
        <f t="shared" si="3"/>
        <v>Y</v>
      </c>
      <c r="K45" s="107"/>
      <c r="L45" s="107"/>
      <c r="M45" s="275" t="s">
        <v>7</v>
      </c>
      <c r="N45" s="276" t="s">
        <v>56</v>
      </c>
      <c r="O45" s="278" t="s">
        <v>659</v>
      </c>
      <c r="P45" s="283"/>
      <c r="Q45" s="280" t="s">
        <v>575</v>
      </c>
      <c r="R45" s="280" t="s">
        <v>265</v>
      </c>
      <c r="S45" s="237"/>
      <c r="T45" s="107" t="s">
        <v>72</v>
      </c>
      <c r="U45" s="107"/>
      <c r="V45" s="107"/>
      <c r="W45" s="107"/>
      <c r="X45" s="107"/>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2"/>
        <v>Passed</v>
      </c>
      <c r="J46" s="182" t="str">
        <f t="shared" si="3"/>
        <v>Y</v>
      </c>
      <c r="K46" s="107"/>
      <c r="L46" s="107"/>
      <c r="M46" s="275" t="s">
        <v>7</v>
      </c>
      <c r="N46" s="276" t="s">
        <v>55</v>
      </c>
      <c r="O46" s="278" t="s">
        <v>1</v>
      </c>
      <c r="P46" s="283"/>
      <c r="Q46" s="280" t="s">
        <v>577</v>
      </c>
      <c r="R46" s="280" t="s">
        <v>477</v>
      </c>
      <c r="S46" s="237" t="s">
        <v>340</v>
      </c>
      <c r="T46" s="107" t="s">
        <v>72</v>
      </c>
      <c r="U46" s="308">
        <v>43763</v>
      </c>
      <c r="V46" s="107" t="s">
        <v>364</v>
      </c>
      <c r="W46" s="107" t="s">
        <v>367</v>
      </c>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c r="U47" s="308">
        <v>43684</v>
      </c>
      <c r="V47" s="107" t="s">
        <v>364</v>
      </c>
      <c r="W47" s="107" t="s">
        <v>367</v>
      </c>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2"/>
        <v>Passed</v>
      </c>
      <c r="J48" s="182" t="str">
        <f t="shared" si="3"/>
        <v>Y</v>
      </c>
      <c r="K48" s="107"/>
      <c r="L48" s="107"/>
      <c r="M48" s="275" t="s">
        <v>7</v>
      </c>
      <c r="N48" s="276" t="s">
        <v>56</v>
      </c>
      <c r="O48" s="278" t="s">
        <v>385</v>
      </c>
      <c r="P48" s="280"/>
      <c r="Q48" s="280" t="s">
        <v>387</v>
      </c>
      <c r="R48" s="280" t="s">
        <v>386</v>
      </c>
      <c r="S48" s="237" t="s">
        <v>340</v>
      </c>
      <c r="T48" s="107" t="s">
        <v>73</v>
      </c>
      <c r="U48" s="308"/>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2"/>
        <v>Passed</v>
      </c>
      <c r="J49" s="182" t="str">
        <f t="shared" si="3"/>
        <v>Y</v>
      </c>
      <c r="K49" s="107"/>
      <c r="L49" s="107"/>
      <c r="M49" s="275" t="s">
        <v>7</v>
      </c>
      <c r="N49" s="276" t="s">
        <v>54</v>
      </c>
      <c r="O49" s="278" t="s">
        <v>229</v>
      </c>
      <c r="P49" s="283"/>
      <c r="Q49" s="280" t="s">
        <v>665</v>
      </c>
      <c r="R49" s="280" t="s">
        <v>574</v>
      </c>
      <c r="S49" s="107" t="s">
        <v>340</v>
      </c>
      <c r="T49" s="107" t="s">
        <v>72</v>
      </c>
      <c r="U49" s="308">
        <v>43756</v>
      </c>
      <c r="V49" s="107"/>
      <c r="W49" s="107" t="s">
        <v>368</v>
      </c>
      <c r="X49" s="107"/>
    </row>
    <row r="50" spans="1:24" ht="13.8" x14ac:dyDescent="0.3">
      <c r="A50" s="213" t="s">
        <v>643</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2"/>
        <v>Passed</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f t="shared" si="2"/>
        <v>0</v>
      </c>
      <c r="J53" s="182" t="str">
        <f t="shared" si="3"/>
        <v>Y</v>
      </c>
      <c r="K53" s="107" t="s">
        <v>141</v>
      </c>
      <c r="L53" s="107" t="s">
        <v>142</v>
      </c>
      <c r="M53" s="284" t="s">
        <v>8</v>
      </c>
      <c r="N53" s="285" t="s">
        <v>2</v>
      </c>
      <c r="O53" s="279" t="s">
        <v>232</v>
      </c>
      <c r="P53" s="286" t="s">
        <v>228</v>
      </c>
      <c r="Q53" s="286" t="s">
        <v>671</v>
      </c>
      <c r="R53" s="286"/>
      <c r="S53" s="237" t="s">
        <v>340</v>
      </c>
      <c r="T53" s="107" t="s">
        <v>73</v>
      </c>
      <c r="U53" s="308"/>
      <c r="V53" s="107"/>
      <c r="W53" s="107" t="s">
        <v>368</v>
      </c>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t="s">
        <v>340</v>
      </c>
      <c r="T54" s="107" t="s">
        <v>73</v>
      </c>
      <c r="U54" s="107"/>
      <c r="V54" s="107"/>
      <c r="W54" s="107" t="s">
        <v>368</v>
      </c>
      <c r="X54" s="107"/>
    </row>
    <row r="55" spans="1:24" customFormat="1" ht="18" customHeigh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f t="shared" si="2"/>
        <v>0</v>
      </c>
      <c r="J58" s="182">
        <f t="shared" si="3"/>
        <v>0</v>
      </c>
      <c r="K58" s="107"/>
      <c r="L58" s="107"/>
      <c r="M58" s="284" t="s">
        <v>8</v>
      </c>
      <c r="N58" s="285" t="s">
        <v>59</v>
      </c>
      <c r="O58" s="279" t="s">
        <v>237</v>
      </c>
      <c r="P58" s="286" t="s">
        <v>228</v>
      </c>
      <c r="Q58" s="286" t="s">
        <v>675</v>
      </c>
      <c r="R58" s="286"/>
      <c r="S58" s="107" t="s">
        <v>340</v>
      </c>
      <c r="T58" s="107" t="s">
        <v>73</v>
      </c>
      <c r="U58" s="307"/>
      <c r="V58" s="107"/>
      <c r="W58" s="107" t="s">
        <v>368</v>
      </c>
      <c r="X58" s="107"/>
    </row>
    <row r="59" spans="1:24" ht="26.4" x14ac:dyDescent="0.3">
      <c r="A59" s="213" t="s">
        <v>643</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2"/>
        <v>Passed</v>
      </c>
      <c r="J59" s="182" t="str">
        <f t="shared" si="3"/>
        <v>Y</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t="str">
        <f t="shared" ref="I60:I65" si="4">VLOOKUP(B61,$O$4:$W$64,8,0)</f>
        <v>Passed</v>
      </c>
      <c r="J60" s="182" t="str">
        <f t="shared" ref="J60:J65" si="5">VLOOKUP(B61,$O$4:$W$64,9,0)</f>
        <v>Y</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c r="E61" s="292"/>
      <c r="F61" s="292" t="s">
        <v>77</v>
      </c>
      <c r="G61" s="292"/>
      <c r="H61" s="212">
        <f>IF(C61&lt;&gt;"",'CBL Score Standard'!$D118,IF(D61&lt;&gt;"",SUM('CBL Score Standard'!$D118:$E118),IF(E61&lt;&gt;"",SUM('CBL Score Standard'!$D118:$F118),IF(F61&lt;&gt;"",SUM('CBL Score Standard'!$D118:$G118),IF(G61&lt;&gt;"",SUM('CBL Score Standard'!$D118:$H118,0))))))</f>
        <v>4.9624060150375938E-2</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t="str">
        <f t="shared" si="5"/>
        <v>N</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t="s">
        <v>77</v>
      </c>
      <c r="F64" s="292"/>
      <c r="G64" s="292"/>
      <c r="H64" s="212">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t="s">
        <v>77</v>
      </c>
      <c r="G65" s="292"/>
      <c r="H65" s="212">
        <f>IF(C65&lt;&gt;"",'CBL Score Standard'!$D122,IF(D65&lt;&gt;"",SUM('CBL Score Standard'!$D122:$E122),IF(E65&lt;&gt;"",SUM('CBL Score Standard'!$D122:$F122),IF(F65&lt;&gt;"",SUM('CBL Score Standard'!$D122:$G122),IF(G65&lt;&gt;"",SUM('CBL Score Standard'!$D122:$H122,0))))))</f>
        <v>4.9624060150375938E-2</v>
      </c>
      <c r="I65" s="182" t="str">
        <f t="shared" si="4"/>
        <v>Passed</v>
      </c>
      <c r="J65" s="182" t="str">
        <f t="shared" si="5"/>
        <v>Y</v>
      </c>
      <c r="K65" s="205"/>
      <c r="L65" s="205"/>
      <c r="M65" s="205"/>
      <c r="N65" s="306"/>
      <c r="O65" s="205"/>
      <c r="P65" s="205"/>
      <c r="Q65" s="205"/>
      <c r="R65" s="205"/>
    </row>
    <row r="66" spans="1:18" ht="15" thickBot="1" x14ac:dyDescent="0.35">
      <c r="A66" s="214" t="s">
        <v>55</v>
      </c>
      <c r="B66" s="206" t="s">
        <v>1</v>
      </c>
      <c r="C66" s="240"/>
      <c r="D66" s="240"/>
      <c r="E66" s="292"/>
      <c r="F66" s="292" t="s">
        <v>77</v>
      </c>
      <c r="G66" s="292"/>
      <c r="H66" s="212">
        <f>IF(C66&lt;&gt;"",'CBL Score Standard'!$D123,IF(D66&lt;&gt;"",SUM('CBL Score Standard'!$D123:$E123),IF(E66&lt;&gt;"",SUM('CBL Score Standard'!$D123:$F123),IF(F66&lt;&gt;"",SUM('CBL Score Standard'!$D123:$G123),IF(G66&lt;&gt;"",SUM('CBL Score Standard'!$D123:$H123,0))))))</f>
        <v>4.9624060150375938E-2</v>
      </c>
      <c r="K66" s="205"/>
      <c r="L66" s="205"/>
      <c r="M66" s="205"/>
      <c r="N66" s="306"/>
      <c r="O66" s="205"/>
      <c r="P66" s="205"/>
      <c r="Q66" s="205"/>
      <c r="R66" s="205"/>
    </row>
    <row r="67" spans="1:18" ht="15" thickBot="1" x14ac:dyDescent="0.35">
      <c r="A67" s="362" t="s">
        <v>79</v>
      </c>
      <c r="B67" s="363"/>
      <c r="C67" s="364"/>
      <c r="D67" s="364"/>
      <c r="E67" s="364"/>
      <c r="F67" s="364"/>
      <c r="G67" s="364"/>
      <c r="H67" s="183">
        <f>SUM(H8:H64)</f>
        <v>3.2160064796136689</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autoFilter ref="A3:J70"/>
  <customSheetViews>
    <customSheetView guid="{6D9FC8F7-6352-4BF1-890A-27BF36FADC03}" scale="85" showGridLines="0" showAutoFilter="1" topLeftCell="A37">
      <selection activeCell="A7" sqref="A7:H68"/>
      <pageMargins left="0.7" right="0.7" top="0.75" bottom="0.75" header="0.3" footer="0.3"/>
      <pageSetup orientation="portrait" r:id="rId1"/>
      <autoFilter ref="A3:J70"/>
    </customSheetView>
    <customSheetView guid="{040B64FF-F135-4C7F-9498-A8399C10673D}" scale="85" showGridLines="0" showAutoFilter="1" topLeftCell="A37">
      <selection activeCell="A7" sqref="A7:H68"/>
      <pageMargins left="0.7" right="0.7" top="0.75" bottom="0.75" header="0.3" footer="0.3"/>
      <pageSetup orientation="portrait" r:id="rId2"/>
      <autoFilter ref="A3:J70"/>
    </customSheetView>
    <customSheetView guid="{3BEDB203-29A8-4A82-B140-5CE8D0753F8B}" scale="85" showGridLines="0" showAutoFilter="1" topLeftCell="A37">
      <selection activeCell="A7" sqref="A7:H68"/>
      <pageMargins left="0.7" right="0.7" top="0.75" bottom="0.75" header="0.3" footer="0.3"/>
      <pageSetup orientation="portrait" r:id="rId3"/>
      <autoFilter ref="A3:J70"/>
    </customSheetView>
  </customSheetViews>
  <mergeCells count="6">
    <mergeCell ref="A1:H1"/>
    <mergeCell ref="M2:M3"/>
    <mergeCell ref="N2:N3"/>
    <mergeCell ref="A69:G69"/>
    <mergeCell ref="S2:S3"/>
    <mergeCell ref="A67:G67"/>
  </mergeCells>
  <conditionalFormatting sqref="C7:D7 F7:H7">
    <cfRule type="containsText" dxfId="172" priority="31" operator="containsText" text="N/A">
      <formula>NOT(ISERROR(SEARCH("N/A",C7)))</formula>
    </cfRule>
    <cfRule type="containsText" dxfId="171" priority="32" operator="containsText" text="Blank">
      <formula>NOT(ISERROR(SEARCH("Blank",C7)))</formula>
    </cfRule>
    <cfRule type="containsText" dxfId="170" priority="33" operator="containsText" text="M">
      <formula>NOT(ISERROR(SEARCH("M",C7)))</formula>
    </cfRule>
  </conditionalFormatting>
  <conditionalFormatting sqref="B67:B69 B7">
    <cfRule type="duplicateValues" dxfId="169" priority="30"/>
  </conditionalFormatting>
  <conditionalFormatting sqref="B30">
    <cfRule type="duplicateValues" dxfId="168" priority="13"/>
  </conditionalFormatting>
  <conditionalFormatting sqref="B55">
    <cfRule type="duplicateValues" dxfId="167" priority="12"/>
  </conditionalFormatting>
  <conditionalFormatting sqref="B13">
    <cfRule type="duplicateValues" dxfId="166" priority="11"/>
  </conditionalFormatting>
  <conditionalFormatting sqref="B56:B66 B31:B54 B8:B12 B14:B28">
    <cfRule type="duplicateValues" dxfId="165" priority="14"/>
  </conditionalFormatting>
  <conditionalFormatting sqref="B29">
    <cfRule type="duplicateValues" dxfId="164" priority="15"/>
  </conditionalFormatting>
  <conditionalFormatting sqref="O25">
    <cfRule type="duplicateValues" dxfId="163" priority="1"/>
  </conditionalFormatting>
  <conditionalFormatting sqref="O4:O9 O12:O18">
    <cfRule type="duplicateValues" dxfId="162" priority="10"/>
  </conditionalFormatting>
  <conditionalFormatting sqref="O10">
    <cfRule type="duplicateValues" dxfId="161" priority="9"/>
  </conditionalFormatting>
  <conditionalFormatting sqref="O11">
    <cfRule type="duplicateValues" dxfId="160" priority="8"/>
  </conditionalFormatting>
  <conditionalFormatting sqref="O19:O24 O32:O34 O26:O30">
    <cfRule type="duplicateValues" dxfId="159" priority="7"/>
  </conditionalFormatting>
  <conditionalFormatting sqref="O36:O52">
    <cfRule type="duplicateValues" dxfId="158" priority="6"/>
  </conditionalFormatting>
  <conditionalFormatting sqref="O35">
    <cfRule type="duplicateValues" dxfId="157" priority="5"/>
  </conditionalFormatting>
  <conditionalFormatting sqref="O53:O60">
    <cfRule type="duplicateValues" dxfId="156" priority="4"/>
  </conditionalFormatting>
  <conditionalFormatting sqref="O61:O64">
    <cfRule type="duplicateValues" dxfId="155" priority="3"/>
  </conditionalFormatting>
  <conditionalFormatting sqref="O31">
    <cfRule type="duplicateValues" dxfId="154"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69:X1048576 T20:X64">
      <formula1>"M, O, N/A"</formula1>
    </dataValidation>
  </dataValidations>
  <hyperlinks>
    <hyperlink ref="J1" location="Summary!A1" display="Home"/>
  </hyperlinks>
  <pageMargins left="0.7" right="0.7" top="0.75" bottom="0.75" header="0.3" footer="0.3"/>
  <pageSetup orientation="portrait" r:id="rId4"/>
  <drawing r:id="rId5"/>
  <legacyDrawing r:id="rId6"/>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theme="8"/>
    <pageSetUpPr fitToPage="1"/>
  </sheetPr>
  <dimension ref="A1:X197"/>
  <sheetViews>
    <sheetView showGridLines="0" topLeftCell="N1" zoomScale="70" zoomScaleNormal="70" workbookViewId="0">
      <selection activeCell="S4" sqref="S4:X64"/>
    </sheetView>
  </sheetViews>
  <sheetFormatPr defaultColWidth="9.109375" defaultRowHeight="14.4" x14ac:dyDescent="0.3"/>
  <cols>
    <col min="1" max="1" width="31.44140625" style="29" customWidth="1"/>
    <col min="2" max="2" width="40.3320312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70" t="s">
        <v>357</v>
      </c>
      <c r="B2" s="58" t="s">
        <v>631</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43948</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0.77808219178082194</v>
      </c>
      <c r="C4" s="3"/>
      <c r="D4" s="3"/>
      <c r="E4" s="3"/>
      <c r="F4" s="3"/>
      <c r="G4" s="3"/>
      <c r="H4" s="3"/>
      <c r="K4" s="107" t="s">
        <v>141</v>
      </c>
      <c r="L4" s="107" t="s">
        <v>142</v>
      </c>
      <c r="M4" s="254" t="s">
        <v>5</v>
      </c>
      <c r="N4" s="255" t="s">
        <v>143</v>
      </c>
      <c r="O4" s="256" t="s">
        <v>362</v>
      </c>
      <c r="P4" s="258"/>
      <c r="Q4" s="261" t="s">
        <v>145</v>
      </c>
      <c r="R4" s="261" t="s">
        <v>211</v>
      </c>
      <c r="S4" s="237" t="s">
        <v>632</v>
      </c>
      <c r="T4" s="107" t="s">
        <v>72</v>
      </c>
      <c r="U4" s="307"/>
      <c r="V4" s="107" t="s">
        <v>364</v>
      </c>
      <c r="W4" s="107"/>
      <c r="X4" s="107"/>
    </row>
    <row r="5" spans="1:24" ht="12.75" customHeight="1" x14ac:dyDescent="0.3">
      <c r="A5" s="70" t="s">
        <v>377</v>
      </c>
      <c r="B5" s="95">
        <v>6.1</v>
      </c>
      <c r="C5" s="97"/>
      <c r="D5" s="3"/>
      <c r="E5" s="3"/>
      <c r="F5" s="3"/>
      <c r="G5" s="3"/>
      <c r="H5" s="3"/>
      <c r="K5" s="107"/>
      <c r="L5" s="107"/>
      <c r="M5" s="254" t="s">
        <v>5</v>
      </c>
      <c r="N5" s="255" t="s">
        <v>143</v>
      </c>
      <c r="O5" s="256" t="s">
        <v>363</v>
      </c>
      <c r="P5" s="259" t="s">
        <v>144</v>
      </c>
      <c r="Q5" s="259" t="s">
        <v>149</v>
      </c>
      <c r="R5" s="259" t="s">
        <v>150</v>
      </c>
      <c r="S5" s="237" t="s">
        <v>632</v>
      </c>
      <c r="T5" s="107" t="s">
        <v>72</v>
      </c>
      <c r="U5" s="308"/>
      <c r="V5" s="107" t="s">
        <v>364</v>
      </c>
      <c r="W5" s="107"/>
      <c r="X5" s="107"/>
    </row>
    <row r="6" spans="1:24" thickBot="1" x14ac:dyDescent="0.35">
      <c r="A6" s="70" t="s">
        <v>378</v>
      </c>
      <c r="B6" s="95">
        <f ca="1">B4+B5</f>
        <v>6.8780821917808215</v>
      </c>
      <c r="C6" s="97"/>
      <c r="K6" s="107"/>
      <c r="L6" s="107"/>
      <c r="M6" s="254" t="s">
        <v>5</v>
      </c>
      <c r="N6" s="255" t="s">
        <v>148</v>
      </c>
      <c r="O6" s="256" t="s">
        <v>148</v>
      </c>
      <c r="P6" s="259" t="s">
        <v>144</v>
      </c>
      <c r="Q6" s="259" t="s">
        <v>149</v>
      </c>
      <c r="R6" s="259" t="s">
        <v>150</v>
      </c>
      <c r="S6" s="237" t="s">
        <v>632</v>
      </c>
      <c r="T6" s="107" t="s">
        <v>72</v>
      </c>
      <c r="U6" s="308"/>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632</v>
      </c>
      <c r="T7" s="107" t="s">
        <v>72</v>
      </c>
      <c r="U7" s="107"/>
      <c r="V7" s="107" t="s">
        <v>364</v>
      </c>
      <c r="W7" s="107"/>
      <c r="X7" s="107"/>
    </row>
    <row r="8" spans="1:24" ht="13.8" x14ac:dyDescent="0.3">
      <c r="A8" s="210" t="s">
        <v>56</v>
      </c>
      <c r="B8" s="211" t="s">
        <v>180</v>
      </c>
      <c r="C8" s="240"/>
      <c r="D8" s="292"/>
      <c r="E8" s="292"/>
      <c r="F8" s="292"/>
      <c r="G8" s="292"/>
      <c r="H8" s="212" t="b">
        <f>IF(C8&lt;&gt;"",'CBL Score Standard'!$D66,IF(D8&lt;&gt;"",SUM('CBL Score Standard'!$D66:$E66),IF(E8&lt;&gt;"",SUM('CBL Score Standard'!$D66:$F66),IF(F8&lt;&gt;"",SUM('CBL Score Standard'!$D66:$G66),IF(G8&lt;&gt;"",SUM('CBL Score Standard'!$D66:$H66,0))))))</f>
        <v>0</v>
      </c>
      <c r="I8" s="182" t="str">
        <f t="shared" ref="I8:I39" si="0">VLOOKUP(B8,$O$4:$W$64,8,0)</f>
        <v>Passed</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c r="E9" s="292"/>
      <c r="F9" s="292"/>
      <c r="G9" s="292"/>
      <c r="H9" s="212" t="b">
        <f>IF(C9&lt;&gt;"",'CBL Score Standard'!$D67,IF(D9&lt;&gt;"",SUM('CBL Score Standard'!$D67:$E67),IF(E9&lt;&gt;"",SUM('CBL Score Standard'!$D67:$F67),IF(F9&lt;&gt;"",SUM('CBL Score Standard'!$D67:$G67),IF(G9&lt;&gt;"",SUM('CBL Score Standard'!$D67:$H67,0))))))</f>
        <v>0</v>
      </c>
      <c r="I9" s="182">
        <f t="shared" si="0"/>
        <v>0</v>
      </c>
      <c r="J9" s="182">
        <f t="shared" si="1"/>
        <v>0</v>
      </c>
      <c r="K9" s="107"/>
      <c r="L9" s="107"/>
      <c r="M9" s="254" t="s">
        <v>5</v>
      </c>
      <c r="N9" s="255" t="s">
        <v>678</v>
      </c>
      <c r="O9" s="257" t="s">
        <v>592</v>
      </c>
      <c r="P9" s="259" t="s">
        <v>144</v>
      </c>
      <c r="Q9" s="259" t="s">
        <v>153</v>
      </c>
      <c r="R9" s="259" t="s">
        <v>263</v>
      </c>
      <c r="S9" s="237" t="s">
        <v>632</v>
      </c>
      <c r="T9" s="107" t="s">
        <v>72</v>
      </c>
      <c r="U9" s="107"/>
      <c r="V9" s="107" t="s">
        <v>364</v>
      </c>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t="s">
        <v>73</v>
      </c>
      <c r="U10" s="107"/>
      <c r="V10" s="107" t="s">
        <v>364</v>
      </c>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row>
    <row r="14" spans="1:24" ht="13.8" x14ac:dyDescent="0.3">
      <c r="A14" s="213" t="s">
        <v>55</v>
      </c>
      <c r="B14" s="206" t="s">
        <v>617</v>
      </c>
      <c r="C14" s="240"/>
      <c r="D14" s="240"/>
      <c r="E14" s="240"/>
      <c r="F14" s="292"/>
      <c r="G14" s="292"/>
      <c r="H14" s="212" t="b">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107"/>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t="s">
        <v>632</v>
      </c>
      <c r="T18" s="107" t="s">
        <v>72</v>
      </c>
      <c r="U18" s="308"/>
      <c r="V18" s="107" t="s">
        <v>364</v>
      </c>
      <c r="W18" s="107"/>
      <c r="X18" s="107"/>
    </row>
    <row r="19" spans="1:24" ht="12.75" customHeight="1"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632</v>
      </c>
      <c r="T19" s="296" t="s">
        <v>72</v>
      </c>
      <c r="U19" s="309"/>
      <c r="V19" s="107" t="s">
        <v>364</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t="s">
        <v>632</v>
      </c>
      <c r="T20" s="107" t="s">
        <v>72</v>
      </c>
      <c r="U20" s="107"/>
      <c r="V20" s="107" t="s">
        <v>364</v>
      </c>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t="s">
        <v>72</v>
      </c>
      <c r="U21" s="308"/>
      <c r="V21" s="107"/>
      <c r="W21" s="107"/>
      <c r="X21" s="107"/>
    </row>
    <row r="22" spans="1:24" x14ac:dyDescent="0.3">
      <c r="A22" s="213" t="s">
        <v>55</v>
      </c>
      <c r="B22" s="206" t="s">
        <v>595</v>
      </c>
      <c r="C22" s="240"/>
      <c r="D22" s="240"/>
      <c r="E22" s="292"/>
      <c r="F22" s="292"/>
      <c r="G22" s="292"/>
      <c r="H22" s="212" t="b">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678</v>
      </c>
      <c r="O22" s="270" t="s">
        <v>186</v>
      </c>
      <c r="P22" s="274">
        <v>44392</v>
      </c>
      <c r="Q22" s="269" t="s">
        <v>153</v>
      </c>
      <c r="R22" s="269" t="s">
        <v>263</v>
      </c>
      <c r="S22" s="237"/>
      <c r="T22" s="107" t="s">
        <v>72</v>
      </c>
      <c r="U22" s="308"/>
      <c r="V22" s="107" t="s">
        <v>364</v>
      </c>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c r="T23" s="107" t="s">
        <v>73</v>
      </c>
      <c r="U23" s="308"/>
      <c r="V23" s="107" t="s">
        <v>364</v>
      </c>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c r="T24" s="107"/>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107"/>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107"/>
      <c r="V28" s="107"/>
      <c r="W28" s="107"/>
      <c r="X28" s="107"/>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196</v>
      </c>
      <c r="P29" s="272"/>
      <c r="Q29" s="269" t="s">
        <v>197</v>
      </c>
      <c r="R29" s="269" t="s">
        <v>256</v>
      </c>
      <c r="S29" s="237"/>
      <c r="T29" s="107" t="s">
        <v>72</v>
      </c>
      <c r="U29" s="308"/>
      <c r="V29" s="107"/>
      <c r="W29" s="107"/>
      <c r="X29" s="107"/>
    </row>
    <row r="30" spans="1:24" x14ac:dyDescent="0.3">
      <c r="A30" s="213" t="s">
        <v>59</v>
      </c>
      <c r="B30" s="206" t="s">
        <v>613</v>
      </c>
      <c r="C30" s="240"/>
      <c r="D30" s="240"/>
      <c r="E30" s="292"/>
      <c r="F30" s="292"/>
      <c r="G30" s="292"/>
      <c r="H30" s="212" t="b">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55</v>
      </c>
      <c r="O30" s="270" t="s">
        <v>200</v>
      </c>
      <c r="P30" s="272"/>
      <c r="Q30" s="269" t="s">
        <v>374</v>
      </c>
      <c r="R30" s="269" t="s">
        <v>375</v>
      </c>
      <c r="S30" s="107"/>
      <c r="T30" s="107"/>
      <c r="U30" s="107"/>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f t="shared" si="1"/>
        <v>0</v>
      </c>
      <c r="K31" s="107"/>
      <c r="L31" s="107"/>
      <c r="M31" s="266" t="s">
        <v>6</v>
      </c>
      <c r="N31" s="267" t="s">
        <v>55</v>
      </c>
      <c r="O31" s="270" t="s">
        <v>642</v>
      </c>
      <c r="P31" s="272"/>
      <c r="Q31" s="269" t="s">
        <v>741</v>
      </c>
      <c r="R31" s="269" t="s">
        <v>742</v>
      </c>
      <c r="S31" s="107"/>
      <c r="T31" s="107"/>
      <c r="U31" s="107"/>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t="s">
        <v>72</v>
      </c>
      <c r="U32" s="308"/>
      <c r="V32" s="107"/>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t="s">
        <v>73</v>
      </c>
      <c r="U33" s="107"/>
      <c r="V33" s="107"/>
      <c r="W33" s="107"/>
      <c r="X33" s="107"/>
    </row>
    <row r="34" spans="1:24" ht="26.4" x14ac:dyDescent="0.3">
      <c r="A34" s="213" t="s">
        <v>31</v>
      </c>
      <c r="B34" s="206" t="s">
        <v>591</v>
      </c>
      <c r="C34" s="292"/>
      <c r="D34" s="292"/>
      <c r="E34" s="292"/>
      <c r="F34" s="292"/>
      <c r="G34" s="292"/>
      <c r="H34" s="212" t="b">
        <f>IF(C34&lt;&gt;"",'CBL Score Standard'!$D92,IF(D34&lt;&gt;"",SUM('CBL Score Standard'!$D92:$E92),IF(E34&lt;&gt;"",SUM('CBL Score Standard'!$D92:$F92),IF(F34&lt;&gt;"",SUM('CBL Score Standard'!$D92:$G92),IF(G34&lt;&gt;"",SUM('CBL Score Standard'!$D92:$H92,0))))))</f>
        <v>0</v>
      </c>
      <c r="I34" s="182" t="e">
        <f t="shared" si="0"/>
        <v>#N/A</v>
      </c>
      <c r="J34" s="182" t="e">
        <f t="shared" si="1"/>
        <v>#N/A</v>
      </c>
      <c r="K34" s="107"/>
      <c r="L34" s="107"/>
      <c r="M34" s="266" t="s">
        <v>6</v>
      </c>
      <c r="N34" s="267" t="s">
        <v>54</v>
      </c>
      <c r="O34" s="270" t="s">
        <v>335</v>
      </c>
      <c r="P34" s="272"/>
      <c r="Q34" s="269" t="s">
        <v>207</v>
      </c>
      <c r="R34" s="269" t="s">
        <v>319</v>
      </c>
      <c r="S34" s="107"/>
      <c r="T34" s="107"/>
      <c r="U34" s="107"/>
      <c r="V34" s="107"/>
      <c r="W34" s="107"/>
      <c r="X34" s="107"/>
    </row>
    <row r="35" spans="1:24" ht="13.8" x14ac:dyDescent="0.3">
      <c r="A35" s="213" t="s">
        <v>31</v>
      </c>
      <c r="B35" s="206" t="s">
        <v>173</v>
      </c>
      <c r="C35" s="292"/>
      <c r="D35" s="292"/>
      <c r="E35" s="292"/>
      <c r="F35" s="292"/>
      <c r="G35" s="292"/>
      <c r="H35" s="212" t="b">
        <f>IF(C35&lt;&gt;"",'CBL Score Standard'!$D93,IF(D35&lt;&gt;"",SUM('CBL Score Standard'!$D93:$E93),IF(E35&lt;&gt;"",SUM('CBL Score Standard'!$D93:$F93),IF(F35&lt;&gt;"",SUM('CBL Score Standard'!$D93:$G93),IF(G35&lt;&gt;"",SUM('CBL Score Standard'!$D93:$H93,0))))))</f>
        <v>0</v>
      </c>
      <c r="I35" s="182">
        <f t="shared" si="0"/>
        <v>0</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c r="E36" s="292"/>
      <c r="F36" s="292"/>
      <c r="G36" s="292"/>
      <c r="H36" s="212" t="b">
        <f>IF(C36&lt;&gt;"",'CBL Score Standard'!$D94,IF(D36&lt;&gt;"",SUM('CBL Score Standard'!$D94:$E94),IF(E36&lt;&gt;"",SUM('CBL Score Standard'!$D94:$F94),IF(F36&lt;&gt;"",SUM('CBL Score Standard'!$D94:$G94),IF(G36&lt;&gt;"",SUM('CBL Score Standard'!$D94:$H94,0))))))</f>
        <v>0</v>
      </c>
      <c r="I36" s="182" t="str">
        <f t="shared" si="0"/>
        <v>Passed</v>
      </c>
      <c r="J36" s="182">
        <f t="shared" si="1"/>
        <v>0</v>
      </c>
      <c r="K36" s="107"/>
      <c r="L36" s="107"/>
      <c r="M36" s="275" t="s">
        <v>7</v>
      </c>
      <c r="N36" s="276" t="s">
        <v>56</v>
      </c>
      <c r="O36" s="277" t="s">
        <v>213</v>
      </c>
      <c r="P36" s="280"/>
      <c r="Q36" s="280" t="s">
        <v>162</v>
      </c>
      <c r="R36" s="280" t="s">
        <v>317</v>
      </c>
      <c r="S36" s="237"/>
      <c r="T36" s="107" t="s">
        <v>72</v>
      </c>
      <c r="U36" s="107"/>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c r="U37" s="308"/>
      <c r="V37" s="107"/>
      <c r="W37" s="107"/>
      <c r="X37" s="107"/>
    </row>
    <row r="38" spans="1:24" ht="27.6" x14ac:dyDescent="0.3">
      <c r="A38" s="213" t="s">
        <v>54</v>
      </c>
      <c r="B38" s="206"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c r="E39" s="292"/>
      <c r="F39" s="292"/>
      <c r="G39" s="292"/>
      <c r="H39" s="212" t="b">
        <f>IF(C39&lt;&gt;"",'CBL Score Standard'!$D97,IF(D39&lt;&gt;"",SUM('CBL Score Standard'!$D97:$E97),IF(E39&lt;&gt;"",SUM('CBL Score Standard'!$D97:$F97),IF(F39&lt;&gt;"",SUM('CBL Score Standard'!$D97:$G97),IF(G39&lt;&gt;"",SUM('CBL Score Standard'!$D97:$H97,0))))))</f>
        <v>0</v>
      </c>
      <c r="I39" s="182">
        <f t="shared" si="0"/>
        <v>0</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107"/>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107"/>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c r="T44" s="107"/>
      <c r="U44" s="308"/>
      <c r="V44" s="107"/>
      <c r="W44" s="107"/>
      <c r="X44" s="107"/>
    </row>
    <row r="45" spans="1:24" ht="26.4" x14ac:dyDescent="0.3">
      <c r="A45" s="213" t="s">
        <v>41</v>
      </c>
      <c r="B45" s="206" t="s">
        <v>412</v>
      </c>
      <c r="C45" s="292"/>
      <c r="D45" s="292"/>
      <c r="E45" s="292"/>
      <c r="F45" s="292"/>
      <c r="G45" s="292"/>
      <c r="H45" s="212" t="b">
        <f>IF(C45&lt;&gt;"",'CBL Score Standard'!$D103,IF(D45&lt;&gt;"",SUM('CBL Score Standard'!$D103:$E103),IF(E45&lt;&gt;"",SUM('CBL Score Standard'!$D103:$F103),IF(F45&lt;&gt;"",SUM('CBL Score Standard'!$D103:$G103),IF(G45&lt;&gt;"",SUM('CBL Score Standard'!$D103:$H103,0))))))</f>
        <v>0</v>
      </c>
      <c r="I45" s="182">
        <f t="shared" si="2"/>
        <v>0</v>
      </c>
      <c r="J45" s="182">
        <f t="shared" si="3"/>
        <v>0</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c r="E46" s="292"/>
      <c r="F46" s="292"/>
      <c r="G46" s="292"/>
      <c r="H46" s="212" t="b">
        <f>IF(C46&lt;&gt;"",'CBL Score Standard'!$D104,IF(D46&lt;&gt;"",SUM('CBL Score Standard'!$D104:$E104),IF(E46&lt;&gt;"",SUM('CBL Score Standard'!$D104:$F104),IF(F46&lt;&gt;"",SUM('CBL Score Standard'!$D104:$G104),IF(G46&lt;&gt;"",SUM('CBL Score Standard'!$D104:$H104,0))))))</f>
        <v>0</v>
      </c>
      <c r="I46" s="182" t="str">
        <f t="shared" si="2"/>
        <v>Passed</v>
      </c>
      <c r="J46" s="182">
        <f t="shared" si="3"/>
        <v>0</v>
      </c>
      <c r="K46" s="107"/>
      <c r="L46" s="107"/>
      <c r="M46" s="275" t="s">
        <v>7</v>
      </c>
      <c r="N46" s="276" t="s">
        <v>55</v>
      </c>
      <c r="O46" s="278" t="s">
        <v>1</v>
      </c>
      <c r="P46" s="283"/>
      <c r="Q46" s="280" t="s">
        <v>577</v>
      </c>
      <c r="R46" s="280" t="s">
        <v>477</v>
      </c>
      <c r="S46" s="237"/>
      <c r="T46" s="107"/>
      <c r="U46" s="107"/>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t="s">
        <v>72</v>
      </c>
      <c r="U47" s="107"/>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t="str">
        <f t="shared" si="2"/>
        <v>Passed</v>
      </c>
      <c r="J48" s="182">
        <f t="shared" si="3"/>
        <v>0</v>
      </c>
      <c r="K48" s="107"/>
      <c r="L48" s="107"/>
      <c r="M48" s="275" t="s">
        <v>7</v>
      </c>
      <c r="N48" s="276" t="s">
        <v>56</v>
      </c>
      <c r="O48" s="278" t="s">
        <v>385</v>
      </c>
      <c r="P48" s="280"/>
      <c r="Q48" s="280" t="s">
        <v>387</v>
      </c>
      <c r="R48" s="280" t="s">
        <v>386</v>
      </c>
      <c r="S48" s="237"/>
      <c r="T48" s="107"/>
      <c r="U48" s="308"/>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2"/>
        <v>Passed</v>
      </c>
      <c r="J49" s="182">
        <f t="shared" si="3"/>
        <v>0</v>
      </c>
      <c r="K49" s="107"/>
      <c r="L49" s="107"/>
      <c r="M49" s="275" t="s">
        <v>7</v>
      </c>
      <c r="N49" s="276" t="s">
        <v>54</v>
      </c>
      <c r="O49" s="278" t="s">
        <v>229</v>
      </c>
      <c r="P49" s="283"/>
      <c r="Q49" s="280" t="s">
        <v>665</v>
      </c>
      <c r="R49" s="280" t="s">
        <v>574</v>
      </c>
      <c r="S49" s="107"/>
      <c r="T49" s="107"/>
      <c r="U49" s="107"/>
      <c r="V49" s="107"/>
      <c r="W49" s="107"/>
      <c r="X49" s="107"/>
    </row>
    <row r="50" spans="1:24" ht="13.8" x14ac:dyDescent="0.3">
      <c r="A50" s="213" t="s">
        <v>643</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2"/>
        <v>Passed</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t="str">
        <f t="shared" si="2"/>
        <v>Passed</v>
      </c>
      <c r="J53" s="182">
        <f t="shared" si="3"/>
        <v>0</v>
      </c>
      <c r="K53" s="107" t="s">
        <v>141</v>
      </c>
      <c r="L53" s="107" t="s">
        <v>142</v>
      </c>
      <c r="M53" s="284" t="s">
        <v>8</v>
      </c>
      <c r="N53" s="285" t="s">
        <v>2</v>
      </c>
      <c r="O53" s="279" t="s">
        <v>232</v>
      </c>
      <c r="P53" s="286" t="s">
        <v>228</v>
      </c>
      <c r="Q53" s="286" t="s">
        <v>671</v>
      </c>
      <c r="R53" s="286"/>
      <c r="S53" s="237"/>
      <c r="T53" s="107"/>
      <c r="U53" s="107"/>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c r="F57" s="292"/>
      <c r="G57" s="292"/>
      <c r="H57" s="212" t="b">
        <f>IF(C57&lt;&gt;"",'CBL Score Standard'!$D115,IF(D57&lt;&gt;"",SUM('CBL Score Standard'!$D115:$E115),IF(E57&lt;&gt;"",SUM('CBL Score Standard'!$D115:$F115),IF(F57&lt;&gt;"",SUM('CBL Score Standard'!$D115:$G115),IF(G57&lt;&gt;"",SUM('CBL Score Standard'!$D115:$H115,0))))))</f>
        <v>0</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t="str">
        <f t="shared" si="2"/>
        <v>Passed</v>
      </c>
      <c r="J58" s="182">
        <f t="shared" si="3"/>
        <v>0</v>
      </c>
      <c r="K58" s="107"/>
      <c r="L58" s="107"/>
      <c r="M58" s="284" t="s">
        <v>8</v>
      </c>
      <c r="N58" s="285" t="s">
        <v>59</v>
      </c>
      <c r="O58" s="279" t="s">
        <v>237</v>
      </c>
      <c r="P58" s="286" t="s">
        <v>228</v>
      </c>
      <c r="Q58" s="286" t="s">
        <v>675</v>
      </c>
      <c r="R58" s="286"/>
      <c r="S58" s="107"/>
      <c r="T58" s="107"/>
      <c r="U58" s="107"/>
      <c r="V58" s="107"/>
      <c r="W58" s="107"/>
      <c r="X58" s="107"/>
    </row>
    <row r="59" spans="1:24" ht="26.4" x14ac:dyDescent="0.3">
      <c r="A59" s="213" t="s">
        <v>643</v>
      </c>
      <c r="B59" s="206" t="s">
        <v>189</v>
      </c>
      <c r="C59" s="240"/>
      <c r="D59" s="240"/>
      <c r="E59" s="292"/>
      <c r="F59" s="292"/>
      <c r="G59" s="292"/>
      <c r="H59" s="212" t="b">
        <f>IF(C59&lt;&gt;"",'CBL Score Standard'!$D117,IF(D59&lt;&gt;"",SUM('CBL Score Standard'!$D117:$E117),IF(E59&lt;&gt;"",SUM('CBL Score Standard'!$D117:$F117),IF(F59&lt;&gt;"",SUM('CBL Score Standard'!$D117:$G117),IF(G59&lt;&gt;"",SUM('CBL Score Standard'!$D117:$H117,0))))))</f>
        <v>0</v>
      </c>
      <c r="I59" s="182">
        <f t="shared" si="2"/>
        <v>0</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107"/>
      <c r="T60" s="107"/>
      <c r="U60" s="107"/>
      <c r="V60" s="107"/>
      <c r="W60" s="107"/>
      <c r="X60" s="107"/>
    </row>
    <row r="61" spans="1:24" ht="13.8" x14ac:dyDescent="0.25">
      <c r="A61" s="150" t="s">
        <v>56</v>
      </c>
      <c r="B61" s="206" t="s">
        <v>383</v>
      </c>
      <c r="C61" s="240"/>
      <c r="D61" s="240"/>
      <c r="E61" s="292"/>
      <c r="F61" s="292"/>
      <c r="G61" s="292"/>
      <c r="H61" s="212" t="b">
        <f>IF(C61&lt;&gt;"",'CBL Score Standard'!$D118,IF(D61&lt;&gt;"",SUM('CBL Score Standard'!$D118:$E118),IF(E61&lt;&gt;"",SUM('CBL Score Standard'!$D118:$F118),IF(F61&lt;&gt;"",SUM('CBL Score Standard'!$D118:$G118),IF(G61&lt;&gt;"",SUM('CBL Score Standard'!$D118:$H118,0))))))</f>
        <v>0</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c r="G62" s="292"/>
      <c r="H62" s="212" t="b">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c r="G65" s="292"/>
      <c r="H65" s="212" t="b">
        <f>IF(C65&lt;&gt;"",'CBL Score Standard'!$D122,IF(D65&lt;&gt;"",SUM('CBL Score Standard'!$D122:$E122),IF(E65&lt;&gt;"",SUM('CBL Score Standard'!$D122:$F122),IF(F65&lt;&gt;"",SUM('CBL Score Standard'!$D122:$G122),IF(G65&lt;&gt;"",SUM('CBL Score Standard'!$D122:$H122,0))))))</f>
        <v>0</v>
      </c>
      <c r="I65" s="182">
        <f t="shared" si="4"/>
        <v>0</v>
      </c>
      <c r="J65" s="182">
        <f t="shared" si="5"/>
        <v>0</v>
      </c>
      <c r="K65" s="107"/>
      <c r="L65" s="205"/>
      <c r="M65" s="205"/>
      <c r="N65" s="306"/>
      <c r="O65" s="205"/>
      <c r="P65" s="205"/>
      <c r="Q65" s="205"/>
      <c r="R65" s="205"/>
    </row>
    <row r="66" spans="1:18"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0.79268292682926822</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c r="K69" s="205"/>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ht="12.75" customHeight="1" x14ac:dyDescent="0.3">
      <c r="C75" s="101"/>
      <c r="D75" s="101"/>
      <c r="E75" s="101"/>
      <c r="F75" s="101"/>
      <c r="G75" s="101"/>
    </row>
    <row r="76" spans="1:18"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85" showGridLines="0" fitToPage="1">
      <selection activeCell="C28" sqref="C28"/>
      <pageMargins left="0.25" right="0" top="0.25" bottom="0.25" header="0.3" footer="0"/>
      <pageSetup scale="30" fitToHeight="0" orientation="landscape" r:id="rId1"/>
    </customSheetView>
    <customSheetView guid="{040B64FF-F135-4C7F-9498-A8399C10673D}" scale="85" showGridLines="0" fitToPage="1">
      <selection activeCell="A7" sqref="A7:H68"/>
      <pageMargins left="0.25" right="0" top="0.25" bottom="0.25" header="0.3" footer="0"/>
      <pageSetup scale="30" fitToHeight="0" orientation="landscape" r:id="rId2"/>
    </customSheetView>
    <customSheetView guid="{3BEDB203-29A8-4A82-B140-5CE8D0753F8B}" scale="85"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7:G67"/>
    <mergeCell ref="A69:G69"/>
    <mergeCell ref="M2:M3"/>
    <mergeCell ref="N2:N3"/>
  </mergeCells>
  <conditionalFormatting sqref="C7:D7 F7:H7">
    <cfRule type="containsText" dxfId="153" priority="31" operator="containsText" text="N/A">
      <formula>NOT(ISERROR(SEARCH("N/A",C7)))</formula>
    </cfRule>
    <cfRule type="containsText" dxfId="152" priority="32" operator="containsText" text="Blank">
      <formula>NOT(ISERROR(SEARCH("Blank",C7)))</formula>
    </cfRule>
    <cfRule type="containsText" dxfId="151" priority="33" operator="containsText" text="M">
      <formula>NOT(ISERROR(SEARCH("M",C7)))</formula>
    </cfRule>
  </conditionalFormatting>
  <conditionalFormatting sqref="B67:B69 B7">
    <cfRule type="duplicateValues" dxfId="150" priority="30"/>
  </conditionalFormatting>
  <conditionalFormatting sqref="B30">
    <cfRule type="duplicateValues" dxfId="149" priority="13"/>
  </conditionalFormatting>
  <conditionalFormatting sqref="B55">
    <cfRule type="duplicateValues" dxfId="148" priority="12"/>
  </conditionalFormatting>
  <conditionalFormatting sqref="B13">
    <cfRule type="duplicateValues" dxfId="147" priority="11"/>
  </conditionalFormatting>
  <conditionalFormatting sqref="B56:B66 B31:B54 B8:B12 B14:B28">
    <cfRule type="duplicateValues" dxfId="146" priority="14"/>
  </conditionalFormatting>
  <conditionalFormatting sqref="B29">
    <cfRule type="duplicateValues" dxfId="145" priority="15"/>
  </conditionalFormatting>
  <conditionalFormatting sqref="O25">
    <cfRule type="duplicateValues" dxfId="144" priority="1"/>
  </conditionalFormatting>
  <conditionalFormatting sqref="O4:O9 O12:O18">
    <cfRule type="duplicateValues" dxfId="143" priority="10"/>
  </conditionalFormatting>
  <conditionalFormatting sqref="O10">
    <cfRule type="duplicateValues" dxfId="142" priority="9"/>
  </conditionalFormatting>
  <conditionalFormatting sqref="O11">
    <cfRule type="duplicateValues" dxfId="141" priority="8"/>
  </conditionalFormatting>
  <conditionalFormatting sqref="O19:O24 O32:O34 O26:O30">
    <cfRule type="duplicateValues" dxfId="140" priority="7"/>
  </conditionalFormatting>
  <conditionalFormatting sqref="O36:O52">
    <cfRule type="duplicateValues" dxfId="139" priority="6"/>
  </conditionalFormatting>
  <conditionalFormatting sqref="O35">
    <cfRule type="duplicateValues" dxfId="138" priority="5"/>
  </conditionalFormatting>
  <conditionalFormatting sqref="O53:O60">
    <cfRule type="duplicateValues" dxfId="137" priority="4"/>
  </conditionalFormatting>
  <conditionalFormatting sqref="O61:O64">
    <cfRule type="duplicateValues" dxfId="136" priority="3"/>
  </conditionalFormatting>
  <conditionalFormatting sqref="O31">
    <cfRule type="duplicateValues" dxfId="135"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2 T69:X1048576 T3:X18 T20:U64 W20:X64 V19:V64">
      <formula1>"M, O, N/A"</formula1>
    </dataValidation>
  </dataValidations>
  <pageMargins left="0.25" right="0" top="0.25" bottom="0.25" header="0.3" footer="0"/>
  <pageSetup scale="30" fitToHeight="0" orientation="landscape" r:id="rId4"/>
  <drawing r:id="rId5"/>
  <legacyDrawing r:id="rId6"/>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tabColor theme="8"/>
  </sheetPr>
  <dimension ref="A1:X197"/>
  <sheetViews>
    <sheetView showGridLines="0" topLeftCell="A43" zoomScale="70" zoomScaleNormal="70" workbookViewId="0">
      <pane xSplit="1" topLeftCell="P1" activePane="topRight" state="frozen"/>
      <selection pane="topRight" activeCell="S4" sqref="S4:X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1.4414062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3.25" customHeight="1" x14ac:dyDescent="0.3">
      <c r="A2" s="70" t="s">
        <v>357</v>
      </c>
      <c r="B2" s="58" t="s">
        <v>738</v>
      </c>
      <c r="C2" s="3"/>
      <c r="D2" s="3"/>
      <c r="E2" s="3"/>
      <c r="F2" s="3"/>
      <c r="G2" s="3"/>
      <c r="H2" s="3"/>
      <c r="J2" s="109" t="s">
        <v>398</v>
      </c>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t="s">
        <v>746</v>
      </c>
      <c r="C3" s="3"/>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t="e">
        <f ca="1">DATEDIF(B3,TODAY(),"D")/365</f>
        <v>#VALUE!</v>
      </c>
      <c r="C4" s="96"/>
      <c r="D4" s="3"/>
      <c r="E4" s="3"/>
      <c r="F4" s="3"/>
      <c r="G4" s="3"/>
      <c r="H4" s="3"/>
      <c r="K4" s="107" t="s">
        <v>141</v>
      </c>
      <c r="L4" s="107" t="s">
        <v>142</v>
      </c>
      <c r="M4" s="254" t="s">
        <v>5</v>
      </c>
      <c r="N4" s="255" t="s">
        <v>143</v>
      </c>
      <c r="O4" s="256" t="s">
        <v>362</v>
      </c>
      <c r="P4" s="258"/>
      <c r="Q4" s="261" t="s">
        <v>145</v>
      </c>
      <c r="R4" s="261" t="s">
        <v>211</v>
      </c>
      <c r="S4" s="237" t="s">
        <v>392</v>
      </c>
      <c r="T4" s="107" t="s">
        <v>72</v>
      </c>
      <c r="U4" s="307">
        <v>43760</v>
      </c>
      <c r="V4" s="107" t="s">
        <v>364</v>
      </c>
      <c r="W4" s="107" t="s">
        <v>367</v>
      </c>
      <c r="X4" s="107"/>
    </row>
    <row r="5" spans="1:24" ht="12.75" customHeight="1" x14ac:dyDescent="0.3">
      <c r="A5" s="70" t="s">
        <v>377</v>
      </c>
      <c r="B5" s="95">
        <v>7</v>
      </c>
      <c r="C5" s="3"/>
      <c r="D5" s="3"/>
      <c r="E5" s="3"/>
      <c r="F5" s="3"/>
      <c r="G5" s="3"/>
      <c r="H5" s="3"/>
      <c r="K5" s="107"/>
      <c r="L5" s="107"/>
      <c r="M5" s="254" t="s">
        <v>5</v>
      </c>
      <c r="N5" s="255" t="s">
        <v>143</v>
      </c>
      <c r="O5" s="256" t="s">
        <v>363</v>
      </c>
      <c r="P5" s="259" t="s">
        <v>144</v>
      </c>
      <c r="Q5" s="259" t="s">
        <v>149</v>
      </c>
      <c r="R5" s="259" t="s">
        <v>150</v>
      </c>
      <c r="S5" s="237" t="s">
        <v>397</v>
      </c>
      <c r="T5" s="107" t="s">
        <v>72</v>
      </c>
      <c r="U5" s="308"/>
      <c r="V5" s="107" t="s">
        <v>364</v>
      </c>
      <c r="W5" s="107"/>
      <c r="X5" s="107"/>
    </row>
    <row r="6" spans="1:24" thickBot="1" x14ac:dyDescent="0.35">
      <c r="A6" s="70" t="s">
        <v>378</v>
      </c>
      <c r="B6" s="95" t="e">
        <f ca="1">B4+B5</f>
        <v>#VALUE!</v>
      </c>
      <c r="C6" s="97"/>
      <c r="K6" s="107"/>
      <c r="L6" s="107"/>
      <c r="M6" s="254" t="s">
        <v>5</v>
      </c>
      <c r="N6" s="255" t="s">
        <v>148</v>
      </c>
      <c r="O6" s="256" t="s">
        <v>148</v>
      </c>
      <c r="P6" s="259" t="s">
        <v>144</v>
      </c>
      <c r="Q6" s="259" t="s">
        <v>149</v>
      </c>
      <c r="R6" s="259" t="s">
        <v>150</v>
      </c>
      <c r="S6" s="237" t="s">
        <v>392</v>
      </c>
      <c r="T6" s="107" t="s">
        <v>72</v>
      </c>
      <c r="U6" s="308">
        <v>43755</v>
      </c>
      <c r="V6" s="107" t="s">
        <v>382</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392</v>
      </c>
      <c r="T7" s="107" t="s">
        <v>72</v>
      </c>
      <c r="U7" s="308">
        <v>43760</v>
      </c>
      <c r="V7" s="107" t="s">
        <v>364</v>
      </c>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 t="shared" ref="I8:I39" si="0">VLOOKUP(B8,$O$4:$W$64,8,0)</f>
        <v>Passed</v>
      </c>
      <c r="J8" s="182">
        <f t="shared" ref="J8:J39" si="1">VLOOKUP(B8,$O$4:$W$64,9,0)</f>
        <v>0</v>
      </c>
      <c r="K8" s="107"/>
      <c r="L8" s="107"/>
      <c r="M8" s="254" t="s">
        <v>5</v>
      </c>
      <c r="N8" s="255" t="s">
        <v>678</v>
      </c>
      <c r="O8" s="257" t="s">
        <v>645</v>
      </c>
      <c r="P8" s="259" t="s">
        <v>144</v>
      </c>
      <c r="Q8" s="259" t="s">
        <v>152</v>
      </c>
      <c r="R8" s="259" t="s">
        <v>154</v>
      </c>
      <c r="S8" s="237"/>
      <c r="T8" s="107" t="s">
        <v>72</v>
      </c>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si="0"/>
        <v>Passed</v>
      </c>
      <c r="J9" s="182">
        <f t="shared" si="1"/>
        <v>0</v>
      </c>
      <c r="K9" s="107"/>
      <c r="L9" s="107"/>
      <c r="M9" s="254" t="s">
        <v>5</v>
      </c>
      <c r="N9" s="255" t="s">
        <v>678</v>
      </c>
      <c r="O9" s="257" t="s">
        <v>592</v>
      </c>
      <c r="P9" s="259" t="s">
        <v>144</v>
      </c>
      <c r="Q9" s="259" t="s">
        <v>153</v>
      </c>
      <c r="R9" s="259" t="s">
        <v>263</v>
      </c>
      <c r="S9" s="237" t="s">
        <v>392</v>
      </c>
      <c r="T9" s="107" t="s">
        <v>73</v>
      </c>
      <c r="U9" s="308">
        <v>43760</v>
      </c>
      <c r="V9" s="107" t="s">
        <v>364</v>
      </c>
      <c r="W9" s="107"/>
      <c r="X9" s="107"/>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t="s">
        <v>397</v>
      </c>
      <c r="T10" s="107" t="s">
        <v>73</v>
      </c>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392</v>
      </c>
      <c r="T13" s="107" t="s">
        <v>72</v>
      </c>
      <c r="U13" s="308">
        <v>44029</v>
      </c>
      <c r="V13" s="107" t="s">
        <v>364</v>
      </c>
      <c r="W13" s="107"/>
      <c r="X13" s="107"/>
    </row>
    <row r="14" spans="1:24" ht="13.8" x14ac:dyDescent="0.3">
      <c r="A14" s="213" t="s">
        <v>55</v>
      </c>
      <c r="B14" s="206" t="s">
        <v>617</v>
      </c>
      <c r="C14" s="240"/>
      <c r="D14" s="240"/>
      <c r="E14" s="240"/>
      <c r="F14" s="292"/>
      <c r="G14" s="292"/>
      <c r="H14" s="212" t="b">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t="s">
        <v>73</v>
      </c>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397</v>
      </c>
      <c r="T15" s="107" t="s">
        <v>73</v>
      </c>
      <c r="U15" s="308"/>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397</v>
      </c>
      <c r="T16" s="107" t="s">
        <v>73</v>
      </c>
      <c r="U16" s="308">
        <v>43627</v>
      </c>
      <c r="V16" s="107" t="s">
        <v>364</v>
      </c>
      <c r="W16" s="107"/>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t="s">
        <v>392</v>
      </c>
      <c r="T18" s="107" t="s">
        <v>72</v>
      </c>
      <c r="U18" s="308">
        <v>43755</v>
      </c>
      <c r="V18" s="107" t="s">
        <v>364</v>
      </c>
      <c r="W18" s="107"/>
      <c r="X18" s="107"/>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t="s">
        <v>392</v>
      </c>
      <c r="T19" s="296" t="s">
        <v>72</v>
      </c>
      <c r="U19" s="309">
        <v>43759</v>
      </c>
      <c r="V19" s="296" t="s">
        <v>364</v>
      </c>
    </row>
    <row r="20" spans="1:24" x14ac:dyDescent="0.3">
      <c r="A20" s="213" t="s">
        <v>55</v>
      </c>
      <c r="B20" s="206" t="s">
        <v>200</v>
      </c>
      <c r="C20" s="240"/>
      <c r="D20" s="240"/>
      <c r="E20" s="240" t="s">
        <v>77</v>
      </c>
      <c r="F20" s="240"/>
      <c r="G20" s="240"/>
      <c r="H20" s="212">
        <f>IF(C20&lt;&gt;"",'CBL Score Standard'!$D78,IF(D20&lt;&gt;"",SUM('CBL Score Standard'!$D78:$E78),IF(E20&lt;&gt;"",SUM('CBL Score Standard'!$D78:$F78),IF(F20&lt;&gt;"",SUM('CBL Score Standard'!$D78:$G78),IF(G20&lt;&gt;"",SUM('CBL Score Standard'!$D78:$H78,0))))))</f>
        <v>0</v>
      </c>
      <c r="I20" s="182" t="str">
        <f t="shared" si="0"/>
        <v>Passed</v>
      </c>
      <c r="J20" s="182">
        <f t="shared" si="1"/>
        <v>0</v>
      </c>
      <c r="K20" s="107"/>
      <c r="L20" s="107"/>
      <c r="M20" s="266" t="s">
        <v>6</v>
      </c>
      <c r="N20" s="267" t="s">
        <v>56</v>
      </c>
      <c r="O20" s="270" t="s">
        <v>180</v>
      </c>
      <c r="P20" s="272"/>
      <c r="Q20" s="269" t="s">
        <v>170</v>
      </c>
      <c r="R20" s="269" t="s">
        <v>651</v>
      </c>
      <c r="S20" s="237" t="s">
        <v>392</v>
      </c>
      <c r="T20" s="107" t="s">
        <v>72</v>
      </c>
      <c r="U20" s="308">
        <v>43760</v>
      </c>
      <c r="V20" s="107" t="s">
        <v>364</v>
      </c>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t="s">
        <v>397</v>
      </c>
      <c r="T21" s="107" t="s">
        <v>72</v>
      </c>
      <c r="U21" s="308"/>
      <c r="V21" s="107"/>
      <c r="W21" s="107"/>
      <c r="X21" s="107"/>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t="str">
        <f t="shared" si="0"/>
        <v>Passed</v>
      </c>
      <c r="J22" s="182">
        <f t="shared" si="1"/>
        <v>0</v>
      </c>
      <c r="K22" s="107"/>
      <c r="L22" s="107"/>
      <c r="M22" s="266" t="s">
        <v>6</v>
      </c>
      <c r="N22" s="267" t="s">
        <v>678</v>
      </c>
      <c r="O22" s="270" t="s">
        <v>186</v>
      </c>
      <c r="P22" s="274">
        <v>44392</v>
      </c>
      <c r="Q22" s="269" t="s">
        <v>153</v>
      </c>
      <c r="R22" s="269" t="s">
        <v>263</v>
      </c>
      <c r="S22" s="237" t="s">
        <v>397</v>
      </c>
      <c r="T22" s="107" t="s">
        <v>73</v>
      </c>
      <c r="U22" s="308">
        <v>43760</v>
      </c>
      <c r="V22" s="107" t="s">
        <v>364</v>
      </c>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t="s">
        <v>397</v>
      </c>
      <c r="T23" s="107" t="s">
        <v>73</v>
      </c>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t="s">
        <v>392</v>
      </c>
      <c r="T24" s="107"/>
      <c r="U24" s="308">
        <v>44088</v>
      </c>
      <c r="V24" s="107" t="s">
        <v>364</v>
      </c>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t="s">
        <v>77</v>
      </c>
      <c r="F26" s="292"/>
      <c r="G26" s="292"/>
      <c r="H26" s="212">
        <f>IF(C26&lt;&gt;"",'CBL Score Standard'!$D84,IF(D26&lt;&gt;"",SUM('CBL Score Standard'!$D84:$E84),IF(E26&lt;&gt;"",SUM('CBL Score Standard'!$D84:$F84),IF(F26&lt;&gt;"",SUM('CBL Score Standard'!$D84:$G84),IF(G26&lt;&gt;"",SUM('CBL Score Standard'!$D84:$H84,0))))))</f>
        <v>0</v>
      </c>
      <c r="I26" s="182" t="str">
        <f t="shared" si="0"/>
        <v>Passed</v>
      </c>
      <c r="J26" s="182">
        <f t="shared" si="1"/>
        <v>0</v>
      </c>
      <c r="K26" s="107"/>
      <c r="L26" s="107"/>
      <c r="M26" s="266" t="s">
        <v>6</v>
      </c>
      <c r="N26" s="267" t="s">
        <v>55</v>
      </c>
      <c r="O26" s="270" t="s">
        <v>190</v>
      </c>
      <c r="P26" s="272"/>
      <c r="Q26" s="269" t="s">
        <v>373</v>
      </c>
      <c r="R26" s="269" t="s">
        <v>331</v>
      </c>
      <c r="S26" s="237" t="s">
        <v>397</v>
      </c>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t="s">
        <v>73</v>
      </c>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t="s">
        <v>73</v>
      </c>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f t="shared" si="1"/>
        <v>0</v>
      </c>
      <c r="K29" s="107"/>
      <c r="L29" s="107"/>
      <c r="M29" s="266" t="s">
        <v>6</v>
      </c>
      <c r="N29" s="267" t="s">
        <v>55</v>
      </c>
      <c r="O29" s="270" t="s">
        <v>196</v>
      </c>
      <c r="P29" s="272"/>
      <c r="Q29" s="269" t="s">
        <v>197</v>
      </c>
      <c r="R29" s="269" t="s">
        <v>256</v>
      </c>
      <c r="S29" s="237"/>
      <c r="T29" s="107" t="s">
        <v>72</v>
      </c>
      <c r="U29" s="308"/>
      <c r="V29" s="107" t="s">
        <v>364</v>
      </c>
      <c r="W29" s="107"/>
      <c r="X29" s="107" t="s">
        <v>367</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f t="shared" si="1"/>
        <v>0</v>
      </c>
      <c r="K30" s="107"/>
      <c r="L30" s="107"/>
      <c r="M30" s="266" t="s">
        <v>6</v>
      </c>
      <c r="N30" s="267" t="s">
        <v>55</v>
      </c>
      <c r="O30" s="270" t="s">
        <v>200</v>
      </c>
      <c r="P30" s="272"/>
      <c r="Q30" s="269" t="s">
        <v>374</v>
      </c>
      <c r="R30" s="269" t="s">
        <v>375</v>
      </c>
      <c r="S30" s="107" t="s">
        <v>397</v>
      </c>
      <c r="T30" s="107" t="s">
        <v>73</v>
      </c>
      <c r="U30" s="308">
        <v>43628</v>
      </c>
      <c r="V30" s="107" t="s">
        <v>364</v>
      </c>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Failed</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t="s">
        <v>478</v>
      </c>
      <c r="T32" s="107"/>
      <c r="U32" s="308">
        <v>43761</v>
      </c>
      <c r="V32" s="107" t="s">
        <v>364</v>
      </c>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c r="X33" s="107"/>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c r="T34" s="107"/>
      <c r="U34" s="308"/>
      <c r="V34" s="107" t="s">
        <v>364</v>
      </c>
      <c r="W34" s="107"/>
      <c r="X34" s="107" t="s">
        <v>367</v>
      </c>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f t="shared" si="1"/>
        <v>0</v>
      </c>
      <c r="K36" s="107"/>
      <c r="L36" s="107"/>
      <c r="M36" s="275" t="s">
        <v>7</v>
      </c>
      <c r="N36" s="276" t="s">
        <v>56</v>
      </c>
      <c r="O36" s="277" t="s">
        <v>213</v>
      </c>
      <c r="P36" s="280"/>
      <c r="Q36" s="280" t="s">
        <v>162</v>
      </c>
      <c r="R36" s="280" t="s">
        <v>317</v>
      </c>
      <c r="S36" s="237"/>
      <c r="T36" s="107" t="s">
        <v>72</v>
      </c>
      <c r="U36" s="308"/>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t="s">
        <v>392</v>
      </c>
      <c r="T37" s="107" t="s">
        <v>72</v>
      </c>
      <c r="U37" s="308">
        <v>44049</v>
      </c>
      <c r="V37" s="107" t="s">
        <v>364</v>
      </c>
      <c r="W37" s="237"/>
      <c r="X37" s="107"/>
    </row>
    <row r="38" spans="1:24" ht="23.4" customHeight="1" x14ac:dyDescent="0.3">
      <c r="A38" s="213" t="s">
        <v>54</v>
      </c>
      <c r="B38" s="206" t="s">
        <v>388</v>
      </c>
      <c r="C38" s="292"/>
      <c r="D38" s="292"/>
      <c r="E38" s="292"/>
      <c r="F38" s="292"/>
      <c r="G38" s="292"/>
      <c r="H38" s="212" t="b">
        <f>IF(C38&lt;&gt;"",'CBL Score Standard'!$D96,IF(D38&lt;&gt;"",SUM('CBL Score Standard'!$D96:$E96),IF(E38&lt;&gt;"",SUM('CBL Score Standard'!$D96:$F96),IF(F38&lt;&gt;"",SUM('CBL Score Standard'!$D96:$G96),IF(G38&lt;&gt;"",SUM('CBL Score Standard'!$D96:$H96,0))))))</f>
        <v>0</v>
      </c>
      <c r="I38" s="182">
        <f t="shared" si="0"/>
        <v>0</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t="s">
        <v>397</v>
      </c>
      <c r="T41" s="107"/>
      <c r="U41" s="308"/>
      <c r="V41" s="107" t="s">
        <v>364</v>
      </c>
      <c r="W41" s="107"/>
      <c r="X41" s="107"/>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2"/>
        <v>Passed</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t="s">
        <v>397</v>
      </c>
      <c r="T43" s="107"/>
      <c r="U43" s="308">
        <v>43626</v>
      </c>
      <c r="V43" s="107" t="s">
        <v>364</v>
      </c>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392</v>
      </c>
      <c r="T44" s="107"/>
      <c r="U44" s="308">
        <v>44008</v>
      </c>
      <c r="V44" s="107" t="s">
        <v>364</v>
      </c>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t="str">
        <f t="shared" si="2"/>
        <v>Passed</v>
      </c>
      <c r="J45" s="182">
        <f t="shared" si="3"/>
        <v>0</v>
      </c>
      <c r="K45" s="107"/>
      <c r="L45" s="107"/>
      <c r="M45" s="275" t="s">
        <v>7</v>
      </c>
      <c r="N45" s="276" t="s">
        <v>56</v>
      </c>
      <c r="O45" s="278" t="s">
        <v>659</v>
      </c>
      <c r="P45" s="283"/>
      <c r="Q45" s="280" t="s">
        <v>575</v>
      </c>
      <c r="R45" s="280" t="s">
        <v>265</v>
      </c>
      <c r="S45" s="237"/>
      <c r="T45" s="107" t="s">
        <v>72</v>
      </c>
      <c r="U45" s="107"/>
      <c r="V45" s="107"/>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2"/>
        <v>Passed</v>
      </c>
      <c r="J46" s="182">
        <f t="shared" si="3"/>
        <v>0</v>
      </c>
      <c r="K46" s="107"/>
      <c r="L46" s="107"/>
      <c r="M46" s="275" t="s">
        <v>7</v>
      </c>
      <c r="N46" s="276" t="s">
        <v>55</v>
      </c>
      <c r="O46" s="278" t="s">
        <v>1</v>
      </c>
      <c r="P46" s="283"/>
      <c r="Q46" s="280" t="s">
        <v>577</v>
      </c>
      <c r="R46" s="280" t="s">
        <v>477</v>
      </c>
      <c r="S46" s="237"/>
      <c r="T46" s="107" t="s">
        <v>72</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t="s">
        <v>72</v>
      </c>
      <c r="U47" s="308"/>
      <c r="V47" s="107" t="s">
        <v>364</v>
      </c>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2"/>
        <v>Passed</v>
      </c>
      <c r="J48" s="182" t="str">
        <f t="shared" si="3"/>
        <v>Y</v>
      </c>
      <c r="K48" s="107"/>
      <c r="L48" s="107"/>
      <c r="M48" s="275" t="s">
        <v>7</v>
      </c>
      <c r="N48" s="276" t="s">
        <v>56</v>
      </c>
      <c r="O48" s="278" t="s">
        <v>385</v>
      </c>
      <c r="P48" s="280"/>
      <c r="Q48" s="280" t="s">
        <v>387</v>
      </c>
      <c r="R48" s="280" t="s">
        <v>386</v>
      </c>
      <c r="S48" s="237"/>
      <c r="T48" s="107"/>
      <c r="U48" s="308">
        <v>43669</v>
      </c>
      <c r="V48" s="107" t="s">
        <v>364</v>
      </c>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2"/>
        <v>Passed</v>
      </c>
      <c r="J49" s="182">
        <f t="shared" si="3"/>
        <v>0</v>
      </c>
      <c r="K49" s="107"/>
      <c r="L49" s="107"/>
      <c r="M49" s="275" t="s">
        <v>7</v>
      </c>
      <c r="N49" s="276" t="s">
        <v>54</v>
      </c>
      <c r="O49" s="278" t="s">
        <v>229</v>
      </c>
      <c r="P49" s="283"/>
      <c r="Q49" s="280" t="s">
        <v>665</v>
      </c>
      <c r="R49" s="280" t="s">
        <v>574</v>
      </c>
      <c r="S49" s="107"/>
      <c r="T49" s="107"/>
      <c r="U49" s="308"/>
      <c r="V49" s="107"/>
      <c r="W49" s="107"/>
      <c r="X49" s="3" t="s">
        <v>745</v>
      </c>
    </row>
    <row r="50" spans="1:24" ht="13.8" x14ac:dyDescent="0.3">
      <c r="A50" s="213" t="s">
        <v>643</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2"/>
        <v>Passed</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2"/>
        <v>0</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f t="shared" si="2"/>
        <v>0</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2"/>
        <v>Passed</v>
      </c>
      <c r="J59" s="182">
        <f t="shared" si="3"/>
        <v>0</v>
      </c>
      <c r="K59" s="107"/>
      <c r="L59" s="107"/>
      <c r="M59" s="284" t="s">
        <v>8</v>
      </c>
      <c r="N59" s="285" t="s">
        <v>55</v>
      </c>
      <c r="O59" s="279" t="s">
        <v>473</v>
      </c>
      <c r="P59" s="286" t="s">
        <v>228</v>
      </c>
      <c r="Q59" s="286" t="s">
        <v>672</v>
      </c>
      <c r="R59" s="286"/>
      <c r="S59" s="107" t="s">
        <v>392</v>
      </c>
      <c r="T59" s="107"/>
      <c r="U59" s="307">
        <v>44042.458333333336</v>
      </c>
      <c r="V59" s="107" t="s">
        <v>364</v>
      </c>
      <c r="W59" s="107"/>
      <c r="X59" s="107"/>
    </row>
    <row r="60" spans="1:24" x14ac:dyDescent="0.3">
      <c r="A60" s="213" t="s">
        <v>643</v>
      </c>
      <c r="B60" s="206" t="s">
        <v>739</v>
      </c>
      <c r="C60" s="240"/>
      <c r="D60" s="240"/>
      <c r="E60" s="292"/>
      <c r="F60" s="292"/>
      <c r="G60" s="292"/>
      <c r="H60" s="212"/>
      <c r="I60" s="182" t="str">
        <f t="shared" ref="I60:I65" si="4">VLOOKUP(B61,$O$4:$W$64,8,0)</f>
        <v>Passed</v>
      </c>
      <c r="J60" s="182">
        <f t="shared" ref="J60:J65" si="5">VLOOKUP(B61,$O$4:$W$64,9,0)</f>
        <v>0</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c r="E61" s="292"/>
      <c r="F61" s="292"/>
      <c r="G61" s="292"/>
      <c r="H61" s="212" t="b">
        <f>IF(C61&lt;&gt;"",'CBL Score Standard'!$D118,IF(D61&lt;&gt;"",SUM('CBL Score Standard'!$D118:$E118),IF(E61&lt;&gt;"",SUM('CBL Score Standard'!$D118:$F118),IF(F61&lt;&gt;"",SUM('CBL Score Standard'!$D118:$G118),IF(G61&lt;&gt;"",SUM('CBL Score Standard'!$D118:$H118,0))))))</f>
        <v>0</v>
      </c>
      <c r="I61" s="182" t="str">
        <f t="shared" si="4"/>
        <v>Passed</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c r="G65" s="292"/>
      <c r="H65" s="212" t="b">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2.0203832752613242</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autoFilter ref="A7:G76"/>
  <customSheetViews>
    <customSheetView guid="{6D9FC8F7-6352-4BF1-890A-27BF36FADC03}" scale="70" showGridLines="0" showAutoFilter="1">
      <pane xSplit="1" topLeftCell="B1" activePane="topRight" state="frozen"/>
      <selection pane="topRight" activeCell="A7" sqref="A7:H68"/>
      <pageMargins left="0.7" right="0.7" top="0.75" bottom="0.75" header="0.3" footer="0.3"/>
      <pageSetup orientation="portrait" r:id="rId1"/>
      <autoFilter ref="A7:G75"/>
    </customSheetView>
    <customSheetView guid="{040B64FF-F135-4C7F-9498-A8399C10673D}" scale="70" showGridLines="0" showAutoFilter="1">
      <pane xSplit="1" topLeftCell="B1" activePane="topRight" state="frozen"/>
      <selection pane="topRight" activeCell="A7" sqref="A7:H68"/>
      <pageMargins left="0.7" right="0.7" top="0.75" bottom="0.75" header="0.3" footer="0.3"/>
      <pageSetup orientation="portrait" r:id="rId2"/>
      <autoFilter ref="A7:G75"/>
    </customSheetView>
    <customSheetView guid="{3BEDB203-29A8-4A82-B140-5CE8D0753F8B}" scale="70" showGridLines="0" showAutoFilter="1">
      <pane xSplit="1" topLeftCell="B1" activePane="topRight" state="frozen"/>
      <selection pane="topRight" activeCell="A7" sqref="A7:H68"/>
      <pageMargins left="0.7" right="0.7" top="0.75" bottom="0.75" header="0.3" footer="0.3"/>
      <pageSetup orientation="portrait" r:id="rId3"/>
      <autoFilter ref="A7:G75"/>
    </customSheetView>
  </customSheetViews>
  <mergeCells count="6">
    <mergeCell ref="A1:H1"/>
    <mergeCell ref="A69:G69"/>
    <mergeCell ref="M2:M3"/>
    <mergeCell ref="N2:N3"/>
    <mergeCell ref="S2:S3"/>
    <mergeCell ref="A67:G67"/>
  </mergeCells>
  <conditionalFormatting sqref="C7:D7 F7:H7">
    <cfRule type="containsText" dxfId="134" priority="31" operator="containsText" text="N/A">
      <formula>NOT(ISERROR(SEARCH("N/A",C7)))</formula>
    </cfRule>
    <cfRule type="containsText" dxfId="133" priority="32" operator="containsText" text="Blank">
      <formula>NOT(ISERROR(SEARCH("Blank",C7)))</formula>
    </cfRule>
    <cfRule type="containsText" dxfId="132" priority="33" operator="containsText" text="M">
      <formula>NOT(ISERROR(SEARCH("M",C7)))</formula>
    </cfRule>
  </conditionalFormatting>
  <conditionalFormatting sqref="B67:B69 B7">
    <cfRule type="duplicateValues" dxfId="131" priority="30"/>
  </conditionalFormatting>
  <conditionalFormatting sqref="B30">
    <cfRule type="duplicateValues" dxfId="130" priority="13"/>
  </conditionalFormatting>
  <conditionalFormatting sqref="B55">
    <cfRule type="duplicateValues" dxfId="129" priority="12"/>
  </conditionalFormatting>
  <conditionalFormatting sqref="B13">
    <cfRule type="duplicateValues" dxfId="128" priority="11"/>
  </conditionalFormatting>
  <conditionalFormatting sqref="B56:B66 B31:B54 B8:B12 B14:B28">
    <cfRule type="duplicateValues" dxfId="127" priority="14"/>
  </conditionalFormatting>
  <conditionalFormatting sqref="B29">
    <cfRule type="duplicateValues" dxfId="126" priority="15"/>
  </conditionalFormatting>
  <conditionalFormatting sqref="O25">
    <cfRule type="duplicateValues" dxfId="125" priority="1"/>
  </conditionalFormatting>
  <conditionalFormatting sqref="O4:O9 O12:O18">
    <cfRule type="duplicateValues" dxfId="124" priority="10"/>
  </conditionalFormatting>
  <conditionalFormatting sqref="O10">
    <cfRule type="duplicateValues" dxfId="123" priority="9"/>
  </conditionalFormatting>
  <conditionalFormatting sqref="O11">
    <cfRule type="duplicateValues" dxfId="122" priority="8"/>
  </conditionalFormatting>
  <conditionalFormatting sqref="O19:O24 O32:O34 O26:O30">
    <cfRule type="duplicateValues" dxfId="121" priority="7"/>
  </conditionalFormatting>
  <conditionalFormatting sqref="O36:O52">
    <cfRule type="duplicateValues" dxfId="120" priority="6"/>
  </conditionalFormatting>
  <conditionalFormatting sqref="O35">
    <cfRule type="duplicateValues" dxfId="119" priority="5"/>
  </conditionalFormatting>
  <conditionalFormatting sqref="O53:O60">
    <cfRule type="duplicateValues" dxfId="118" priority="4"/>
  </conditionalFormatting>
  <conditionalFormatting sqref="O61:O64">
    <cfRule type="duplicateValues" dxfId="117" priority="3"/>
  </conditionalFormatting>
  <conditionalFormatting sqref="O31">
    <cfRule type="duplicateValues" dxfId="116"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69:X1048576 T2 T3:X18 T20:W64 X20:X48 X50:X64">
      <formula1>"M, O, N/A"</formula1>
    </dataValidation>
  </dataValidations>
  <hyperlinks>
    <hyperlink ref="J2" location="Summary!A1" display="Summary"/>
  </hyperlinks>
  <pageMargins left="0.7" right="0.7" top="0.75" bottom="0.75" header="0.3" footer="0.3"/>
  <pageSetup orientation="portrait" r:id="rId4"/>
  <drawing r:id="rId5"/>
  <legacyDrawing r:id="rId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tabColor theme="8"/>
  </sheetPr>
  <dimension ref="A1:X197"/>
  <sheetViews>
    <sheetView showGridLines="0" topLeftCell="J1" zoomScale="70" zoomScaleNormal="70" workbookViewId="0">
      <selection activeCell="X63" sqref="S4:X63"/>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3.25" customHeight="1" x14ac:dyDescent="0.3">
      <c r="A2" s="70" t="s">
        <v>357</v>
      </c>
      <c r="B2" s="58" t="s">
        <v>313</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43549</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1.8712328767123287</v>
      </c>
      <c r="C4" s="3"/>
      <c r="D4" s="3"/>
      <c r="E4" s="3"/>
      <c r="F4" s="3"/>
      <c r="G4" s="3"/>
      <c r="H4" s="3"/>
      <c r="K4" s="107" t="s">
        <v>141</v>
      </c>
      <c r="L4" s="107" t="s">
        <v>142</v>
      </c>
      <c r="M4" s="254" t="s">
        <v>5</v>
      </c>
      <c r="N4" s="255" t="s">
        <v>143</v>
      </c>
      <c r="O4" s="256" t="s">
        <v>362</v>
      </c>
      <c r="P4" s="258"/>
      <c r="Q4" s="261" t="s">
        <v>145</v>
      </c>
      <c r="R4" s="261" t="s">
        <v>211</v>
      </c>
      <c r="S4" s="237" t="s">
        <v>476</v>
      </c>
      <c r="T4" s="107" t="s">
        <v>72</v>
      </c>
      <c r="U4" s="307">
        <v>43760</v>
      </c>
      <c r="V4" s="107" t="s">
        <v>364</v>
      </c>
      <c r="W4" s="107"/>
      <c r="X4" s="107"/>
    </row>
    <row r="5" spans="1:24" ht="12.75" customHeight="1" x14ac:dyDescent="0.3">
      <c r="A5" s="70" t="s">
        <v>377</v>
      </c>
      <c r="B5" s="95">
        <v>2.75</v>
      </c>
      <c r="C5" s="97"/>
      <c r="D5" s="3"/>
      <c r="E5" s="3"/>
      <c r="F5" s="3"/>
      <c r="G5" s="3"/>
      <c r="H5" s="3"/>
      <c r="K5" s="107"/>
      <c r="L5" s="107"/>
      <c r="M5" s="254" t="s">
        <v>5</v>
      </c>
      <c r="N5" s="255" t="s">
        <v>143</v>
      </c>
      <c r="O5" s="256" t="s">
        <v>363</v>
      </c>
      <c r="P5" s="259" t="s">
        <v>144</v>
      </c>
      <c r="Q5" s="259" t="s">
        <v>149</v>
      </c>
      <c r="R5" s="259" t="s">
        <v>150</v>
      </c>
      <c r="S5" s="237" t="s">
        <v>313</v>
      </c>
      <c r="T5" s="107" t="s">
        <v>72</v>
      </c>
      <c r="U5" s="308"/>
      <c r="V5" s="107"/>
      <c r="W5" s="107"/>
      <c r="X5" s="107"/>
    </row>
    <row r="6" spans="1:24" thickBot="1" x14ac:dyDescent="0.35">
      <c r="A6" s="70" t="s">
        <v>378</v>
      </c>
      <c r="B6" s="95">
        <f ca="1">B4+B5</f>
        <v>4.6212328767123285</v>
      </c>
      <c r="C6" s="97"/>
      <c r="K6" s="107"/>
      <c r="L6" s="107"/>
      <c r="M6" s="254" t="s">
        <v>5</v>
      </c>
      <c r="N6" s="255" t="s">
        <v>148</v>
      </c>
      <c r="O6" s="256" t="s">
        <v>148</v>
      </c>
      <c r="P6" s="259" t="s">
        <v>144</v>
      </c>
      <c r="Q6" s="259" t="s">
        <v>149</v>
      </c>
      <c r="R6" s="259" t="s">
        <v>150</v>
      </c>
      <c r="S6" s="237" t="s">
        <v>476</v>
      </c>
      <c r="T6" s="107" t="s">
        <v>72</v>
      </c>
      <c r="U6" s="308">
        <v>43755</v>
      </c>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476</v>
      </c>
      <c r="T7" s="107" t="s">
        <v>72</v>
      </c>
      <c r="U7" s="308">
        <v>43760</v>
      </c>
      <c r="V7" s="107" t="s">
        <v>364</v>
      </c>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 t="shared" ref="I8:I39" si="0">VLOOKUP(B8,$O$4:$W$64,8,0)</f>
        <v>Passed</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si="0"/>
        <v>Passed</v>
      </c>
      <c r="J9" s="182">
        <f t="shared" si="1"/>
        <v>0</v>
      </c>
      <c r="K9" s="107"/>
      <c r="L9" s="107"/>
      <c r="M9" s="254" t="s">
        <v>5</v>
      </c>
      <c r="N9" s="255" t="s">
        <v>678</v>
      </c>
      <c r="O9" s="257" t="s">
        <v>592</v>
      </c>
      <c r="P9" s="259" t="s">
        <v>144</v>
      </c>
      <c r="Q9" s="259" t="s">
        <v>153</v>
      </c>
      <c r="R9" s="259" t="s">
        <v>263</v>
      </c>
      <c r="S9" s="237" t="s">
        <v>313</v>
      </c>
      <c r="T9" s="107" t="s">
        <v>73</v>
      </c>
      <c r="U9" s="308"/>
      <c r="V9" s="107" t="s">
        <v>364</v>
      </c>
      <c r="W9" s="107"/>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f t="shared" si="1"/>
        <v>0</v>
      </c>
      <c r="K10" s="107"/>
      <c r="L10" s="107"/>
      <c r="M10" s="254" t="s">
        <v>5</v>
      </c>
      <c r="N10" s="255" t="s">
        <v>678</v>
      </c>
      <c r="O10" s="257" t="s">
        <v>593</v>
      </c>
      <c r="P10" s="259" t="s">
        <v>144</v>
      </c>
      <c r="Q10" s="259" t="s">
        <v>590</v>
      </c>
      <c r="R10" s="259" t="s">
        <v>274</v>
      </c>
      <c r="S10" s="237"/>
      <c r="T10" s="107"/>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476</v>
      </c>
      <c r="T13" s="107" t="s">
        <v>72</v>
      </c>
      <c r="U13" s="308">
        <v>43755</v>
      </c>
      <c r="V13" s="107" t="s">
        <v>364</v>
      </c>
      <c r="W13" s="107"/>
      <c r="X13" s="107"/>
    </row>
    <row r="14" spans="1:24" ht="13.8" x14ac:dyDescent="0.3">
      <c r="A14" s="213" t="s">
        <v>55</v>
      </c>
      <c r="B14" s="206" t="s">
        <v>617</v>
      </c>
      <c r="C14" s="240"/>
      <c r="D14" s="240"/>
      <c r="E14" s="240"/>
      <c r="F14" s="292"/>
      <c r="G14" s="292"/>
      <c r="H14" s="212" t="b">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313</v>
      </c>
      <c r="T15" s="107" t="s">
        <v>72</v>
      </c>
      <c r="U15" s="308">
        <v>43658</v>
      </c>
      <c r="V15" s="107" t="s">
        <v>364</v>
      </c>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313</v>
      </c>
      <c r="T16" s="107" t="s">
        <v>72</v>
      </c>
      <c r="U16" s="308">
        <v>43627</v>
      </c>
      <c r="V16" s="107" t="s">
        <v>364</v>
      </c>
      <c r="W16" s="107"/>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t="s">
        <v>77</v>
      </c>
      <c r="F18" s="240"/>
      <c r="G18" s="240"/>
      <c r="H18" s="212">
        <f>IF(C18&lt;&gt;"",'CBL Score Standard'!$D76,IF(D18&lt;&gt;"",SUM('CBL Score Standard'!$D76:$E76),IF(E18&lt;&gt;"",SUM('CBL Score Standard'!$D76:$F76),IF(F18&lt;&gt;"",SUM('CBL Score Standard'!$D76:$G76),IF(G18&lt;&gt;"",SUM('CBL Score Standard'!$D76:$H76,0))))))</f>
        <v>0</v>
      </c>
      <c r="I18" s="182" t="str">
        <f t="shared" si="0"/>
        <v>Passed</v>
      </c>
      <c r="J18" s="182">
        <f t="shared" si="1"/>
        <v>0</v>
      </c>
      <c r="K18" s="107"/>
      <c r="L18" s="107"/>
      <c r="M18" s="254" t="s">
        <v>5</v>
      </c>
      <c r="N18" s="255" t="s">
        <v>46</v>
      </c>
      <c r="O18" s="252" t="s">
        <v>169</v>
      </c>
      <c r="P18" s="260"/>
      <c r="Q18" s="262" t="s">
        <v>170</v>
      </c>
      <c r="R18" s="262" t="s">
        <v>651</v>
      </c>
      <c r="S18" s="107" t="s">
        <v>476</v>
      </c>
      <c r="T18" s="107" t="s">
        <v>72</v>
      </c>
      <c r="U18" s="308">
        <v>43755</v>
      </c>
      <c r="V18" s="107" t="s">
        <v>364</v>
      </c>
      <c r="W18" s="107"/>
      <c r="X18" s="107"/>
    </row>
    <row r="19" spans="1:24" x14ac:dyDescent="0.3">
      <c r="A19" s="213" t="s">
        <v>55</v>
      </c>
      <c r="B19" s="206" t="s">
        <v>196</v>
      </c>
      <c r="C19" s="240"/>
      <c r="D19" s="240"/>
      <c r="E19" s="240" t="s">
        <v>77</v>
      </c>
      <c r="F19" s="240"/>
      <c r="G19" s="240"/>
      <c r="H19" s="212">
        <f>IF(C19&lt;&gt;"",'CBL Score Standard'!$D77,IF(D19&lt;&gt;"",SUM('CBL Score Standard'!$D77:$E77),IF(E19&lt;&gt;"",SUM('CBL Score Standard'!$D77:$F77),IF(F19&lt;&gt;"",SUM('CBL Score Standard'!$D77:$G77),IF(G19&lt;&gt;"",SUM('CBL Score Standard'!$D77:$H77,0))))))</f>
        <v>0</v>
      </c>
      <c r="I19" s="182" t="str">
        <f t="shared" si="0"/>
        <v>Passed</v>
      </c>
      <c r="J19" s="182">
        <f t="shared" si="1"/>
        <v>0</v>
      </c>
      <c r="K19" s="107" t="s">
        <v>141</v>
      </c>
      <c r="L19" s="107" t="s">
        <v>142</v>
      </c>
      <c r="M19" s="266" t="s">
        <v>6</v>
      </c>
      <c r="N19" s="267" t="s">
        <v>41</v>
      </c>
      <c r="O19" s="268" t="s">
        <v>176</v>
      </c>
      <c r="P19" s="272"/>
      <c r="Q19" s="269" t="s">
        <v>177</v>
      </c>
      <c r="R19" s="269" t="s">
        <v>344</v>
      </c>
      <c r="S19" s="302" t="s">
        <v>476</v>
      </c>
      <c r="T19" s="296" t="s">
        <v>72</v>
      </c>
      <c r="U19" s="309">
        <v>43759</v>
      </c>
      <c r="V19" s="296" t="s">
        <v>364</v>
      </c>
    </row>
    <row r="20" spans="1:24" x14ac:dyDescent="0.3">
      <c r="A20" s="213" t="s">
        <v>55</v>
      </c>
      <c r="B20" s="206" t="s">
        <v>200</v>
      </c>
      <c r="C20" s="240"/>
      <c r="D20" s="240"/>
      <c r="E20" s="240" t="s">
        <v>77</v>
      </c>
      <c r="F20" s="240"/>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651</v>
      </c>
      <c r="S20" s="237" t="s">
        <v>313</v>
      </c>
      <c r="T20" s="107" t="s">
        <v>72</v>
      </c>
      <c r="U20" s="308">
        <v>43609</v>
      </c>
      <c r="V20" s="107" t="s">
        <v>364</v>
      </c>
      <c r="W20" s="107"/>
      <c r="X20" s="107" t="s">
        <v>367</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t="s">
        <v>313</v>
      </c>
      <c r="T21" s="107" t="s">
        <v>72</v>
      </c>
      <c r="U21" s="308"/>
      <c r="V21" s="107"/>
      <c r="W21" s="107"/>
      <c r="X21" s="107"/>
    </row>
    <row r="22" spans="1:24" x14ac:dyDescent="0.3">
      <c r="A22" s="213" t="s">
        <v>55</v>
      </c>
      <c r="B22" s="206" t="s">
        <v>595</v>
      </c>
      <c r="C22" s="240"/>
      <c r="D22" s="240"/>
      <c r="E22" s="292"/>
      <c r="F22" s="292"/>
      <c r="G22" s="292"/>
      <c r="H22" s="212" t="b">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678</v>
      </c>
      <c r="O22" s="270" t="s">
        <v>186</v>
      </c>
      <c r="P22" s="274">
        <v>44392</v>
      </c>
      <c r="Q22" s="269" t="s">
        <v>153</v>
      </c>
      <c r="R22" s="269" t="s">
        <v>263</v>
      </c>
      <c r="S22" s="237"/>
      <c r="T22" s="107" t="s">
        <v>72</v>
      </c>
      <c r="U22" s="308"/>
      <c r="V22" s="107"/>
      <c r="W22" s="107"/>
      <c r="X22" s="107"/>
    </row>
    <row r="23" spans="1:24" ht="12.75" customHeight="1" x14ac:dyDescent="0.3">
      <c r="A23" s="213" t="s">
        <v>55</v>
      </c>
      <c r="B23" s="206" t="s">
        <v>410</v>
      </c>
      <c r="C23" s="240"/>
      <c r="D23" s="240"/>
      <c r="E23" s="240"/>
      <c r="F23" s="292"/>
      <c r="G23" s="292"/>
      <c r="H23" s="212" t="b">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c r="T23" s="107" t="s">
        <v>73</v>
      </c>
      <c r="U23" s="308"/>
      <c r="V23" s="107"/>
      <c r="W23" s="107"/>
      <c r="X23" s="107"/>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678</v>
      </c>
      <c r="O24" s="270" t="s">
        <v>189</v>
      </c>
      <c r="P24" s="274"/>
      <c r="Q24" s="269" t="s">
        <v>225</v>
      </c>
      <c r="R24" s="269" t="s">
        <v>340</v>
      </c>
      <c r="S24" s="237" t="s">
        <v>476</v>
      </c>
      <c r="T24" s="107" t="s">
        <v>72</v>
      </c>
      <c r="U24" s="308">
        <v>44088</v>
      </c>
      <c r="V24" s="107" t="s">
        <v>364</v>
      </c>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t="s">
        <v>73</v>
      </c>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t="s">
        <v>73</v>
      </c>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t="s">
        <v>72</v>
      </c>
      <c r="U28" s="308"/>
      <c r="V28" s="107" t="s">
        <v>364</v>
      </c>
      <c r="W28" s="107"/>
      <c r="X28" s="107" t="s">
        <v>367</v>
      </c>
    </row>
    <row r="29" spans="1:24" x14ac:dyDescent="0.3">
      <c r="A29" s="213" t="s">
        <v>59</v>
      </c>
      <c r="B29" s="206" t="s">
        <v>614</v>
      </c>
      <c r="C29" s="240"/>
      <c r="D29" s="240"/>
      <c r="E29" s="292"/>
      <c r="F29" s="292"/>
      <c r="G29" s="292"/>
      <c r="H29" s="212" t="b">
        <f>IF(C29&lt;&gt;"",'CBL Score Standard'!$D87,IF(D29&lt;&gt;"",SUM('CBL Score Standard'!$D87:$E87),IF(E29&lt;&gt;"",SUM('CBL Score Standard'!$D87:$F87),IF(F29&lt;&gt;"",SUM('CBL Score Standard'!$D87:$G87),IF(G29&lt;&gt;"",SUM('CBL Score Standard'!$D87:$H87,0))))))</f>
        <v>0</v>
      </c>
      <c r="I29" s="182">
        <f t="shared" si="0"/>
        <v>0</v>
      </c>
      <c r="J29" s="182">
        <f t="shared" si="1"/>
        <v>0</v>
      </c>
      <c r="K29" s="107"/>
      <c r="L29" s="107"/>
      <c r="M29" s="266" t="s">
        <v>6</v>
      </c>
      <c r="N29" s="267" t="s">
        <v>55</v>
      </c>
      <c r="O29" s="270" t="s">
        <v>196</v>
      </c>
      <c r="P29" s="272"/>
      <c r="Q29" s="269" t="s">
        <v>197</v>
      </c>
      <c r="R29" s="269" t="s">
        <v>256</v>
      </c>
      <c r="S29" s="237"/>
      <c r="T29" s="107" t="s">
        <v>72</v>
      </c>
      <c r="U29" s="308"/>
      <c r="V29" s="107" t="s">
        <v>364</v>
      </c>
      <c r="W29" s="107"/>
      <c r="X29" s="107" t="s">
        <v>367</v>
      </c>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f t="shared" si="1"/>
        <v>0</v>
      </c>
      <c r="K30" s="107"/>
      <c r="L30" s="107"/>
      <c r="M30" s="266" t="s">
        <v>6</v>
      </c>
      <c r="N30" s="267" t="s">
        <v>55</v>
      </c>
      <c r="O30" s="270" t="s">
        <v>200</v>
      </c>
      <c r="P30" s="272"/>
      <c r="Q30" s="269" t="s">
        <v>374</v>
      </c>
      <c r="R30" s="269" t="s">
        <v>375</v>
      </c>
      <c r="S30" s="107" t="s">
        <v>313</v>
      </c>
      <c r="T30" s="107"/>
      <c r="U30" s="308">
        <v>43629</v>
      </c>
      <c r="V30" s="107" t="s">
        <v>364</v>
      </c>
      <c r="W30" s="107" t="s">
        <v>367</v>
      </c>
      <c r="X30" s="107" t="s">
        <v>367</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t="s">
        <v>313</v>
      </c>
      <c r="T32" s="107" t="s">
        <v>72</v>
      </c>
      <c r="U32" s="308">
        <v>43761</v>
      </c>
      <c r="V32" s="107" t="s">
        <v>364</v>
      </c>
      <c r="W32" s="107"/>
      <c r="X32" s="107" t="s">
        <v>367</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c r="X33" s="107"/>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t="s">
        <v>476</v>
      </c>
      <c r="T34" s="107"/>
      <c r="U34" s="308">
        <v>43756</v>
      </c>
      <c r="V34" s="107" t="s">
        <v>364</v>
      </c>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f t="shared" si="1"/>
        <v>0</v>
      </c>
      <c r="K36" s="107"/>
      <c r="L36" s="107"/>
      <c r="M36" s="275" t="s">
        <v>7</v>
      </c>
      <c r="N36" s="276" t="s">
        <v>56</v>
      </c>
      <c r="O36" s="277" t="s">
        <v>213</v>
      </c>
      <c r="P36" s="280"/>
      <c r="Q36" s="280" t="s">
        <v>162</v>
      </c>
      <c r="R36" s="280" t="s">
        <v>317</v>
      </c>
      <c r="S36" s="237" t="s">
        <v>476</v>
      </c>
      <c r="T36" s="107" t="s">
        <v>72</v>
      </c>
      <c r="U36" s="308">
        <v>44106</v>
      </c>
      <c r="V36" s="107" t="s">
        <v>364</v>
      </c>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t="s">
        <v>73</v>
      </c>
      <c r="U37" s="308"/>
      <c r="V37" s="107"/>
      <c r="W37" s="237"/>
      <c r="X37" s="107"/>
    </row>
    <row r="38" spans="1:24" ht="23.4" customHeight="1" x14ac:dyDescent="0.3">
      <c r="A38" s="213" t="s">
        <v>54</v>
      </c>
      <c r="B38" s="206"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t="str">
        <f t="shared" si="0"/>
        <v>Passed</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t="s">
        <v>313</v>
      </c>
      <c r="T41" s="107"/>
      <c r="U41" s="308">
        <v>43621</v>
      </c>
      <c r="V41" s="107" t="s">
        <v>364</v>
      </c>
      <c r="W41" s="107"/>
      <c r="X41" s="107"/>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2"/>
        <v>Passed</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476</v>
      </c>
      <c r="T44" s="107" t="s">
        <v>73</v>
      </c>
      <c r="U44" s="308">
        <v>44008</v>
      </c>
      <c r="V44" s="107" t="s">
        <v>364</v>
      </c>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t="str">
        <f t="shared" si="2"/>
        <v>Passed</v>
      </c>
      <c r="J45" s="182">
        <f t="shared" si="3"/>
        <v>0</v>
      </c>
      <c r="K45" s="107"/>
      <c r="L45" s="107"/>
      <c r="M45" s="275" t="s">
        <v>7</v>
      </c>
      <c r="N45" s="276" t="s">
        <v>56</v>
      </c>
      <c r="O45" s="278" t="s">
        <v>659</v>
      </c>
      <c r="P45" s="283"/>
      <c r="Q45" s="280" t="s">
        <v>575</v>
      </c>
      <c r="R45" s="280" t="s">
        <v>265</v>
      </c>
      <c r="S45" s="237"/>
      <c r="T45" s="107" t="s">
        <v>72</v>
      </c>
      <c r="U45" s="107"/>
      <c r="V45" s="107"/>
      <c r="W45" s="107"/>
      <c r="X45" s="107"/>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2"/>
        <v>Passed</v>
      </c>
      <c r="J46" s="182">
        <f t="shared" si="3"/>
        <v>0</v>
      </c>
      <c r="K46" s="107"/>
      <c r="L46" s="107"/>
      <c r="M46" s="275" t="s">
        <v>7</v>
      </c>
      <c r="N46" s="276" t="s">
        <v>55</v>
      </c>
      <c r="O46" s="278" t="s">
        <v>1</v>
      </c>
      <c r="P46" s="283"/>
      <c r="Q46" s="280" t="s">
        <v>577</v>
      </c>
      <c r="R46" s="280" t="s">
        <v>477</v>
      </c>
      <c r="S46" s="237"/>
      <c r="T46" s="107" t="s">
        <v>72</v>
      </c>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c r="U47" s="308">
        <v>43684</v>
      </c>
      <c r="V47" s="107" t="s">
        <v>364</v>
      </c>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2"/>
        <v>Passed</v>
      </c>
      <c r="J48" s="182">
        <f t="shared" si="3"/>
        <v>0</v>
      </c>
      <c r="K48" s="107"/>
      <c r="L48" s="107"/>
      <c r="M48" s="275" t="s">
        <v>7</v>
      </c>
      <c r="N48" s="276" t="s">
        <v>56</v>
      </c>
      <c r="O48" s="278" t="s">
        <v>385</v>
      </c>
      <c r="P48" s="280"/>
      <c r="Q48" s="280" t="s">
        <v>387</v>
      </c>
      <c r="R48" s="280" t="s">
        <v>386</v>
      </c>
      <c r="S48" s="237"/>
      <c r="T48" s="107"/>
      <c r="U48" s="308">
        <v>43669</v>
      </c>
      <c r="V48" s="107" t="s">
        <v>364</v>
      </c>
      <c r="W48" s="107"/>
      <c r="X48" s="107"/>
    </row>
    <row r="49" spans="1:24" ht="39.6" x14ac:dyDescent="0.3">
      <c r="A49" s="213" t="s">
        <v>143</v>
      </c>
      <c r="B49" s="206" t="s">
        <v>363</v>
      </c>
      <c r="C49" s="292" t="s">
        <v>77</v>
      </c>
      <c r="D49" s="292"/>
      <c r="E49" s="292"/>
      <c r="F49" s="292"/>
      <c r="G49" s="292"/>
      <c r="H49" s="212">
        <f>IF(C49&lt;&gt;"",'CBL Score Standard'!$D107,IF(D49&lt;&gt;"",SUM('CBL Score Standard'!$D107:$E107),IF(E49&lt;&gt;"",SUM('CBL Score Standard'!$D107:$F107),IF(F49&lt;&gt;"",SUM('CBL Score Standard'!$D107:$G107),IF(G49&lt;&gt;"",SUM('CBL Score Standard'!$D107:$H107,0))))))</f>
        <v>8.3333333333333329E-2</v>
      </c>
      <c r="I49" s="182">
        <f t="shared" si="2"/>
        <v>0</v>
      </c>
      <c r="J49" s="182">
        <f t="shared" si="3"/>
        <v>0</v>
      </c>
      <c r="K49" s="107"/>
      <c r="L49" s="107"/>
      <c r="M49" s="275" t="s">
        <v>7</v>
      </c>
      <c r="N49" s="276" t="s">
        <v>54</v>
      </c>
      <c r="O49" s="278" t="s">
        <v>229</v>
      </c>
      <c r="P49" s="283"/>
      <c r="Q49" s="280" t="s">
        <v>665</v>
      </c>
      <c r="R49" s="280" t="s">
        <v>574</v>
      </c>
      <c r="S49" s="107"/>
      <c r="T49" s="107"/>
      <c r="U49" s="308"/>
      <c r="V49" s="107"/>
      <c r="W49" s="107"/>
      <c r="X49" s="107"/>
    </row>
    <row r="50" spans="1:24" ht="13.8" x14ac:dyDescent="0.3">
      <c r="A50" s="213" t="s">
        <v>643</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t="str">
        <f t="shared" si="2"/>
        <v>Passed</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t="s">
        <v>77</v>
      </c>
      <c r="D51" s="292"/>
      <c r="E51" s="292"/>
      <c r="F51" s="292"/>
      <c r="G51" s="292"/>
      <c r="H51" s="212">
        <f>IF(C51&lt;&gt;"",'CBL Score Standard'!$D109,IF(D51&lt;&gt;"",SUM('CBL Score Standard'!$D109:$E109),IF(E51&lt;&gt;"",SUM('CBL Score Standard'!$D109:$F109),IF(F51&lt;&gt;"",SUM('CBL Score Standard'!$D109:$G109),IF(G51&lt;&gt;"",SUM('CBL Score Standard'!$D109:$H109,0))))))</f>
        <v>8.3333333333333329E-2</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t="s">
        <v>77</v>
      </c>
      <c r="D53" s="292"/>
      <c r="E53" s="292"/>
      <c r="F53" s="292"/>
      <c r="G53" s="292"/>
      <c r="H53" s="212">
        <f>IF(C53&lt;&gt;"",'CBL Score Standard'!$D111,IF(D53&lt;&gt;"",SUM('CBL Score Standard'!$D111:$E111),IF(E53&lt;&gt;"",SUM('CBL Score Standard'!$D111:$F111),IF(F53&lt;&gt;"",SUM('CBL Score Standard'!$D111:$G111),IF(G53&lt;&gt;"",SUM('CBL Score Standard'!$D111:$H111,0))))))</f>
        <v>8.3333333333333329E-2</v>
      </c>
      <c r="I53" s="182">
        <f t="shared" si="2"/>
        <v>0</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c r="F56" s="292"/>
      <c r="G56" s="292"/>
      <c r="H56" s="212" t="b">
        <f>IF(C56&lt;&gt;"",'CBL Score Standard'!$D114,IF(D56&lt;&gt;"",SUM('CBL Score Standard'!$D114:$E114),IF(E56&lt;&gt;"",SUM('CBL Score Standard'!$D114:$F114),IF(F56&lt;&gt;"",SUM('CBL Score Standard'!$D114:$G114),IF(G56&lt;&gt;"",SUM('CBL Score Standard'!$D114:$H114,0))))))</f>
        <v>0</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c r="F57" s="292"/>
      <c r="G57" s="292"/>
      <c r="H57" s="212" t="b">
        <f>IF(C57&lt;&gt;"",'CBL Score Standard'!$D115,IF(D57&lt;&gt;"",SUM('CBL Score Standard'!$D115:$E115),IF(E57&lt;&gt;"",SUM('CBL Score Standard'!$D115:$F115),IF(F57&lt;&gt;"",SUM('CBL Score Standard'!$D115:$G115),IF(G57&lt;&gt;"",SUM('CBL Score Standard'!$D115:$H115,0))))))</f>
        <v>0</v>
      </c>
      <c r="I57" s="182">
        <f t="shared" si="2"/>
        <v>0</v>
      </c>
      <c r="J57" s="182">
        <f t="shared" si="3"/>
        <v>0</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c r="E58" s="291"/>
      <c r="F58" s="291"/>
      <c r="G58" s="291"/>
      <c r="H58" s="212" t="b">
        <f>IF(C58&lt;&gt;"",'CBL Score Standard'!$D116,IF(D58&lt;&gt;"",SUM('CBL Score Standard'!$D116:$E116),IF(E58&lt;&gt;"",SUM('CBL Score Standard'!$D116:$F116),IF(F58&lt;&gt;"",SUM('CBL Score Standard'!$D116:$G116),IF(G58&lt;&gt;"",SUM('CBL Score Standard'!$D116:$H116,0))))))</f>
        <v>0</v>
      </c>
      <c r="I58" s="182">
        <f t="shared" si="2"/>
        <v>0</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t="str">
        <f t="shared" si="2"/>
        <v>Passed</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t="str">
        <f t="shared" ref="I60:I65" si="4">VLOOKUP(B61,$O$4:$W$64,8,0)</f>
        <v>Passed</v>
      </c>
      <c r="J60" s="182">
        <f t="shared" ref="J60:J65" si="5">VLOOKUP(B61,$O$4:$W$64,9,0)</f>
        <v>0</v>
      </c>
      <c r="K60" s="107"/>
      <c r="L60" s="107"/>
      <c r="M60" s="284" t="s">
        <v>8</v>
      </c>
      <c r="N60" s="285" t="s">
        <v>148</v>
      </c>
      <c r="O60" s="279" t="s">
        <v>360</v>
      </c>
      <c r="P60" s="286" t="s">
        <v>228</v>
      </c>
      <c r="Q60" s="286" t="s">
        <v>676</v>
      </c>
      <c r="R60" s="286" t="s">
        <v>216</v>
      </c>
      <c r="S60" s="107"/>
      <c r="T60" s="107"/>
      <c r="U60" s="107"/>
      <c r="V60" s="107"/>
      <c r="W60" s="107"/>
      <c r="X60" s="107"/>
    </row>
    <row r="61" spans="1:24" ht="13.8" x14ac:dyDescent="0.25">
      <c r="A61" s="150" t="s">
        <v>56</v>
      </c>
      <c r="B61" s="206" t="s">
        <v>383</v>
      </c>
      <c r="C61" s="240"/>
      <c r="D61" s="240"/>
      <c r="E61" s="292" t="s">
        <v>77</v>
      </c>
      <c r="F61" s="292"/>
      <c r="G61" s="292"/>
      <c r="H61" s="212">
        <f>IF(C61&lt;&gt;"",'CBL Score Standard'!$D118,IF(D61&lt;&gt;"",SUM('CBL Score Standard'!$D118:$E118),IF(E61&lt;&gt;"",SUM('CBL Score Standard'!$D118:$F118),IF(F61&lt;&gt;"",SUM('CBL Score Standard'!$D118:$G118),IF(G61&lt;&gt;"",SUM('CBL Score Standard'!$D118:$H118,0))))))</f>
        <v>2.8571428571428571E-2</v>
      </c>
      <c r="I61" s="182" t="str">
        <f t="shared" si="4"/>
        <v>Passed</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c r="G65" s="292"/>
      <c r="H65" s="212" t="b">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2.118060394889663</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85" showGridLines="0" topLeftCell="A55">
      <selection activeCell="A7" sqref="A7:H68"/>
      <pageMargins left="0.7" right="0.7" top="0.75" bottom="0.75" header="0.3" footer="0.3"/>
      <pageSetup orientation="portrait" r:id="rId1"/>
    </customSheetView>
    <customSheetView guid="{040B64FF-F135-4C7F-9498-A8399C10673D}" scale="85" showGridLines="0" topLeftCell="A55">
      <selection activeCell="A7" sqref="A7:H68"/>
      <pageMargins left="0.7" right="0.7" top="0.75" bottom="0.75" header="0.3" footer="0.3"/>
      <pageSetup orientation="portrait" r:id="rId2"/>
    </customSheetView>
    <customSheetView guid="{3BEDB203-29A8-4A82-B140-5CE8D0753F8B}" scale="85" showGridLines="0" topLeftCell="A55">
      <selection activeCell="A7" sqref="A7:H68"/>
      <pageMargins left="0.7" right="0.7" top="0.75" bottom="0.75" header="0.3" footer="0.3"/>
      <pageSetup orientation="portrait" r:id="rId3"/>
    </customSheetView>
  </customSheetViews>
  <mergeCells count="6">
    <mergeCell ref="A1:H1"/>
    <mergeCell ref="M2:M3"/>
    <mergeCell ref="A69:G69"/>
    <mergeCell ref="N2:N3"/>
    <mergeCell ref="S2:S3"/>
    <mergeCell ref="A67:G67"/>
  </mergeCells>
  <conditionalFormatting sqref="C7:D7 F7:H7">
    <cfRule type="containsText" dxfId="115" priority="31" operator="containsText" text="N/A">
      <formula>NOT(ISERROR(SEARCH("N/A",C7)))</formula>
    </cfRule>
    <cfRule type="containsText" dxfId="114" priority="32" operator="containsText" text="Blank">
      <formula>NOT(ISERROR(SEARCH("Blank",C7)))</formula>
    </cfRule>
    <cfRule type="containsText" dxfId="113" priority="33" operator="containsText" text="M">
      <formula>NOT(ISERROR(SEARCH("M",C7)))</formula>
    </cfRule>
  </conditionalFormatting>
  <conditionalFormatting sqref="B67:B69 B7">
    <cfRule type="duplicateValues" dxfId="112" priority="30"/>
  </conditionalFormatting>
  <conditionalFormatting sqref="B30">
    <cfRule type="duplicateValues" dxfId="111" priority="13"/>
  </conditionalFormatting>
  <conditionalFormatting sqref="B55">
    <cfRule type="duplicateValues" dxfId="110" priority="12"/>
  </conditionalFormatting>
  <conditionalFormatting sqref="B13">
    <cfRule type="duplicateValues" dxfId="109" priority="11"/>
  </conditionalFormatting>
  <conditionalFormatting sqref="B56:B66 B31:B54 B8:B12 B14:B28">
    <cfRule type="duplicateValues" dxfId="108" priority="14"/>
  </conditionalFormatting>
  <conditionalFormatting sqref="B29">
    <cfRule type="duplicateValues" dxfId="107" priority="15"/>
  </conditionalFormatting>
  <conditionalFormatting sqref="O25">
    <cfRule type="duplicateValues" dxfId="106" priority="1"/>
  </conditionalFormatting>
  <conditionalFormatting sqref="O4:O9 O12:O18">
    <cfRule type="duplicateValues" dxfId="105" priority="10"/>
  </conditionalFormatting>
  <conditionalFormatting sqref="O10">
    <cfRule type="duplicateValues" dxfId="104" priority="9"/>
  </conditionalFormatting>
  <conditionalFormatting sqref="O11">
    <cfRule type="duplicateValues" dxfId="103" priority="8"/>
  </conditionalFormatting>
  <conditionalFormatting sqref="O19:O24 O32:O34 O26:O30">
    <cfRule type="duplicateValues" dxfId="102" priority="7"/>
  </conditionalFormatting>
  <conditionalFormatting sqref="O36:O52">
    <cfRule type="duplicateValues" dxfId="101" priority="6"/>
  </conditionalFormatting>
  <conditionalFormatting sqref="O35">
    <cfRule type="duplicateValues" dxfId="100" priority="5"/>
  </conditionalFormatting>
  <conditionalFormatting sqref="O53:O60">
    <cfRule type="duplicateValues" dxfId="99" priority="4"/>
  </conditionalFormatting>
  <conditionalFormatting sqref="O61:O64">
    <cfRule type="duplicateValues" dxfId="98" priority="3"/>
  </conditionalFormatting>
  <conditionalFormatting sqref="O31">
    <cfRule type="duplicateValues" dxfId="97"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69:X1048576 T20:X64">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6857" r:id="rId7" name="CommandButton2">
          <controlPr defaultSize="0" autoLine="0" r:id="rId8">
            <anchor moveWithCells="1">
              <from>
                <xdr:col>8</xdr:col>
                <xdr:colOff>121920</xdr:colOff>
                <xdr:row>35</xdr:row>
                <xdr:rowOff>0</xdr:rowOff>
              </from>
              <to>
                <xdr:col>9</xdr:col>
                <xdr:colOff>441960</xdr:colOff>
                <xdr:row>37</xdr:row>
                <xdr:rowOff>99060</xdr:rowOff>
              </to>
            </anchor>
          </controlPr>
        </control>
      </mc:Choice>
      <mc:Fallback>
        <control shapeId="846857" r:id="rId7" name="CommandButton2"/>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tabColor theme="8"/>
    <pageSetUpPr fitToPage="1"/>
  </sheetPr>
  <dimension ref="A1:X197"/>
  <sheetViews>
    <sheetView showGridLines="0" topLeftCell="J34" zoomScale="70" zoomScaleNormal="70" workbookViewId="0">
      <selection activeCell="S4" sqref="S4:X60"/>
    </sheetView>
  </sheetViews>
  <sheetFormatPr defaultColWidth="9.109375" defaultRowHeight="14.4" x14ac:dyDescent="0.3"/>
  <cols>
    <col min="1" max="1" width="31.44140625" style="184" customWidth="1"/>
    <col min="2" max="2" width="38.88671875" style="184" customWidth="1"/>
    <col min="3" max="3" width="9.109375" style="184"/>
    <col min="4" max="5" width="10" style="184" bestFit="1" customWidth="1"/>
    <col min="6" max="7" width="9.109375" style="184"/>
    <col min="8" max="8" width="9.109375" style="185"/>
    <col min="9" max="10" width="9.109375" style="182"/>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182"/>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205" t="s">
        <v>357</v>
      </c>
      <c r="B2" s="237" t="s">
        <v>737</v>
      </c>
      <c r="C2" s="182"/>
      <c r="D2" s="182"/>
      <c r="E2" s="182"/>
      <c r="F2" s="182"/>
      <c r="G2" s="182"/>
      <c r="H2" s="182"/>
      <c r="K2" s="324" t="s">
        <v>132</v>
      </c>
      <c r="L2" s="324" t="s">
        <v>91</v>
      </c>
      <c r="M2" s="335" t="s">
        <v>75</v>
      </c>
      <c r="N2" s="336" t="s">
        <v>133</v>
      </c>
      <c r="O2" s="324" t="s">
        <v>134</v>
      </c>
      <c r="P2" s="324" t="s">
        <v>135</v>
      </c>
      <c r="Q2" s="324" t="s">
        <v>136</v>
      </c>
      <c r="R2" s="324" t="s">
        <v>137</v>
      </c>
      <c r="S2" s="334" t="s">
        <v>138</v>
      </c>
      <c r="T2" s="297" t="s">
        <v>334</v>
      </c>
      <c r="U2" s="297" t="s">
        <v>332</v>
      </c>
      <c r="V2" s="297" t="s">
        <v>333</v>
      </c>
      <c r="W2" s="297" t="s">
        <v>365</v>
      </c>
      <c r="X2" s="297" t="s">
        <v>366</v>
      </c>
    </row>
    <row r="3" spans="1:24" ht="12.75" customHeight="1" x14ac:dyDescent="0.3">
      <c r="A3" s="205" t="s">
        <v>337</v>
      </c>
      <c r="B3" s="219">
        <v>43836</v>
      </c>
      <c r="C3" s="223"/>
      <c r="D3" s="182"/>
      <c r="E3" s="182"/>
      <c r="F3" s="182"/>
      <c r="G3" s="182"/>
      <c r="H3" s="182"/>
      <c r="K3" s="324"/>
      <c r="L3" s="324"/>
      <c r="M3" s="335"/>
      <c r="N3" s="336"/>
      <c r="O3" s="324"/>
      <c r="P3" s="298" t="s">
        <v>140</v>
      </c>
      <c r="Q3" s="324"/>
      <c r="R3" s="324"/>
      <c r="S3" s="334"/>
      <c r="T3" s="323"/>
      <c r="U3" s="323"/>
      <c r="V3" s="323"/>
      <c r="W3" s="323"/>
      <c r="X3" s="323"/>
    </row>
    <row r="4" spans="1:24" ht="13.8" x14ac:dyDescent="0.3">
      <c r="A4" s="205" t="s">
        <v>358</v>
      </c>
      <c r="B4" s="222">
        <f ca="1">DATEDIF(B3,TODAY(),"D")/365</f>
        <v>1.0849315068493151</v>
      </c>
      <c r="C4" s="182"/>
      <c r="D4" s="182"/>
      <c r="E4" s="182"/>
      <c r="F4" s="182"/>
      <c r="G4" s="182"/>
      <c r="H4" s="182"/>
      <c r="K4" s="107" t="s">
        <v>141</v>
      </c>
      <c r="L4" s="107" t="s">
        <v>142</v>
      </c>
      <c r="M4" s="254" t="s">
        <v>5</v>
      </c>
      <c r="N4" s="255" t="s">
        <v>143</v>
      </c>
      <c r="O4" s="256" t="s">
        <v>362</v>
      </c>
      <c r="P4" s="258"/>
      <c r="Q4" s="261" t="s">
        <v>145</v>
      </c>
      <c r="R4" s="261" t="s">
        <v>211</v>
      </c>
      <c r="S4" s="237"/>
      <c r="T4" s="107" t="s">
        <v>72</v>
      </c>
      <c r="U4" s="307"/>
      <c r="V4" s="107"/>
      <c r="W4" s="107"/>
      <c r="X4" s="107" t="s">
        <v>367</v>
      </c>
    </row>
    <row r="5" spans="1:24" ht="12.75" customHeight="1" x14ac:dyDescent="0.3">
      <c r="A5" s="205" t="s">
        <v>377</v>
      </c>
      <c r="B5" s="222">
        <v>0</v>
      </c>
      <c r="C5" s="224"/>
      <c r="D5" s="182"/>
      <c r="E5" s="182"/>
      <c r="F5" s="182"/>
      <c r="G5" s="182"/>
      <c r="H5" s="182"/>
      <c r="K5" s="107"/>
      <c r="L5" s="107"/>
      <c r="M5" s="254" t="s">
        <v>5</v>
      </c>
      <c r="N5" s="255" t="s">
        <v>143</v>
      </c>
      <c r="O5" s="256" t="s">
        <v>363</v>
      </c>
      <c r="P5" s="259" t="s">
        <v>144</v>
      </c>
      <c r="Q5" s="259" t="s">
        <v>149</v>
      </c>
      <c r="R5" s="259" t="s">
        <v>150</v>
      </c>
      <c r="S5" s="237"/>
      <c r="T5" s="107" t="s">
        <v>72</v>
      </c>
      <c r="U5" s="308"/>
      <c r="V5" s="107"/>
      <c r="W5" s="107"/>
      <c r="X5" s="107" t="s">
        <v>367</v>
      </c>
    </row>
    <row r="6" spans="1:24" thickBot="1" x14ac:dyDescent="0.35">
      <c r="A6" s="205" t="s">
        <v>378</v>
      </c>
      <c r="B6" s="222">
        <f ca="1">B4+B5</f>
        <v>1.0849315068493151</v>
      </c>
      <c r="C6" s="224"/>
      <c r="K6" s="107"/>
      <c r="L6" s="107"/>
      <c r="M6" s="254" t="s">
        <v>5</v>
      </c>
      <c r="N6" s="255" t="s">
        <v>148</v>
      </c>
      <c r="O6" s="256" t="s">
        <v>148</v>
      </c>
      <c r="P6" s="259" t="s">
        <v>144</v>
      </c>
      <c r="Q6" s="259" t="s">
        <v>149</v>
      </c>
      <c r="R6" s="259" t="s">
        <v>150</v>
      </c>
      <c r="S6" s="237"/>
      <c r="T6" s="107" t="s">
        <v>72</v>
      </c>
      <c r="U6" s="308"/>
      <c r="V6" s="107"/>
      <c r="W6" s="107"/>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t="s">
        <v>72</v>
      </c>
      <c r="U7" s="308"/>
      <c r="V7" s="107"/>
      <c r="W7" s="237"/>
      <c r="X7" s="107" t="s">
        <v>367</v>
      </c>
    </row>
    <row r="8" spans="1:24" ht="13.8" x14ac:dyDescent="0.3">
      <c r="A8" s="210" t="s">
        <v>56</v>
      </c>
      <c r="B8" s="211" t="s">
        <v>180</v>
      </c>
      <c r="C8" s="240"/>
      <c r="D8" s="292" t="s">
        <v>77</v>
      </c>
      <c r="E8" s="292"/>
      <c r="F8" s="292"/>
      <c r="G8" s="292"/>
      <c r="H8" s="212">
        <f>IF(C8&lt;&gt;"",'CBL Score Standard'!$D66,IF(D8&lt;&gt;"",SUM('CBL Score Standard'!$D66:$E66),IF(E8&lt;&gt;"",SUM('CBL Score Standard'!$D66:$F66),IF(F8&lt;&gt;"",SUM('CBL Score Standard'!$D66:$G66),IF(G8&lt;&gt;"",SUM('CBL Score Standard'!$D66:$H66,0))))))</f>
        <v>4.878048780487805E-2</v>
      </c>
      <c r="I8" s="182">
        <f t="shared" ref="I8:I39" si="0">VLOOKUP(B8,$O$4:$W$64,8,0)</f>
        <v>0</v>
      </c>
      <c r="J8" s="182">
        <f t="shared" ref="J8:J39" si="1">VLOOKUP(B8,$O$4:$W$64,9,0)</f>
        <v>0</v>
      </c>
      <c r="K8" s="107"/>
      <c r="L8" s="107"/>
      <c r="M8" s="254" t="s">
        <v>5</v>
      </c>
      <c r="N8" s="255" t="s">
        <v>678</v>
      </c>
      <c r="O8" s="257" t="s">
        <v>645</v>
      </c>
      <c r="P8" s="259" t="s">
        <v>144</v>
      </c>
      <c r="Q8" s="259" t="s">
        <v>152</v>
      </c>
      <c r="R8" s="259" t="s">
        <v>154</v>
      </c>
      <c r="S8" s="237"/>
      <c r="T8" s="107" t="s">
        <v>72</v>
      </c>
      <c r="U8" s="107"/>
      <c r="V8" s="107"/>
      <c r="W8" s="107"/>
      <c r="X8" s="107"/>
    </row>
    <row r="9" spans="1:24" ht="13.8" x14ac:dyDescent="0.3">
      <c r="A9" s="213" t="s">
        <v>56</v>
      </c>
      <c r="B9" s="206" t="s">
        <v>390</v>
      </c>
      <c r="C9" s="240"/>
      <c r="D9" s="292" t="s">
        <v>77</v>
      </c>
      <c r="E9" s="292"/>
      <c r="F9" s="292"/>
      <c r="G9" s="292"/>
      <c r="H9" s="212">
        <f>IF(C9&lt;&gt;"",'CBL Score Standard'!$D67,IF(D9&lt;&gt;"",SUM('CBL Score Standard'!$D67:$E67),IF(E9&lt;&gt;"",SUM('CBL Score Standard'!$D67:$F67),IF(F9&lt;&gt;"",SUM('CBL Score Standard'!$D67:$G67),IF(G9&lt;&gt;"",SUM('CBL Score Standard'!$D67:$H67,0))))))</f>
        <v>4.878048780487805E-2</v>
      </c>
      <c r="I9" s="182">
        <f t="shared" si="0"/>
        <v>0</v>
      </c>
      <c r="J9" s="182">
        <f t="shared" si="1"/>
        <v>0</v>
      </c>
      <c r="K9" s="107"/>
      <c r="L9" s="107"/>
      <c r="M9" s="254" t="s">
        <v>5</v>
      </c>
      <c r="N9" s="255" t="s">
        <v>678</v>
      </c>
      <c r="O9" s="257" t="s">
        <v>592</v>
      </c>
      <c r="P9" s="259" t="s">
        <v>144</v>
      </c>
      <c r="Q9" s="259" t="s">
        <v>153</v>
      </c>
      <c r="R9" s="259" t="s">
        <v>263</v>
      </c>
      <c r="S9" s="237"/>
      <c r="T9" s="107" t="s">
        <v>72</v>
      </c>
      <c r="U9" s="308"/>
      <c r="V9" s="107"/>
      <c r="W9" s="107"/>
      <c r="X9" s="107" t="s">
        <v>367</v>
      </c>
    </row>
    <row r="10" spans="1:24" ht="13.8" x14ac:dyDescent="0.3">
      <c r="A10" s="213" t="s">
        <v>56</v>
      </c>
      <c r="B10" s="206" t="s">
        <v>213</v>
      </c>
      <c r="C10" s="240"/>
      <c r="D10" s="240"/>
      <c r="E10" s="292"/>
      <c r="F10" s="292"/>
      <c r="G10" s="292"/>
      <c r="H10" s="212" t="b">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t="s">
        <v>72</v>
      </c>
      <c r="U10" s="308"/>
      <c r="V10" s="107"/>
      <c r="W10" s="107"/>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c r="W13" s="107"/>
      <c r="X13" s="107" t="s">
        <v>367</v>
      </c>
    </row>
    <row r="14" spans="1:24" ht="13.8" x14ac:dyDescent="0.3">
      <c r="A14" s="213" t="s">
        <v>55</v>
      </c>
      <c r="B14" s="206" t="s">
        <v>617</v>
      </c>
      <c r="C14" s="240"/>
      <c r="D14" s="240" t="s">
        <v>77</v>
      </c>
      <c r="E14" s="240"/>
      <c r="F14" s="292"/>
      <c r="G14" s="292"/>
      <c r="H14" s="212">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t="s">
        <v>77</v>
      </c>
      <c r="E15" s="240"/>
      <c r="F15" s="292"/>
      <c r="G15" s="292"/>
      <c r="H15" s="212">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c r="T15" s="107"/>
      <c r="U15" s="308"/>
      <c r="V15" s="107"/>
      <c r="W15" s="107"/>
      <c r="X15" s="107" t="s">
        <v>368</v>
      </c>
    </row>
    <row r="16" spans="1:24" ht="13.8" x14ac:dyDescent="0.3">
      <c r="A16" s="213" t="s">
        <v>55</v>
      </c>
      <c r="B16" s="206" t="s">
        <v>190</v>
      </c>
      <c r="C16" s="240"/>
      <c r="D16" s="240" t="s">
        <v>77</v>
      </c>
      <c r="E16" s="240"/>
      <c r="F16" s="240"/>
      <c r="G16" s="240"/>
      <c r="H16" s="212">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c r="T16" s="107"/>
      <c r="U16" s="308"/>
      <c r="V16" s="107"/>
      <c r="W16" s="107"/>
      <c r="X16" s="107" t="s">
        <v>368</v>
      </c>
    </row>
    <row r="17" spans="1:24" ht="13.8" x14ac:dyDescent="0.3">
      <c r="A17" s="213" t="s">
        <v>55</v>
      </c>
      <c r="B17" s="206" t="s">
        <v>192</v>
      </c>
      <c r="C17" s="240"/>
      <c r="D17" s="240" t="s">
        <v>77</v>
      </c>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c r="T18" s="107" t="s">
        <v>72</v>
      </c>
      <c r="U18" s="308"/>
      <c r="V18" s="107"/>
      <c r="W18" s="107"/>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c r="U19" s="309"/>
    </row>
    <row r="20" spans="1:24" x14ac:dyDescent="0.3">
      <c r="A20" s="213" t="s">
        <v>55</v>
      </c>
      <c r="B20" s="206" t="s">
        <v>200</v>
      </c>
      <c r="C20" s="240"/>
      <c r="D20" s="240" t="s">
        <v>77</v>
      </c>
      <c r="E20" s="240"/>
      <c r="F20" s="240"/>
      <c r="G20" s="240"/>
      <c r="H20" s="212">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c r="T20" s="107"/>
      <c r="U20" s="308"/>
      <c r="V20" s="107"/>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c r="U21" s="308"/>
      <c r="V21" s="107"/>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f t="shared" si="0"/>
        <v>0</v>
      </c>
      <c r="J22" s="182">
        <f t="shared" si="1"/>
        <v>0</v>
      </c>
      <c r="K22" s="107"/>
      <c r="L22" s="107"/>
      <c r="M22" s="266" t="s">
        <v>6</v>
      </c>
      <c r="N22" s="267" t="s">
        <v>678</v>
      </c>
      <c r="O22" s="270" t="s">
        <v>186</v>
      </c>
      <c r="P22" s="274">
        <v>44392</v>
      </c>
      <c r="Q22" s="269" t="s">
        <v>153</v>
      </c>
      <c r="R22" s="269" t="s">
        <v>263</v>
      </c>
      <c r="S22" s="237"/>
      <c r="T22" s="107"/>
      <c r="U22" s="308"/>
      <c r="V22" s="107"/>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c r="T23" s="107"/>
      <c r="U23" s="308"/>
      <c r="V23" s="107"/>
      <c r="W23" s="107"/>
      <c r="X23" s="107"/>
    </row>
    <row r="24" spans="1:24" ht="12.75" customHeight="1" x14ac:dyDescent="0.3">
      <c r="A24" s="213" t="s">
        <v>55</v>
      </c>
      <c r="B24" s="206" t="s">
        <v>596</v>
      </c>
      <c r="C24" s="240"/>
      <c r="D24" s="240"/>
      <c r="E24" s="292"/>
      <c r="F24" s="292"/>
      <c r="G24" s="292"/>
      <c r="H24" s="212" t="b">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c r="T24" s="107"/>
      <c r="U24" s="308"/>
      <c r="V24" s="107"/>
      <c r="W24" s="107"/>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t="s">
        <v>77</v>
      </c>
      <c r="D26" s="240"/>
      <c r="E26" s="240"/>
      <c r="F26" s="292"/>
      <c r="G26" s="292"/>
      <c r="H26" s="212">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f t="shared" si="0"/>
        <v>0</v>
      </c>
      <c r="J29" s="182">
        <f t="shared" si="1"/>
        <v>0</v>
      </c>
      <c r="K29" s="107"/>
      <c r="L29" s="107"/>
      <c r="M29" s="266" t="s">
        <v>6</v>
      </c>
      <c r="N29" s="267" t="s">
        <v>55</v>
      </c>
      <c r="O29" s="270" t="s">
        <v>196</v>
      </c>
      <c r="P29" s="272"/>
      <c r="Q29" s="269" t="s">
        <v>197</v>
      </c>
      <c r="R29" s="269" t="s">
        <v>256</v>
      </c>
      <c r="S29" s="237"/>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f t="shared" si="0"/>
        <v>0</v>
      </c>
      <c r="J30" s="182">
        <f t="shared" si="1"/>
        <v>0</v>
      </c>
      <c r="K30" s="107"/>
      <c r="L30" s="107"/>
      <c r="M30" s="266" t="s">
        <v>6</v>
      </c>
      <c r="N30" s="267" t="s">
        <v>55</v>
      </c>
      <c r="O30" s="270" t="s">
        <v>200</v>
      </c>
      <c r="P30" s="272"/>
      <c r="Q30" s="269" t="s">
        <v>374</v>
      </c>
      <c r="R30" s="269" t="s">
        <v>375</v>
      </c>
      <c r="S30" s="107"/>
      <c r="T30" s="107"/>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f t="shared" si="0"/>
        <v>0</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c r="U32" s="308"/>
      <c r="V32" s="107"/>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c r="X33" s="107"/>
    </row>
    <row r="34" spans="1:24" ht="26.4" x14ac:dyDescent="0.3">
      <c r="A34" s="213" t="s">
        <v>31</v>
      </c>
      <c r="B34" s="206" t="s">
        <v>591</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t="e">
        <f t="shared" si="0"/>
        <v>#N/A</v>
      </c>
      <c r="J34" s="182" t="e">
        <f t="shared" si="1"/>
        <v>#N/A</v>
      </c>
      <c r="K34" s="107"/>
      <c r="L34" s="107"/>
      <c r="M34" s="266" t="s">
        <v>6</v>
      </c>
      <c r="N34" s="267" t="s">
        <v>54</v>
      </c>
      <c r="O34" s="270" t="s">
        <v>335</v>
      </c>
      <c r="P34" s="272"/>
      <c r="Q34" s="269" t="s">
        <v>207</v>
      </c>
      <c r="R34" s="269" t="s">
        <v>319</v>
      </c>
      <c r="S34" s="107"/>
      <c r="T34" s="107"/>
      <c r="U34" s="308"/>
      <c r="V34" s="107"/>
      <c r="W34" s="107"/>
      <c r="X34" s="107"/>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f t="shared" si="0"/>
        <v>0</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c r="D36" s="292" t="s">
        <v>77</v>
      </c>
      <c r="E36" s="292"/>
      <c r="F36" s="292"/>
      <c r="G36" s="292"/>
      <c r="H36" s="212">
        <f>IF(C36&lt;&gt;"",'CBL Score Standard'!$D94,IF(D36&lt;&gt;"",SUM('CBL Score Standard'!$D94:$E94),IF(E36&lt;&gt;"",SUM('CBL Score Standard'!$D94:$F94),IF(F36&lt;&gt;"",SUM('CBL Score Standard'!$D94:$G94),IF(G36&lt;&gt;"",SUM('CBL Score Standard'!$D94:$H94,0))))))</f>
        <v>4.878048780487805E-2</v>
      </c>
      <c r="I36" s="182">
        <f t="shared" si="0"/>
        <v>0</v>
      </c>
      <c r="J36" s="182">
        <f t="shared" si="1"/>
        <v>0</v>
      </c>
      <c r="K36" s="107"/>
      <c r="L36" s="107"/>
      <c r="M36" s="275" t="s">
        <v>7</v>
      </c>
      <c r="N36" s="276" t="s">
        <v>56</v>
      </c>
      <c r="O36" s="277" t="s">
        <v>213</v>
      </c>
      <c r="P36" s="280"/>
      <c r="Q36" s="280" t="s">
        <v>162</v>
      </c>
      <c r="R36" s="280" t="s">
        <v>317</v>
      </c>
      <c r="S36" s="237"/>
      <c r="T36" s="107"/>
      <c r="U36" s="308"/>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c r="U37" s="308"/>
      <c r="V37" s="107"/>
      <c r="W37" s="237"/>
      <c r="X37" s="107"/>
    </row>
    <row r="38" spans="1:24" ht="27.6" x14ac:dyDescent="0.3">
      <c r="A38" s="213" t="s">
        <v>54</v>
      </c>
      <c r="B38" s="206"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55</v>
      </c>
      <c r="O39" s="277" t="s">
        <v>656</v>
      </c>
      <c r="P39" s="283">
        <v>43985</v>
      </c>
      <c r="Q39" s="282" t="s">
        <v>663</v>
      </c>
      <c r="R39" s="282" t="s">
        <v>664</v>
      </c>
      <c r="S39" s="237"/>
      <c r="T39" s="107"/>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c r="T43" s="107"/>
      <c r="U43" s="308"/>
      <c r="V43" s="107"/>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c r="T44" s="107"/>
      <c r="U44" s="308"/>
      <c r="V44" s="107"/>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2"/>
        <v>0</v>
      </c>
      <c r="J45" s="182">
        <f t="shared" si="3"/>
        <v>0</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t="s">
        <v>77</v>
      </c>
      <c r="E46" s="292"/>
      <c r="F46" s="292"/>
      <c r="G46" s="292"/>
      <c r="H46" s="212">
        <f>IF(C46&lt;&gt;"",'CBL Score Standard'!$D104,IF(D46&lt;&gt;"",SUM('CBL Score Standard'!$D104:$E104),IF(E46&lt;&gt;"",SUM('CBL Score Standard'!$D104:$F104),IF(F46&lt;&gt;"",SUM('CBL Score Standard'!$D104:$G104),IF(G46&lt;&gt;"",SUM('CBL Score Standard'!$D104:$H104,0))))))</f>
        <v>4.878048780487805E-2</v>
      </c>
      <c r="I46" s="182">
        <f t="shared" si="2"/>
        <v>0</v>
      </c>
      <c r="J46" s="182">
        <f t="shared" si="3"/>
        <v>0</v>
      </c>
      <c r="K46" s="107"/>
      <c r="L46" s="107"/>
      <c r="M46" s="275" t="s">
        <v>7</v>
      </c>
      <c r="N46" s="276" t="s">
        <v>55</v>
      </c>
      <c r="O46" s="278" t="s">
        <v>1</v>
      </c>
      <c r="P46" s="283"/>
      <c r="Q46" s="280" t="s">
        <v>577</v>
      </c>
      <c r="R46" s="280" t="s">
        <v>477</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2"/>
        <v>0</v>
      </c>
      <c r="J48" s="182">
        <f t="shared" si="3"/>
        <v>0</v>
      </c>
      <c r="K48" s="107"/>
      <c r="L48" s="107"/>
      <c r="M48" s="275" t="s">
        <v>7</v>
      </c>
      <c r="N48" s="276" t="s">
        <v>56</v>
      </c>
      <c r="O48" s="278" t="s">
        <v>385</v>
      </c>
      <c r="P48" s="280"/>
      <c r="Q48" s="280" t="s">
        <v>387</v>
      </c>
      <c r="R48" s="280" t="s">
        <v>386</v>
      </c>
      <c r="S48" s="237"/>
      <c r="T48" s="107"/>
      <c r="U48" s="308"/>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f t="shared" si="2"/>
        <v>0</v>
      </c>
      <c r="J49" s="182">
        <f t="shared" si="3"/>
        <v>0</v>
      </c>
      <c r="K49" s="107"/>
      <c r="L49" s="107"/>
      <c r="M49" s="275" t="s">
        <v>7</v>
      </c>
      <c r="N49" s="276" t="s">
        <v>54</v>
      </c>
      <c r="O49" s="278" t="s">
        <v>229</v>
      </c>
      <c r="P49" s="283"/>
      <c r="Q49" s="280" t="s">
        <v>665</v>
      </c>
      <c r="R49" s="280" t="s">
        <v>574</v>
      </c>
      <c r="S49" s="107"/>
      <c r="T49" s="107"/>
      <c r="U49" s="308"/>
      <c r="V49" s="107"/>
      <c r="W49" s="107"/>
      <c r="X49" s="107"/>
    </row>
    <row r="50" spans="1:24" ht="13.8" x14ac:dyDescent="0.3">
      <c r="A50" s="213" t="s">
        <v>643</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f t="shared" si="2"/>
        <v>0</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t="s">
        <v>77</v>
      </c>
      <c r="E51" s="292"/>
      <c r="F51" s="292"/>
      <c r="G51" s="292"/>
      <c r="H51" s="212">
        <f>IF(C51&lt;&gt;"",'CBL Score Standard'!$D109,IF(D51&lt;&gt;"",SUM('CBL Score Standard'!$D109:$E109),IF(E51&lt;&gt;"",SUM('CBL Score Standard'!$D109:$F109),IF(F51&lt;&gt;"",SUM('CBL Score Standard'!$D109:$G109),IF(G51&lt;&gt;"",SUM('CBL Score Standard'!$D109:$H109,0))))))</f>
        <v>0.13211382113821138</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f t="shared" si="2"/>
        <v>0</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c r="F53" s="292"/>
      <c r="G53" s="292"/>
      <c r="H53" s="212" t="b">
        <f>IF(C53&lt;&gt;"",'CBL Score Standard'!$D111,IF(D53&lt;&gt;"",SUM('CBL Score Standard'!$D111:$E111),IF(E53&lt;&gt;"",SUM('CBL Score Standard'!$D111:$F111),IF(F53&lt;&gt;"",SUM('CBL Score Standard'!$D111:$G111),IF(G53&lt;&gt;"",SUM('CBL Score Standard'!$D111:$H111,0))))))</f>
        <v>0</v>
      </c>
      <c r="I53" s="182">
        <f t="shared" si="2"/>
        <v>0</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s="181"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s="181" customFormat="1" x14ac:dyDescent="0.3">
      <c r="A56" s="213" t="s">
        <v>643</v>
      </c>
      <c r="B56" s="206" t="s">
        <v>679</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f t="shared" si="2"/>
        <v>0</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t="s">
        <v>77</v>
      </c>
      <c r="D58" s="291"/>
      <c r="E58" s="291"/>
      <c r="F58" s="291"/>
      <c r="G58" s="291"/>
      <c r="H58" s="212">
        <f>IF(C58&lt;&gt;"",'CBL Score Standard'!$D116,IF(D58&lt;&gt;"",SUM('CBL Score Standard'!$D116:$E116),IF(E58&lt;&gt;"",SUM('CBL Score Standard'!$D116:$F116),IF(F58&lt;&gt;"",SUM('CBL Score Standard'!$D116:$G116),IF(G58&lt;&gt;"",SUM('CBL Score Standard'!$D116:$H116,0))))))</f>
        <v>0</v>
      </c>
      <c r="I58" s="182">
        <f t="shared" si="2"/>
        <v>0</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t="s">
        <v>77</v>
      </c>
      <c r="D59" s="240"/>
      <c r="E59" s="292"/>
      <c r="F59" s="292"/>
      <c r="G59" s="292"/>
      <c r="H59" s="212">
        <f>IF(C59&lt;&gt;"",'CBL Score Standard'!$D117,IF(D59&lt;&gt;"",SUM('CBL Score Standard'!$D117:$E117),IF(E59&lt;&gt;"",SUM('CBL Score Standard'!$D117:$F117),IF(F59&lt;&gt;"",SUM('CBL Score Standard'!$D117:$G117),IF(G59&lt;&gt;"",SUM('CBL Score Standard'!$D117:$H117,0))))))</f>
        <v>0</v>
      </c>
      <c r="I59" s="182">
        <f t="shared" si="2"/>
        <v>0</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t="s">
        <v>77</v>
      </c>
      <c r="E61" s="292"/>
      <c r="F61" s="292"/>
      <c r="G61" s="292"/>
      <c r="H61" s="212">
        <f>IF(C61&lt;&gt;"",'CBL Score Standard'!$D118,IF(D61&lt;&gt;"",SUM('CBL Score Standard'!$D118:$E118),IF(E61&lt;&gt;"",SUM('CBL Score Standard'!$D118:$F118),IF(F61&lt;&gt;"",SUM('CBL Score Standard'!$D118:$G118),IF(G61&lt;&gt;"",SUM('CBL Score Standard'!$D118:$H118,0))))))</f>
        <v>0</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c r="G62" s="292"/>
      <c r="H62" s="212" t="b">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t="s">
        <v>77</v>
      </c>
      <c r="E65" s="292"/>
      <c r="F65" s="292"/>
      <c r="G65" s="292"/>
      <c r="H65" s="212">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t="s">
        <v>77</v>
      </c>
      <c r="E66" s="292"/>
      <c r="F66" s="292"/>
      <c r="G66" s="292"/>
      <c r="H66" s="212">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1.7197444831591173</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226"/>
      <c r="D70" s="226"/>
      <c r="E70" s="226"/>
      <c r="F70" s="226"/>
      <c r="G70" s="226"/>
    </row>
    <row r="71" spans="1:18" x14ac:dyDescent="0.3">
      <c r="B71" s="226"/>
      <c r="C71" s="226"/>
      <c r="D71" s="226"/>
      <c r="E71" s="226"/>
      <c r="F71" s="226"/>
      <c r="G71" s="226"/>
    </row>
    <row r="72" spans="1:18" x14ac:dyDescent="0.3">
      <c r="B72" s="226"/>
      <c r="C72" s="226"/>
      <c r="D72" s="226"/>
      <c r="E72" s="226"/>
      <c r="F72" s="226"/>
      <c r="G72" s="226"/>
    </row>
    <row r="73" spans="1:18" x14ac:dyDescent="0.3">
      <c r="B73" s="226"/>
      <c r="C73" s="226"/>
      <c r="D73" s="226"/>
      <c r="E73" s="226"/>
      <c r="F73" s="226"/>
      <c r="G73" s="226"/>
    </row>
    <row r="74" spans="1:18" x14ac:dyDescent="0.3">
      <c r="B74" s="226"/>
      <c r="C74" s="226"/>
      <c r="D74" s="226"/>
      <c r="E74" s="226"/>
      <c r="F74" s="226"/>
      <c r="G74" s="226"/>
    </row>
    <row r="75" spans="1:18" ht="12.75" customHeight="1" x14ac:dyDescent="0.3">
      <c r="B75" s="226"/>
      <c r="C75" s="226"/>
      <c r="D75" s="226"/>
      <c r="E75" s="226"/>
      <c r="F75" s="226"/>
      <c r="G75" s="226"/>
    </row>
    <row r="76" spans="1:18" x14ac:dyDescent="0.3">
      <c r="B76" s="226"/>
      <c r="C76" s="226"/>
      <c r="D76" s="226"/>
      <c r="E76" s="226"/>
      <c r="F76" s="226"/>
      <c r="G76" s="226"/>
    </row>
    <row r="77" spans="1:18" x14ac:dyDescent="0.3">
      <c r="B77" s="226"/>
      <c r="C77" s="226"/>
      <c r="D77" s="226"/>
      <c r="E77" s="226"/>
      <c r="F77" s="226"/>
      <c r="G77" s="226"/>
    </row>
    <row r="78" spans="1:18" x14ac:dyDescent="0.3">
      <c r="B78" s="226"/>
      <c r="C78" s="226"/>
      <c r="D78" s="226"/>
      <c r="E78" s="226"/>
      <c r="F78" s="226"/>
      <c r="G78" s="226"/>
    </row>
    <row r="79" spans="1:18" x14ac:dyDescent="0.3">
      <c r="B79" s="226"/>
      <c r="C79" s="226"/>
      <c r="D79" s="226"/>
      <c r="E79" s="226"/>
      <c r="F79" s="226"/>
      <c r="G79" s="226"/>
    </row>
    <row r="80" spans="1:18" x14ac:dyDescent="0.3">
      <c r="B80" s="226"/>
      <c r="C80" s="226"/>
      <c r="D80" s="226"/>
      <c r="E80" s="226"/>
      <c r="F80" s="226"/>
      <c r="G80" s="226"/>
    </row>
    <row r="81" spans="2:7" x14ac:dyDescent="0.3">
      <c r="B81" s="226"/>
      <c r="C81" s="226"/>
      <c r="D81" s="226"/>
      <c r="E81" s="226"/>
      <c r="F81" s="226"/>
      <c r="G81" s="226"/>
    </row>
    <row r="82" spans="2:7" x14ac:dyDescent="0.3">
      <c r="B82" s="226"/>
      <c r="C82" s="226"/>
      <c r="D82" s="226"/>
      <c r="E82" s="226"/>
      <c r="F82" s="226"/>
      <c r="G82" s="226"/>
    </row>
    <row r="83" spans="2:7" x14ac:dyDescent="0.3">
      <c r="B83" s="226"/>
      <c r="C83" s="226"/>
      <c r="D83" s="226"/>
      <c r="E83" s="226"/>
      <c r="F83" s="226"/>
      <c r="G83" s="226"/>
    </row>
    <row r="84" spans="2:7" x14ac:dyDescent="0.3">
      <c r="B84" s="226"/>
      <c r="C84" s="226"/>
      <c r="D84" s="226"/>
      <c r="E84" s="226"/>
      <c r="F84" s="226"/>
      <c r="G84" s="226"/>
    </row>
    <row r="85" spans="2:7" x14ac:dyDescent="0.3">
      <c r="B85" s="226"/>
      <c r="C85" s="226"/>
      <c r="D85" s="226"/>
      <c r="E85" s="226"/>
      <c r="F85" s="226"/>
      <c r="G85" s="226"/>
    </row>
    <row r="86" spans="2:7" x14ac:dyDescent="0.3">
      <c r="B86" s="226"/>
      <c r="C86" s="226"/>
      <c r="D86" s="226"/>
      <c r="E86" s="226"/>
      <c r="F86" s="226"/>
      <c r="G86" s="226"/>
    </row>
    <row r="87" spans="2:7" x14ac:dyDescent="0.3">
      <c r="B87" s="226"/>
      <c r="C87" s="226"/>
      <c r="D87" s="226"/>
      <c r="E87" s="226"/>
      <c r="F87" s="226"/>
      <c r="G87" s="226"/>
    </row>
    <row r="88" spans="2:7" x14ac:dyDescent="0.3">
      <c r="B88" s="226"/>
      <c r="C88" s="226"/>
      <c r="D88" s="226"/>
      <c r="E88" s="226"/>
      <c r="F88" s="226"/>
      <c r="G88" s="226"/>
    </row>
    <row r="89" spans="2:7" x14ac:dyDescent="0.3">
      <c r="B89" s="226"/>
      <c r="C89" s="226"/>
      <c r="D89" s="226"/>
      <c r="E89" s="226"/>
      <c r="F89" s="226"/>
      <c r="G89" s="226"/>
    </row>
    <row r="90" spans="2:7" x14ac:dyDescent="0.3">
      <c r="B90" s="226"/>
      <c r="C90" s="226"/>
      <c r="D90" s="226"/>
      <c r="E90" s="226"/>
      <c r="F90" s="226"/>
      <c r="G90" s="226"/>
    </row>
    <row r="91" spans="2:7" x14ac:dyDescent="0.3">
      <c r="B91" s="226"/>
      <c r="C91" s="226"/>
      <c r="D91" s="226"/>
      <c r="E91" s="226"/>
      <c r="F91" s="226"/>
      <c r="G91" s="226"/>
    </row>
    <row r="92" spans="2:7" x14ac:dyDescent="0.3">
      <c r="B92" s="226"/>
      <c r="C92" s="226"/>
      <c r="D92" s="226"/>
      <c r="E92" s="226"/>
      <c r="F92" s="226"/>
      <c r="G92" s="226"/>
    </row>
    <row r="93" spans="2:7" x14ac:dyDescent="0.3">
      <c r="B93" s="226"/>
      <c r="C93" s="226"/>
      <c r="D93" s="226"/>
      <c r="E93" s="226"/>
      <c r="F93" s="226"/>
      <c r="G93" s="226"/>
    </row>
    <row r="94" spans="2:7" x14ac:dyDescent="0.3">
      <c r="B94" s="226"/>
      <c r="C94" s="226"/>
      <c r="D94" s="226"/>
      <c r="E94" s="226"/>
      <c r="F94" s="226"/>
      <c r="G94" s="226"/>
    </row>
    <row r="95" spans="2:7" x14ac:dyDescent="0.3">
      <c r="B95" s="226"/>
      <c r="C95" s="226"/>
      <c r="D95" s="226"/>
      <c r="E95" s="226"/>
      <c r="F95" s="226"/>
      <c r="G95" s="226"/>
    </row>
    <row r="96" spans="2:7" x14ac:dyDescent="0.3">
      <c r="B96" s="226"/>
      <c r="C96" s="226"/>
      <c r="D96" s="226"/>
      <c r="E96" s="226"/>
      <c r="F96" s="226"/>
      <c r="G96" s="226"/>
    </row>
    <row r="97" spans="2:7" x14ac:dyDescent="0.3">
      <c r="B97" s="226"/>
      <c r="C97" s="226"/>
      <c r="D97" s="226"/>
      <c r="E97" s="226"/>
      <c r="F97" s="226"/>
      <c r="G97" s="226"/>
    </row>
    <row r="98" spans="2:7" x14ac:dyDescent="0.3">
      <c r="B98" s="226"/>
      <c r="C98" s="226"/>
      <c r="D98" s="226"/>
      <c r="E98" s="226"/>
      <c r="F98" s="226"/>
      <c r="G98" s="226"/>
    </row>
    <row r="99" spans="2:7" x14ac:dyDescent="0.3">
      <c r="B99" s="226"/>
      <c r="C99" s="226"/>
      <c r="D99" s="226"/>
      <c r="E99" s="226"/>
      <c r="F99" s="226"/>
      <c r="G99" s="226"/>
    </row>
    <row r="100" spans="2:7" x14ac:dyDescent="0.3">
      <c r="B100" s="226"/>
      <c r="C100" s="226"/>
      <c r="D100" s="226"/>
      <c r="E100" s="226"/>
      <c r="F100" s="226"/>
      <c r="G100" s="226"/>
    </row>
    <row r="101" spans="2:7" x14ac:dyDescent="0.3">
      <c r="B101" s="226"/>
      <c r="C101" s="226"/>
      <c r="D101" s="226"/>
      <c r="E101" s="226"/>
      <c r="F101" s="226"/>
      <c r="G101" s="226"/>
    </row>
    <row r="102" spans="2:7" x14ac:dyDescent="0.3">
      <c r="B102" s="226"/>
      <c r="C102" s="226"/>
      <c r="D102" s="226"/>
      <c r="E102" s="226"/>
      <c r="F102" s="226"/>
      <c r="G102" s="226"/>
    </row>
    <row r="103" spans="2:7" x14ac:dyDescent="0.3">
      <c r="B103" s="226"/>
      <c r="C103" s="226"/>
      <c r="D103" s="226"/>
      <c r="E103" s="226"/>
      <c r="F103" s="226"/>
      <c r="G103" s="226"/>
    </row>
    <row r="104" spans="2:7" x14ac:dyDescent="0.3">
      <c r="B104" s="226"/>
      <c r="C104" s="226"/>
      <c r="D104" s="226"/>
      <c r="E104" s="226"/>
      <c r="F104" s="226"/>
      <c r="G104" s="226"/>
    </row>
    <row r="105" spans="2:7" x14ac:dyDescent="0.3">
      <c r="B105" s="226"/>
      <c r="C105" s="226"/>
      <c r="D105" s="226"/>
      <c r="E105" s="226"/>
      <c r="F105" s="226"/>
      <c r="G105" s="226"/>
    </row>
    <row r="106" spans="2:7" x14ac:dyDescent="0.3">
      <c r="B106" s="226"/>
      <c r="C106" s="226"/>
      <c r="D106" s="226"/>
      <c r="E106" s="226"/>
      <c r="F106" s="226"/>
      <c r="G106" s="226"/>
    </row>
    <row r="107" spans="2:7" x14ac:dyDescent="0.3">
      <c r="B107" s="226"/>
      <c r="C107" s="226"/>
      <c r="D107" s="226"/>
      <c r="E107" s="226"/>
      <c r="F107" s="226"/>
      <c r="G107" s="226"/>
    </row>
    <row r="108" spans="2:7" x14ac:dyDescent="0.3">
      <c r="B108" s="226"/>
      <c r="C108" s="226"/>
      <c r="D108" s="226"/>
      <c r="E108" s="226"/>
      <c r="F108" s="226"/>
      <c r="G108" s="226"/>
    </row>
    <row r="109" spans="2:7" x14ac:dyDescent="0.3">
      <c r="B109" s="226"/>
      <c r="C109" s="226"/>
      <c r="D109" s="226"/>
      <c r="E109" s="226"/>
      <c r="F109" s="226"/>
      <c r="G109" s="226"/>
    </row>
    <row r="110" spans="2:7" x14ac:dyDescent="0.3">
      <c r="B110" s="226"/>
      <c r="C110" s="226"/>
      <c r="D110" s="226"/>
      <c r="E110" s="226"/>
      <c r="F110" s="226"/>
      <c r="G110" s="226"/>
    </row>
    <row r="111" spans="2:7" x14ac:dyDescent="0.3">
      <c r="B111" s="226"/>
      <c r="C111" s="226"/>
      <c r="D111" s="226"/>
      <c r="E111" s="226"/>
      <c r="F111" s="226"/>
      <c r="G111" s="226"/>
    </row>
    <row r="112" spans="2:7" x14ac:dyDescent="0.3">
      <c r="B112" s="226"/>
      <c r="C112" s="226"/>
      <c r="D112" s="226"/>
      <c r="E112" s="226"/>
      <c r="F112" s="226"/>
      <c r="G112" s="226"/>
    </row>
    <row r="113" spans="2:7" x14ac:dyDescent="0.3">
      <c r="B113" s="226"/>
      <c r="C113" s="226"/>
      <c r="D113" s="226"/>
      <c r="E113" s="226"/>
      <c r="F113" s="226"/>
      <c r="G113" s="226"/>
    </row>
    <row r="114" spans="2:7" x14ac:dyDescent="0.3">
      <c r="B114" s="226"/>
      <c r="C114" s="226"/>
      <c r="D114" s="226"/>
      <c r="E114" s="226"/>
      <c r="F114" s="226"/>
      <c r="G114" s="226"/>
    </row>
    <row r="115" spans="2:7" x14ac:dyDescent="0.3">
      <c r="B115" s="226"/>
      <c r="C115" s="226"/>
      <c r="D115" s="226"/>
      <c r="E115" s="226"/>
      <c r="F115" s="226"/>
      <c r="G115" s="226"/>
    </row>
    <row r="116" spans="2:7" x14ac:dyDescent="0.3">
      <c r="B116" s="226"/>
      <c r="C116" s="226"/>
      <c r="D116" s="226"/>
      <c r="E116" s="226"/>
      <c r="F116" s="226"/>
      <c r="G116" s="226"/>
    </row>
    <row r="117" spans="2:7" x14ac:dyDescent="0.3">
      <c r="B117" s="226"/>
      <c r="C117" s="226"/>
      <c r="D117" s="226"/>
      <c r="E117" s="226"/>
      <c r="F117" s="226"/>
      <c r="G117" s="226"/>
    </row>
    <row r="118" spans="2:7" x14ac:dyDescent="0.3">
      <c r="B118" s="226"/>
      <c r="C118" s="226"/>
      <c r="D118" s="226"/>
      <c r="E118" s="226"/>
      <c r="F118" s="226"/>
      <c r="G118" s="226"/>
    </row>
    <row r="119" spans="2:7" x14ac:dyDescent="0.3">
      <c r="B119" s="226"/>
      <c r="C119" s="226"/>
      <c r="D119" s="226"/>
      <c r="E119" s="226"/>
      <c r="F119" s="226"/>
      <c r="G119" s="226"/>
    </row>
    <row r="120" spans="2:7" x14ac:dyDescent="0.3">
      <c r="B120" s="226"/>
      <c r="C120" s="226"/>
      <c r="D120" s="226"/>
      <c r="E120" s="226"/>
      <c r="F120" s="226"/>
      <c r="G120" s="226"/>
    </row>
    <row r="121" spans="2:7" x14ac:dyDescent="0.3">
      <c r="B121" s="226"/>
      <c r="C121" s="226"/>
      <c r="D121" s="226"/>
      <c r="E121" s="226"/>
      <c r="F121" s="226"/>
      <c r="G121" s="226"/>
    </row>
    <row r="122" spans="2:7" x14ac:dyDescent="0.3">
      <c r="B122" s="226"/>
      <c r="C122" s="226"/>
      <c r="D122" s="226"/>
      <c r="E122" s="226"/>
      <c r="F122" s="226"/>
      <c r="G122" s="226"/>
    </row>
    <row r="123" spans="2:7" x14ac:dyDescent="0.3">
      <c r="B123" s="226"/>
      <c r="C123" s="226"/>
      <c r="D123" s="226"/>
      <c r="E123" s="226"/>
      <c r="F123" s="226"/>
      <c r="G123" s="226"/>
    </row>
    <row r="124" spans="2:7" x14ac:dyDescent="0.3">
      <c r="B124" s="226"/>
      <c r="C124" s="226"/>
      <c r="D124" s="226"/>
      <c r="E124" s="226"/>
      <c r="F124" s="226"/>
      <c r="G124" s="226"/>
    </row>
    <row r="125" spans="2:7" x14ac:dyDescent="0.3">
      <c r="B125" s="226"/>
      <c r="C125" s="226"/>
      <c r="D125" s="226"/>
      <c r="E125" s="226"/>
      <c r="F125" s="226"/>
      <c r="G125" s="226"/>
    </row>
    <row r="126" spans="2:7" x14ac:dyDescent="0.3">
      <c r="C126" s="226"/>
      <c r="D126" s="226"/>
      <c r="E126" s="226"/>
      <c r="F126" s="226"/>
      <c r="G126" s="226"/>
    </row>
    <row r="127" spans="2:7" x14ac:dyDescent="0.3">
      <c r="C127" s="226"/>
      <c r="D127" s="226"/>
      <c r="E127" s="226"/>
      <c r="F127" s="226"/>
      <c r="G127" s="226"/>
    </row>
    <row r="128" spans="2:7" x14ac:dyDescent="0.3">
      <c r="C128" s="226"/>
      <c r="D128" s="226"/>
      <c r="E128" s="226"/>
      <c r="F128" s="226"/>
      <c r="G128" s="226"/>
    </row>
    <row r="129" spans="3:7" x14ac:dyDescent="0.3">
      <c r="C129" s="226"/>
      <c r="D129" s="226"/>
      <c r="E129" s="226"/>
      <c r="F129" s="226"/>
      <c r="G129" s="226"/>
    </row>
    <row r="130" spans="3:7" x14ac:dyDescent="0.3">
      <c r="C130" s="226"/>
      <c r="D130" s="226"/>
      <c r="E130" s="226"/>
      <c r="F130" s="226"/>
      <c r="G130" s="226"/>
    </row>
    <row r="131" spans="3:7" x14ac:dyDescent="0.3">
      <c r="C131" s="226"/>
      <c r="D131" s="226"/>
      <c r="E131" s="226"/>
      <c r="F131" s="226"/>
      <c r="G131" s="226"/>
    </row>
    <row r="132" spans="3:7" x14ac:dyDescent="0.3">
      <c r="C132" s="226"/>
      <c r="D132" s="226"/>
      <c r="E132" s="226"/>
      <c r="F132" s="226"/>
      <c r="G132" s="226"/>
    </row>
    <row r="133" spans="3:7" x14ac:dyDescent="0.3">
      <c r="C133" s="226"/>
      <c r="D133" s="226"/>
      <c r="E133" s="226"/>
      <c r="F133" s="226"/>
      <c r="G133" s="226"/>
    </row>
    <row r="134" spans="3:7" x14ac:dyDescent="0.3">
      <c r="C134" s="226"/>
      <c r="D134" s="226"/>
      <c r="E134" s="226"/>
      <c r="F134" s="226"/>
      <c r="G134" s="226"/>
    </row>
    <row r="135" spans="3:7" x14ac:dyDescent="0.3">
      <c r="C135" s="226"/>
      <c r="D135" s="226"/>
      <c r="E135" s="226"/>
      <c r="F135" s="226"/>
      <c r="G135" s="226"/>
    </row>
    <row r="136" spans="3:7" x14ac:dyDescent="0.3">
      <c r="C136" s="226"/>
      <c r="D136" s="226"/>
      <c r="E136" s="226"/>
      <c r="F136" s="226"/>
      <c r="G136" s="226"/>
    </row>
    <row r="137" spans="3:7" x14ac:dyDescent="0.3">
      <c r="C137" s="226"/>
      <c r="D137" s="226"/>
      <c r="E137" s="226"/>
      <c r="F137" s="226"/>
      <c r="G137" s="226"/>
    </row>
    <row r="138" spans="3:7" x14ac:dyDescent="0.3">
      <c r="C138" s="226"/>
      <c r="D138" s="226"/>
      <c r="E138" s="226"/>
      <c r="F138" s="226"/>
      <c r="G138" s="226"/>
    </row>
    <row r="139" spans="3:7" x14ac:dyDescent="0.3">
      <c r="C139" s="226"/>
      <c r="D139" s="226"/>
      <c r="E139" s="226"/>
      <c r="F139" s="226"/>
      <c r="G139" s="226"/>
    </row>
    <row r="140" spans="3:7" x14ac:dyDescent="0.3">
      <c r="C140" s="226"/>
      <c r="D140" s="226"/>
      <c r="E140" s="226"/>
      <c r="F140" s="226"/>
      <c r="G140" s="226"/>
    </row>
    <row r="141" spans="3:7" x14ac:dyDescent="0.3">
      <c r="C141" s="226"/>
      <c r="D141" s="226"/>
      <c r="E141" s="226"/>
      <c r="F141" s="226"/>
      <c r="G141" s="226"/>
    </row>
    <row r="142" spans="3:7" x14ac:dyDescent="0.3">
      <c r="C142" s="226"/>
      <c r="D142" s="226"/>
      <c r="E142" s="226"/>
      <c r="F142" s="226"/>
      <c r="G142" s="226"/>
    </row>
    <row r="143" spans="3:7" x14ac:dyDescent="0.3">
      <c r="C143" s="226"/>
      <c r="D143" s="226"/>
      <c r="E143" s="226"/>
      <c r="F143" s="226"/>
      <c r="G143" s="226"/>
    </row>
    <row r="144" spans="3:7" x14ac:dyDescent="0.3">
      <c r="C144" s="226"/>
      <c r="D144" s="226"/>
      <c r="E144" s="226"/>
      <c r="F144" s="226"/>
      <c r="G144" s="226"/>
    </row>
    <row r="145" spans="3:7" x14ac:dyDescent="0.3">
      <c r="C145" s="226"/>
      <c r="D145" s="226"/>
      <c r="E145" s="226"/>
      <c r="F145" s="226"/>
      <c r="G145" s="226"/>
    </row>
    <row r="146" spans="3:7" x14ac:dyDescent="0.3">
      <c r="C146" s="226"/>
      <c r="D146" s="226"/>
      <c r="E146" s="226"/>
      <c r="F146" s="226"/>
      <c r="G146" s="226"/>
    </row>
    <row r="147" spans="3:7" x14ac:dyDescent="0.3">
      <c r="C147" s="226"/>
      <c r="D147" s="226"/>
      <c r="E147" s="226"/>
      <c r="F147" s="226"/>
      <c r="G147" s="226"/>
    </row>
    <row r="148" spans="3:7" x14ac:dyDescent="0.3">
      <c r="C148" s="226"/>
      <c r="D148" s="226"/>
      <c r="E148" s="226"/>
      <c r="F148" s="226"/>
      <c r="G148" s="226"/>
    </row>
    <row r="149" spans="3:7" x14ac:dyDescent="0.3">
      <c r="C149" s="226"/>
      <c r="D149" s="226"/>
      <c r="E149" s="226"/>
      <c r="F149" s="226"/>
      <c r="G149" s="226"/>
    </row>
    <row r="150" spans="3:7" x14ac:dyDescent="0.3">
      <c r="C150" s="226"/>
      <c r="D150" s="226"/>
      <c r="E150" s="226"/>
      <c r="F150" s="226"/>
      <c r="G150" s="226"/>
    </row>
    <row r="151" spans="3:7" x14ac:dyDescent="0.3">
      <c r="C151" s="226"/>
      <c r="D151" s="226"/>
      <c r="E151" s="226"/>
      <c r="F151" s="226"/>
      <c r="G151" s="226"/>
    </row>
    <row r="152" spans="3:7" x14ac:dyDescent="0.3">
      <c r="C152" s="226"/>
      <c r="D152" s="226"/>
      <c r="E152" s="226"/>
      <c r="F152" s="226"/>
      <c r="G152" s="226"/>
    </row>
    <row r="153" spans="3:7" x14ac:dyDescent="0.3">
      <c r="C153" s="226"/>
      <c r="D153" s="226"/>
      <c r="E153" s="226"/>
      <c r="F153" s="226"/>
      <c r="G153" s="226"/>
    </row>
    <row r="154" spans="3:7" x14ac:dyDescent="0.3">
      <c r="C154" s="226"/>
      <c r="D154" s="226"/>
      <c r="E154" s="226"/>
      <c r="F154" s="226"/>
      <c r="G154" s="226"/>
    </row>
    <row r="155" spans="3:7" x14ac:dyDescent="0.3">
      <c r="C155" s="226"/>
      <c r="D155" s="226"/>
      <c r="E155" s="226"/>
      <c r="F155" s="226"/>
      <c r="G155" s="226"/>
    </row>
    <row r="156" spans="3:7" x14ac:dyDescent="0.3">
      <c r="C156" s="226"/>
      <c r="D156" s="226"/>
      <c r="E156" s="226"/>
      <c r="F156" s="226"/>
      <c r="G156" s="226"/>
    </row>
    <row r="157" spans="3:7" x14ac:dyDescent="0.3">
      <c r="C157" s="226"/>
      <c r="D157" s="226"/>
      <c r="E157" s="226"/>
      <c r="F157" s="226"/>
      <c r="G157" s="226"/>
    </row>
    <row r="158" spans="3:7" x14ac:dyDescent="0.3">
      <c r="C158" s="226"/>
      <c r="D158" s="226"/>
      <c r="E158" s="226"/>
      <c r="F158" s="226"/>
      <c r="G158" s="226"/>
    </row>
    <row r="159" spans="3:7" x14ac:dyDescent="0.3">
      <c r="C159" s="226"/>
      <c r="D159" s="226"/>
      <c r="E159" s="226"/>
      <c r="F159" s="226"/>
      <c r="G159" s="226"/>
    </row>
    <row r="160" spans="3:7" x14ac:dyDescent="0.3">
      <c r="C160" s="226"/>
      <c r="D160" s="226"/>
      <c r="E160" s="226"/>
      <c r="F160" s="226"/>
      <c r="G160" s="226"/>
    </row>
    <row r="161" spans="3:7" x14ac:dyDescent="0.3">
      <c r="C161" s="226"/>
      <c r="D161" s="226"/>
      <c r="E161" s="226"/>
      <c r="F161" s="226"/>
      <c r="G161" s="226"/>
    </row>
    <row r="162" spans="3:7" x14ac:dyDescent="0.3">
      <c r="C162" s="226"/>
      <c r="D162" s="226"/>
      <c r="E162" s="226"/>
      <c r="F162" s="226"/>
      <c r="G162" s="226"/>
    </row>
    <row r="163" spans="3:7" x14ac:dyDescent="0.3">
      <c r="C163" s="226"/>
      <c r="D163" s="226"/>
      <c r="E163" s="226"/>
      <c r="F163" s="226"/>
      <c r="G163" s="226"/>
    </row>
    <row r="164" spans="3:7" x14ac:dyDescent="0.3">
      <c r="C164" s="226"/>
      <c r="D164" s="226"/>
      <c r="E164" s="226"/>
      <c r="F164" s="226"/>
      <c r="G164" s="226"/>
    </row>
    <row r="165" spans="3:7" x14ac:dyDescent="0.3">
      <c r="C165" s="226"/>
      <c r="D165" s="226"/>
      <c r="E165" s="226"/>
      <c r="F165" s="226"/>
      <c r="G165" s="226"/>
    </row>
    <row r="166" spans="3:7" x14ac:dyDescent="0.3">
      <c r="C166" s="226"/>
      <c r="D166" s="226"/>
      <c r="E166" s="226"/>
      <c r="F166" s="226"/>
      <c r="G166" s="226"/>
    </row>
    <row r="167" spans="3:7" x14ac:dyDescent="0.3">
      <c r="C167" s="226"/>
      <c r="D167" s="226"/>
      <c r="E167" s="226"/>
      <c r="F167" s="226"/>
      <c r="G167" s="226"/>
    </row>
    <row r="168" spans="3:7" x14ac:dyDescent="0.3">
      <c r="C168" s="226"/>
      <c r="D168" s="226"/>
      <c r="E168" s="226"/>
      <c r="F168" s="226"/>
      <c r="G168" s="226"/>
    </row>
    <row r="169" spans="3:7" x14ac:dyDescent="0.3">
      <c r="C169" s="226"/>
      <c r="D169" s="226"/>
      <c r="E169" s="226"/>
      <c r="F169" s="226"/>
      <c r="G169" s="226"/>
    </row>
    <row r="170" spans="3:7" x14ac:dyDescent="0.3">
      <c r="C170" s="226"/>
      <c r="D170" s="226"/>
      <c r="E170" s="226"/>
      <c r="F170" s="226"/>
      <c r="G170" s="226"/>
    </row>
    <row r="171" spans="3:7" x14ac:dyDescent="0.3">
      <c r="C171" s="226"/>
      <c r="D171" s="226"/>
      <c r="E171" s="226"/>
      <c r="F171" s="226"/>
      <c r="G171" s="226"/>
    </row>
    <row r="172" spans="3:7" x14ac:dyDescent="0.3">
      <c r="C172" s="226"/>
      <c r="D172" s="226"/>
      <c r="E172" s="226"/>
      <c r="F172" s="226"/>
      <c r="G172" s="226"/>
    </row>
    <row r="173" spans="3:7" x14ac:dyDescent="0.3">
      <c r="C173" s="226"/>
      <c r="D173" s="226"/>
      <c r="E173" s="226"/>
      <c r="F173" s="226"/>
      <c r="G173" s="226"/>
    </row>
    <row r="174" spans="3:7" x14ac:dyDescent="0.3">
      <c r="C174" s="226"/>
      <c r="D174" s="226"/>
      <c r="E174" s="226"/>
      <c r="F174" s="226"/>
      <c r="G174" s="226"/>
    </row>
    <row r="175" spans="3:7" x14ac:dyDescent="0.3">
      <c r="C175" s="226"/>
      <c r="D175" s="226"/>
      <c r="E175" s="226"/>
      <c r="F175" s="226"/>
      <c r="G175" s="226"/>
    </row>
    <row r="176" spans="3:7" x14ac:dyDescent="0.3">
      <c r="C176" s="226"/>
      <c r="D176" s="226"/>
      <c r="E176" s="226"/>
      <c r="F176" s="226"/>
      <c r="G176" s="226"/>
    </row>
    <row r="177" spans="3:7" x14ac:dyDescent="0.3">
      <c r="C177" s="226"/>
      <c r="D177" s="226"/>
      <c r="E177" s="226"/>
      <c r="F177" s="226"/>
      <c r="G177" s="226"/>
    </row>
    <row r="178" spans="3:7" x14ac:dyDescent="0.3">
      <c r="C178" s="226"/>
      <c r="D178" s="226"/>
      <c r="E178" s="226"/>
      <c r="F178" s="226"/>
      <c r="G178" s="226"/>
    </row>
    <row r="179" spans="3:7" x14ac:dyDescent="0.3">
      <c r="C179" s="226"/>
      <c r="D179" s="226"/>
      <c r="E179" s="226"/>
      <c r="F179" s="226"/>
      <c r="G179" s="226"/>
    </row>
    <row r="180" spans="3:7" x14ac:dyDescent="0.3">
      <c r="C180" s="226"/>
      <c r="D180" s="226"/>
      <c r="E180" s="226"/>
      <c r="F180" s="226"/>
      <c r="G180" s="226"/>
    </row>
    <row r="181" spans="3:7" x14ac:dyDescent="0.3">
      <c r="C181" s="226"/>
      <c r="D181" s="226"/>
      <c r="E181" s="226"/>
      <c r="F181" s="226"/>
      <c r="G181" s="226"/>
    </row>
    <row r="182" spans="3:7" x14ac:dyDescent="0.3">
      <c r="C182" s="226"/>
      <c r="D182" s="226"/>
      <c r="E182" s="226"/>
      <c r="F182" s="226"/>
      <c r="G182" s="226"/>
    </row>
    <row r="183" spans="3:7" x14ac:dyDescent="0.3">
      <c r="C183" s="226"/>
      <c r="D183" s="226"/>
      <c r="E183" s="226"/>
      <c r="F183" s="226"/>
      <c r="G183" s="226"/>
    </row>
    <row r="184" spans="3:7" x14ac:dyDescent="0.3">
      <c r="C184" s="226"/>
      <c r="D184" s="226"/>
      <c r="E184" s="226"/>
      <c r="F184" s="226"/>
      <c r="G184" s="226"/>
    </row>
    <row r="185" spans="3:7" x14ac:dyDescent="0.3">
      <c r="C185" s="226"/>
      <c r="D185" s="226"/>
      <c r="E185" s="226"/>
      <c r="F185" s="226"/>
      <c r="G185" s="226"/>
    </row>
    <row r="186" spans="3:7" x14ac:dyDescent="0.3">
      <c r="C186" s="226"/>
      <c r="D186" s="226"/>
      <c r="E186" s="226"/>
      <c r="F186" s="226"/>
      <c r="G186" s="226"/>
    </row>
    <row r="187" spans="3:7" x14ac:dyDescent="0.3">
      <c r="C187" s="226"/>
      <c r="D187" s="226"/>
      <c r="E187" s="226"/>
      <c r="F187" s="226"/>
      <c r="G187" s="226"/>
    </row>
    <row r="188" spans="3:7" x14ac:dyDescent="0.3">
      <c r="C188" s="226"/>
      <c r="D188" s="226"/>
      <c r="E188" s="226"/>
      <c r="F188" s="226"/>
      <c r="G188" s="226"/>
    </row>
    <row r="189" spans="3:7" x14ac:dyDescent="0.3">
      <c r="C189" s="226"/>
      <c r="D189" s="226"/>
      <c r="E189" s="226"/>
      <c r="F189" s="226"/>
      <c r="G189" s="226"/>
    </row>
    <row r="190" spans="3:7" x14ac:dyDescent="0.3">
      <c r="C190" s="226"/>
      <c r="D190" s="226"/>
      <c r="E190" s="226"/>
      <c r="F190" s="226"/>
      <c r="G190" s="226"/>
    </row>
    <row r="191" spans="3:7" x14ac:dyDescent="0.3">
      <c r="C191" s="226"/>
      <c r="D191" s="226"/>
      <c r="E191" s="226"/>
      <c r="F191" s="226"/>
      <c r="G191" s="226"/>
    </row>
    <row r="192" spans="3:7" x14ac:dyDescent="0.3">
      <c r="C192" s="226"/>
      <c r="D192" s="226"/>
      <c r="E192" s="226"/>
      <c r="F192" s="226"/>
      <c r="G192" s="226"/>
    </row>
    <row r="193" spans="3:7" x14ac:dyDescent="0.3">
      <c r="C193" s="226"/>
      <c r="D193" s="226"/>
      <c r="E193" s="226"/>
      <c r="F193" s="226"/>
      <c r="G193" s="226"/>
    </row>
    <row r="194" spans="3:7" x14ac:dyDescent="0.3">
      <c r="C194" s="226"/>
      <c r="D194" s="226"/>
      <c r="E194" s="226"/>
      <c r="F194" s="226"/>
      <c r="G194" s="226"/>
    </row>
    <row r="195" spans="3:7" x14ac:dyDescent="0.3">
      <c r="C195" s="226"/>
      <c r="D195" s="226"/>
      <c r="E195" s="226"/>
      <c r="F195" s="226"/>
      <c r="G195" s="226"/>
    </row>
    <row r="196" spans="3:7" x14ac:dyDescent="0.3">
      <c r="C196" s="226"/>
      <c r="D196" s="226"/>
      <c r="E196" s="226"/>
      <c r="F196" s="226"/>
      <c r="G196" s="226"/>
    </row>
    <row r="197" spans="3:7" x14ac:dyDescent="0.3">
      <c r="C197" s="226"/>
      <c r="D197" s="226"/>
      <c r="E197" s="226"/>
      <c r="F197" s="226"/>
      <c r="G197" s="226"/>
    </row>
  </sheetData>
  <mergeCells count="6">
    <mergeCell ref="A69:G69"/>
    <mergeCell ref="A1:H1"/>
    <mergeCell ref="M2:M3"/>
    <mergeCell ref="N2:N3"/>
    <mergeCell ref="S2:S3"/>
    <mergeCell ref="A67:G67"/>
  </mergeCells>
  <conditionalFormatting sqref="B126:B1048576 B1:B6 B70">
    <cfRule type="duplicateValues" dxfId="96" priority="42"/>
  </conditionalFormatting>
  <conditionalFormatting sqref="C7:D7 F7:H7">
    <cfRule type="containsText" dxfId="95" priority="31" operator="containsText" text="N/A">
      <formula>NOT(ISERROR(SEARCH("N/A",C7)))</formula>
    </cfRule>
    <cfRule type="containsText" dxfId="94" priority="32" operator="containsText" text="Blank">
      <formula>NOT(ISERROR(SEARCH("Blank",C7)))</formula>
    </cfRule>
    <cfRule type="containsText" dxfId="93" priority="33" operator="containsText" text="M">
      <formula>NOT(ISERROR(SEARCH("M",C7)))</formula>
    </cfRule>
  </conditionalFormatting>
  <conditionalFormatting sqref="B67:B69 B7">
    <cfRule type="duplicateValues" dxfId="92" priority="30"/>
  </conditionalFormatting>
  <conditionalFormatting sqref="B30">
    <cfRule type="duplicateValues" dxfId="91" priority="13"/>
  </conditionalFormatting>
  <conditionalFormatting sqref="B55">
    <cfRule type="duplicateValues" dxfId="90" priority="12"/>
  </conditionalFormatting>
  <conditionalFormatting sqref="B13">
    <cfRule type="duplicateValues" dxfId="89" priority="11"/>
  </conditionalFormatting>
  <conditionalFormatting sqref="B56:B66 B31:B54 B8:B12 B14:B28">
    <cfRule type="duplicateValues" dxfId="88" priority="14"/>
  </conditionalFormatting>
  <conditionalFormatting sqref="B29">
    <cfRule type="duplicateValues" dxfId="87" priority="15"/>
  </conditionalFormatting>
  <conditionalFormatting sqref="O25">
    <cfRule type="duplicateValues" dxfId="86" priority="1"/>
  </conditionalFormatting>
  <conditionalFormatting sqref="O4:O9 O12:O18">
    <cfRule type="duplicateValues" dxfId="85" priority="10"/>
  </conditionalFormatting>
  <conditionalFormatting sqref="O10">
    <cfRule type="duplicateValues" dxfId="84" priority="9"/>
  </conditionalFormatting>
  <conditionalFormatting sqref="O11">
    <cfRule type="duplicateValues" dxfId="83" priority="8"/>
  </conditionalFormatting>
  <conditionalFormatting sqref="O19:O24 O32:O34 O26:O30">
    <cfRule type="duplicateValues" dxfId="82" priority="7"/>
  </conditionalFormatting>
  <conditionalFormatting sqref="O36:O52">
    <cfRule type="duplicateValues" dxfId="81" priority="6"/>
  </conditionalFormatting>
  <conditionalFormatting sqref="O35">
    <cfRule type="duplicateValues" dxfId="80" priority="5"/>
  </conditionalFormatting>
  <conditionalFormatting sqref="O53:O60">
    <cfRule type="duplicateValues" dxfId="79" priority="4"/>
  </conditionalFormatting>
  <conditionalFormatting sqref="O61:O64">
    <cfRule type="duplicateValues" dxfId="78" priority="3"/>
  </conditionalFormatting>
  <conditionalFormatting sqref="O31">
    <cfRule type="duplicateValues" dxfId="77"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2 T69:X1048576 T3:X18 T20:X64">
      <formula1>"M, O, N/A"</formula1>
    </dataValidation>
  </dataValidations>
  <pageMargins left="0.25" right="0" top="0.25" bottom="0.25" header="0.3" footer="0"/>
  <pageSetup scale="30" fitToHeight="0" orientation="landscape"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theme="7" tint="0.79998168889431442"/>
  </sheetPr>
  <dimension ref="A1:X197"/>
  <sheetViews>
    <sheetView showGridLines="0" topLeftCell="K1" zoomScale="70" zoomScaleNormal="70" workbookViewId="0">
      <selection activeCell="S4" sqref="S4:X60"/>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4" customHeight="1" x14ac:dyDescent="0.3">
      <c r="A2" s="70" t="s">
        <v>357</v>
      </c>
      <c r="B2" s="58" t="s">
        <v>320</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43102</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3.095890410958904</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8.5</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11.595890410958905</v>
      </c>
      <c r="C6" s="97"/>
      <c r="K6" s="107"/>
      <c r="L6" s="107"/>
      <c r="M6" s="254" t="s">
        <v>5</v>
      </c>
      <c r="N6" s="255" t="s">
        <v>148</v>
      </c>
      <c r="O6" s="256" t="s">
        <v>148</v>
      </c>
      <c r="P6" s="259" t="s">
        <v>144</v>
      </c>
      <c r="Q6" s="259" t="s">
        <v>149</v>
      </c>
      <c r="R6" s="259" t="s">
        <v>150</v>
      </c>
      <c r="S6" s="237" t="s">
        <v>320</v>
      </c>
      <c r="T6" s="107" t="s">
        <v>72</v>
      </c>
      <c r="U6" s="308">
        <v>43755</v>
      </c>
      <c r="V6" s="107" t="s">
        <v>364</v>
      </c>
      <c r="W6" s="107"/>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c r="W7" s="237"/>
      <c r="X7" s="107"/>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f t="shared" ref="I8:I39" si="0">VLOOKUP(B8,$O$4:$W$64,8,0)</f>
        <v>0</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f t="shared" si="0"/>
        <v>0</v>
      </c>
      <c r="J9" s="182">
        <f t="shared" si="1"/>
        <v>0</v>
      </c>
      <c r="K9" s="107"/>
      <c r="L9" s="107"/>
      <c r="M9" s="254" t="s">
        <v>5</v>
      </c>
      <c r="N9" s="255" t="s">
        <v>678</v>
      </c>
      <c r="O9" s="257" t="s">
        <v>592</v>
      </c>
      <c r="P9" s="259" t="s">
        <v>144</v>
      </c>
      <c r="Q9" s="259" t="s">
        <v>153</v>
      </c>
      <c r="R9" s="259" t="s">
        <v>263</v>
      </c>
      <c r="S9" s="237"/>
      <c r="T9" s="107"/>
      <c r="U9" s="308"/>
      <c r="V9" s="107" t="s">
        <v>364</v>
      </c>
      <c r="W9" s="107"/>
      <c r="X9" s="107" t="s">
        <v>367</v>
      </c>
    </row>
    <row r="10" spans="1:24" ht="13.8" x14ac:dyDescent="0.3">
      <c r="A10" s="213" t="s">
        <v>56</v>
      </c>
      <c r="B10" s="206" t="s">
        <v>213</v>
      </c>
      <c r="C10" s="240"/>
      <c r="D10" s="240"/>
      <c r="E10" s="292" t="s">
        <v>77</v>
      </c>
      <c r="F10" s="292"/>
      <c r="G10" s="292"/>
      <c r="H10" s="212">
        <f>IF(C10&lt;&gt;"",'CBL Score Standard'!$D68,IF(D10&lt;&gt;"",SUM('CBL Score Standard'!$D68:$E68),IF(E10&lt;&gt;"",SUM('CBL Score Standard'!$D68:$F68),IF(F10&lt;&gt;"",SUM('CBL Score Standard'!$D68:$G68),IF(G10&lt;&gt;"",SUM('CBL Score Standard'!$D68:$H68,0))))))</f>
        <v>2.8571428571428571E-2</v>
      </c>
      <c r="I10" s="182" t="str">
        <f t="shared" si="0"/>
        <v>Passed</v>
      </c>
      <c r="J10" s="182" t="str">
        <f t="shared" si="1"/>
        <v>Y</v>
      </c>
      <c r="K10" s="107"/>
      <c r="L10" s="107"/>
      <c r="M10" s="254" t="s">
        <v>5</v>
      </c>
      <c r="N10" s="255" t="s">
        <v>678</v>
      </c>
      <c r="O10" s="257" t="s">
        <v>593</v>
      </c>
      <c r="P10" s="259" t="s">
        <v>144</v>
      </c>
      <c r="Q10" s="259" t="s">
        <v>590</v>
      </c>
      <c r="R10" s="259" t="s">
        <v>274</v>
      </c>
      <c r="S10" s="237"/>
      <c r="T10" s="107"/>
      <c r="U10" s="308"/>
      <c r="V10" s="107"/>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t="s">
        <v>743</v>
      </c>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320</v>
      </c>
      <c r="T13" s="107" t="s">
        <v>72</v>
      </c>
      <c r="U13" s="308">
        <v>43755</v>
      </c>
      <c r="V13" s="107" t="s">
        <v>364</v>
      </c>
      <c r="W13" s="107" t="s">
        <v>367</v>
      </c>
      <c r="X13" s="107" t="s">
        <v>367</v>
      </c>
    </row>
    <row r="14" spans="1:24" ht="13.8" x14ac:dyDescent="0.3">
      <c r="A14" s="213" t="s">
        <v>55</v>
      </c>
      <c r="B14" s="206" t="s">
        <v>617</v>
      </c>
      <c r="C14" s="240"/>
      <c r="D14" s="240"/>
      <c r="E14" s="240" t="s">
        <v>77</v>
      </c>
      <c r="F14" s="292"/>
      <c r="G14" s="292"/>
      <c r="H14" s="212">
        <f>IF(C14&lt;&gt;"",'CBL Score Standard'!$D72,IF(D14&lt;&gt;"",SUM('CBL Score Standard'!$D72:$E72),IF(E14&lt;&gt;"",SUM('CBL Score Standard'!$D72:$F72),IF(F14&lt;&gt;"",SUM('CBL Score Standard'!$D72:$G72),IF(G14&lt;&gt;"",SUM('CBL Score Standard'!$D72:$H72,0))))))</f>
        <v>1.4285714285714285E-2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t="s">
        <v>77</v>
      </c>
      <c r="F15" s="292"/>
      <c r="G15" s="292"/>
      <c r="H15" s="212">
        <f>IF(C15&lt;&gt;"",'CBL Score Standard'!$D73,IF(D15&lt;&gt;"",SUM('CBL Score Standard'!$D73:$E73),IF(E15&lt;&gt;"",SUM('CBL Score Standard'!$D73:$F73),IF(F15&lt;&gt;"",SUM('CBL Score Standard'!$D73:$G73),IF(G15&lt;&gt;"",SUM('CBL Score Standard'!$D73:$H73,0))))))</f>
        <v>2.8571428571428571E-2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t="str">
        <f t="shared" si="0"/>
        <v>Passed</v>
      </c>
      <c r="J16" s="182" t="str">
        <f t="shared" si="1"/>
        <v>Y</v>
      </c>
      <c r="K16" s="107"/>
      <c r="L16" s="107"/>
      <c r="M16" s="254" t="s">
        <v>5</v>
      </c>
      <c r="N16" s="255" t="s">
        <v>41</v>
      </c>
      <c r="O16" s="257" t="s">
        <v>412</v>
      </c>
      <c r="P16" s="260"/>
      <c r="Q16" s="259" t="s">
        <v>371</v>
      </c>
      <c r="R16" s="259" t="s">
        <v>372</v>
      </c>
      <c r="S16" s="107"/>
      <c r="T16" s="107"/>
      <c r="U16" s="308"/>
      <c r="V16" s="107"/>
      <c r="W16" s="107"/>
      <c r="X16" s="107"/>
    </row>
    <row r="17" spans="1:24" ht="13.8"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c r="T18" s="107"/>
      <c r="U18" s="308"/>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321</v>
      </c>
      <c r="T19" s="296" t="s">
        <v>72</v>
      </c>
      <c r="U19" s="309"/>
      <c r="V19" s="296" t="s">
        <v>364</v>
      </c>
      <c r="X19" s="378" t="s">
        <v>367</v>
      </c>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c r="T20" s="107"/>
      <c r="U20" s="308"/>
      <c r="V20" s="107"/>
      <c r="W20" s="107"/>
      <c r="X20" s="107" t="s">
        <v>367</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t="s">
        <v>72</v>
      </c>
      <c r="U21" s="308"/>
      <c r="V21" s="107"/>
      <c r="W21" s="107"/>
      <c r="X21" s="107"/>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f t="shared" si="0"/>
        <v>0</v>
      </c>
      <c r="J22" s="182">
        <f t="shared" si="1"/>
        <v>0</v>
      </c>
      <c r="K22" s="107"/>
      <c r="L22" s="107"/>
      <c r="M22" s="266" t="s">
        <v>6</v>
      </c>
      <c r="N22" s="267" t="s">
        <v>678</v>
      </c>
      <c r="O22" s="270" t="s">
        <v>186</v>
      </c>
      <c r="P22" s="274">
        <v>44392</v>
      </c>
      <c r="Q22" s="269" t="s">
        <v>153</v>
      </c>
      <c r="R22" s="269" t="s">
        <v>263</v>
      </c>
      <c r="S22" s="237" t="s">
        <v>320</v>
      </c>
      <c r="T22" s="107"/>
      <c r="U22" s="308">
        <v>44092</v>
      </c>
      <c r="V22" s="107" t="s">
        <v>364</v>
      </c>
      <c r="W22" s="107" t="s">
        <v>367</v>
      </c>
      <c r="X22" s="107"/>
    </row>
    <row r="23" spans="1:24" ht="12.75" customHeight="1" x14ac:dyDescent="0.3">
      <c r="A23" s="213" t="s">
        <v>55</v>
      </c>
      <c r="B23" s="206" t="s">
        <v>410</v>
      </c>
      <c r="C23" s="240"/>
      <c r="D23" s="240"/>
      <c r="E23" s="240" t="s">
        <v>77</v>
      </c>
      <c r="F23" s="292"/>
      <c r="G23" s="292"/>
      <c r="H23" s="212">
        <f>IF(C23&lt;&gt;"",'CBL Score Standard'!$D81,IF(D23&lt;&gt;"",SUM('CBL Score Standard'!$D81:$E81),IF(E23&lt;&gt;"",SUM('CBL Score Standard'!$D81:$F81),IF(F23&lt;&gt;"",SUM('CBL Score Standard'!$D81:$G81),IF(G23&lt;&gt;"",SUM('CBL Score Standard'!$D81:$H81,0))))))</f>
        <v>2.8571428571428571E-2</v>
      </c>
      <c r="I23" s="182" t="str">
        <f t="shared" si="0"/>
        <v>Passed</v>
      </c>
      <c r="J23" s="182">
        <f t="shared" si="1"/>
        <v>0</v>
      </c>
      <c r="K23" s="107"/>
      <c r="L23" s="107"/>
      <c r="M23" s="266" t="s">
        <v>6</v>
      </c>
      <c r="N23" s="267" t="s">
        <v>678</v>
      </c>
      <c r="O23" s="252" t="s">
        <v>652</v>
      </c>
      <c r="P23" s="273">
        <v>44378</v>
      </c>
      <c r="Q23" s="269" t="s">
        <v>590</v>
      </c>
      <c r="R23" s="269" t="s">
        <v>274</v>
      </c>
      <c r="S23" s="237"/>
      <c r="T23" s="107" t="s">
        <v>73</v>
      </c>
      <c r="U23" s="308"/>
      <c r="V23" s="107" t="s">
        <v>364</v>
      </c>
      <c r="W23" s="107"/>
      <c r="X23" s="379"/>
    </row>
    <row r="24" spans="1:24" ht="12.75" customHeight="1" x14ac:dyDescent="0.3">
      <c r="A24" s="213" t="s">
        <v>55</v>
      </c>
      <c r="B24" s="206" t="s">
        <v>596</v>
      </c>
      <c r="C24" s="240"/>
      <c r="D24" s="240"/>
      <c r="E24" s="292" t="s">
        <v>77</v>
      </c>
      <c r="F24" s="292"/>
      <c r="G24" s="292"/>
      <c r="H24" s="212">
        <f>IF(C24&lt;&gt;"",'CBL Score Standard'!$D82,IF(D24&lt;&gt;"",SUM('CBL Score Standard'!$D82:$E82),IF(E24&lt;&gt;"",SUM('CBL Score Standard'!$D82:$F82),IF(F24&lt;&gt;"",SUM('CBL Score Standard'!$D82:$G82),IF(G24&lt;&gt;"",SUM('CBL Score Standard'!$D82:$H82,0))))))</f>
        <v>2.8571428571428571E-2</v>
      </c>
      <c r="I24" s="182">
        <f t="shared" si="0"/>
        <v>0</v>
      </c>
      <c r="J24" s="182">
        <f t="shared" si="1"/>
        <v>0</v>
      </c>
      <c r="K24" s="107"/>
      <c r="L24" s="107"/>
      <c r="M24" s="266" t="s">
        <v>6</v>
      </c>
      <c r="N24" s="267" t="s">
        <v>678</v>
      </c>
      <c r="O24" s="270" t="s">
        <v>189</v>
      </c>
      <c r="P24" s="274"/>
      <c r="Q24" s="269" t="s">
        <v>225</v>
      </c>
      <c r="R24" s="269" t="s">
        <v>340</v>
      </c>
      <c r="S24" s="237"/>
      <c r="T24" s="107"/>
      <c r="U24" s="308"/>
      <c r="V24" s="107"/>
      <c r="W24" s="107"/>
      <c r="X24" s="107"/>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t="s">
        <v>73</v>
      </c>
      <c r="U26" s="308"/>
      <c r="V26" s="107" t="s">
        <v>364</v>
      </c>
      <c r="W26" s="107" t="s">
        <v>367</v>
      </c>
      <c r="X26" s="107" t="s">
        <v>367</v>
      </c>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t="s">
        <v>73</v>
      </c>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t="s">
        <v>73</v>
      </c>
      <c r="U28" s="308"/>
      <c r="V28" s="107"/>
      <c r="W28" s="107"/>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f t="shared" si="1"/>
        <v>0</v>
      </c>
      <c r="K29" s="107"/>
      <c r="L29" s="107"/>
      <c r="M29" s="266" t="s">
        <v>6</v>
      </c>
      <c r="N29" s="267" t="s">
        <v>55</v>
      </c>
      <c r="O29" s="270" t="s">
        <v>196</v>
      </c>
      <c r="P29" s="272"/>
      <c r="Q29" s="269" t="s">
        <v>197</v>
      </c>
      <c r="R29" s="269" t="s">
        <v>256</v>
      </c>
      <c r="S29" s="237"/>
      <c r="T29" s="107" t="s">
        <v>73</v>
      </c>
      <c r="U29" s="308"/>
      <c r="V29" s="107"/>
      <c r="W29" s="107"/>
      <c r="X29" s="107"/>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f t="shared" si="1"/>
        <v>0</v>
      </c>
      <c r="K30" s="107"/>
      <c r="L30" s="107"/>
      <c r="M30" s="266" t="s">
        <v>6</v>
      </c>
      <c r="N30" s="267" t="s">
        <v>55</v>
      </c>
      <c r="O30" s="270" t="s">
        <v>200</v>
      </c>
      <c r="P30" s="272"/>
      <c r="Q30" s="269" t="s">
        <v>374</v>
      </c>
      <c r="R30" s="269" t="s">
        <v>375</v>
      </c>
      <c r="S30" s="107"/>
      <c r="T30" s="107" t="s">
        <v>73</v>
      </c>
      <c r="U30" s="308"/>
      <c r="V30" s="107"/>
      <c r="W30" s="107"/>
      <c r="X30" s="107" t="s">
        <v>743</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t="s">
        <v>77</v>
      </c>
      <c r="F32" s="292"/>
      <c r="G32" s="292"/>
      <c r="H32" s="212">
        <f>IF(C32&lt;&gt;"",'CBL Score Standard'!$D90,IF(D32&lt;&gt;"",SUM('CBL Score Standard'!$D90:$E90),IF(E32&lt;&gt;"",SUM('CBL Score Standard'!$D90:$F90),IF(F32&lt;&gt;"",SUM('CBL Score Standard'!$D90:$G90),IF(G32&lt;&gt;"",SUM('CBL Score Standard'!$D90:$H90,0))))))</f>
        <v>0</v>
      </c>
      <c r="I32" s="182" t="str">
        <f t="shared" si="0"/>
        <v>Passed</v>
      </c>
      <c r="J32" s="182" t="str">
        <f t="shared" si="1"/>
        <v>Y</v>
      </c>
      <c r="K32" s="107"/>
      <c r="L32" s="107"/>
      <c r="M32" s="266" t="s">
        <v>6</v>
      </c>
      <c r="N32" s="267" t="s">
        <v>56</v>
      </c>
      <c r="O32" s="270" t="s">
        <v>390</v>
      </c>
      <c r="P32" s="272"/>
      <c r="Q32" s="269" t="s">
        <v>165</v>
      </c>
      <c r="R32" s="269" t="s">
        <v>339</v>
      </c>
      <c r="S32" s="237"/>
      <c r="T32" s="107"/>
      <c r="U32" s="308"/>
      <c r="V32" s="107"/>
      <c r="W32" s="107"/>
      <c r="X32" s="107" t="s">
        <v>367</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c r="X33" s="107" t="s">
        <v>367</v>
      </c>
    </row>
    <row r="34" spans="1:24" ht="26.4" x14ac:dyDescent="0.3">
      <c r="A34" s="213" t="s">
        <v>31</v>
      </c>
      <c r="B34" s="206" t="s">
        <v>591</v>
      </c>
      <c r="C34" s="292"/>
      <c r="D34" s="292"/>
      <c r="E34" s="292" t="s">
        <v>77</v>
      </c>
      <c r="F34" s="292"/>
      <c r="G34" s="292"/>
      <c r="H34" s="212">
        <f>IF(C34&lt;&gt;"",'CBL Score Standard'!$D92,IF(D34&lt;&gt;"",SUM('CBL Score Standard'!$D92:$E92),IF(E34&lt;&gt;"",SUM('CBL Score Standard'!$D92:$F92),IF(F34&lt;&gt;"",SUM('CBL Score Standard'!$D92:$G92),IF(G34&lt;&gt;"",SUM('CBL Score Standard'!$D92:$H92,0))))))</f>
        <v>0.16068524970963996</v>
      </c>
      <c r="I34" s="182" t="e">
        <f t="shared" si="0"/>
        <v>#N/A</v>
      </c>
      <c r="J34" s="182" t="e">
        <f t="shared" si="1"/>
        <v>#N/A</v>
      </c>
      <c r="K34" s="107"/>
      <c r="L34" s="107"/>
      <c r="M34" s="266" t="s">
        <v>6</v>
      </c>
      <c r="N34" s="267" t="s">
        <v>54</v>
      </c>
      <c r="O34" s="270" t="s">
        <v>335</v>
      </c>
      <c r="P34" s="272"/>
      <c r="Q34" s="269" t="s">
        <v>207</v>
      </c>
      <c r="R34" s="269" t="s">
        <v>319</v>
      </c>
      <c r="S34" s="107"/>
      <c r="T34" s="107"/>
      <c r="U34" s="308"/>
      <c r="V34" s="107" t="s">
        <v>364</v>
      </c>
      <c r="W34" s="107"/>
      <c r="X34" s="107" t="s">
        <v>367</v>
      </c>
    </row>
    <row r="35" spans="1:24" ht="13.8" x14ac:dyDescent="0.3">
      <c r="A35" s="213" t="s">
        <v>31</v>
      </c>
      <c r="B35" s="206" t="s">
        <v>173</v>
      </c>
      <c r="C35" s="292"/>
      <c r="D35" s="292"/>
      <c r="E35" s="292" t="s">
        <v>77</v>
      </c>
      <c r="F35" s="292"/>
      <c r="G35" s="292"/>
      <c r="H35" s="212">
        <f>IF(C35&lt;&gt;"",'CBL Score Standard'!$D93,IF(D35&lt;&gt;"",SUM('CBL Score Standard'!$D93:$E93),IF(E35&lt;&gt;"",SUM('CBL Score Standard'!$D93:$F93),IF(F35&lt;&gt;"",SUM('CBL Score Standard'!$D93:$G93),IF(G35&lt;&gt;"",SUM('CBL Score Standard'!$D93:$H93,0))))))</f>
        <v>0.16068524970963996</v>
      </c>
      <c r="I35" s="182" t="str">
        <f t="shared" si="0"/>
        <v>Passed</v>
      </c>
      <c r="J35" s="182" t="str">
        <f t="shared" si="1"/>
        <v>Y</v>
      </c>
      <c r="K35" s="107" t="s">
        <v>141</v>
      </c>
      <c r="L35" s="107" t="s">
        <v>142</v>
      </c>
      <c r="M35" s="275" t="s">
        <v>7</v>
      </c>
      <c r="N35" s="276" t="s">
        <v>55</v>
      </c>
      <c r="O35" s="277" t="s">
        <v>183</v>
      </c>
      <c r="P35" s="283">
        <v>44266</v>
      </c>
      <c r="Q35" s="280" t="s">
        <v>218</v>
      </c>
      <c r="R35" s="280" t="s">
        <v>266</v>
      </c>
      <c r="S35" s="237"/>
      <c r="T35" s="107"/>
      <c r="U35" s="308"/>
      <c r="V35" s="107" t="s">
        <v>364</v>
      </c>
      <c r="W35" s="107" t="s">
        <v>367</v>
      </c>
      <c r="X35" s="107" t="s">
        <v>367</v>
      </c>
    </row>
    <row r="36" spans="1:24" ht="13.8" x14ac:dyDescent="0.3">
      <c r="A36" s="213" t="s">
        <v>46</v>
      </c>
      <c r="B36" s="206" t="s">
        <v>169</v>
      </c>
      <c r="C36" s="240"/>
      <c r="D36" s="292"/>
      <c r="E36" s="292" t="s">
        <v>77</v>
      </c>
      <c r="F36" s="292"/>
      <c r="G36" s="292"/>
      <c r="H36" s="212">
        <f>IF(C36&lt;&gt;"",'CBL Score Standard'!$D94,IF(D36&lt;&gt;"",SUM('CBL Score Standard'!$D94:$E94),IF(E36&lt;&gt;"",SUM('CBL Score Standard'!$D94:$F94),IF(F36&lt;&gt;"",SUM('CBL Score Standard'!$D94:$G94),IF(G36&lt;&gt;"",SUM('CBL Score Standard'!$D94:$H94,0))))))</f>
        <v>7.7351916376306618E-2</v>
      </c>
      <c r="I36" s="182" t="str">
        <f t="shared" si="0"/>
        <v>Passed</v>
      </c>
      <c r="J36" s="182" t="str">
        <f t="shared" si="1"/>
        <v>Y</v>
      </c>
      <c r="K36" s="107"/>
      <c r="L36" s="107"/>
      <c r="M36" s="275" t="s">
        <v>7</v>
      </c>
      <c r="N36" s="276" t="s">
        <v>56</v>
      </c>
      <c r="O36" s="277" t="s">
        <v>213</v>
      </c>
      <c r="P36" s="280"/>
      <c r="Q36" s="280" t="s">
        <v>162</v>
      </c>
      <c r="R36" s="280" t="s">
        <v>317</v>
      </c>
      <c r="S36" s="237"/>
      <c r="T36" s="107"/>
      <c r="U36" s="308"/>
      <c r="V36" s="107" t="s">
        <v>364</v>
      </c>
      <c r="W36" s="107" t="s">
        <v>367</v>
      </c>
      <c r="X36" s="107" t="s">
        <v>367</v>
      </c>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c r="U37" s="308"/>
      <c r="V37" s="107"/>
      <c r="W37" s="237"/>
      <c r="X37" s="107"/>
    </row>
    <row r="38" spans="1:24" ht="27.6" x14ac:dyDescent="0.3">
      <c r="A38" s="213" t="s">
        <v>54</v>
      </c>
      <c r="B38" s="206"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410</v>
      </c>
      <c r="P38" s="280"/>
      <c r="Q38" s="282" t="s">
        <v>661</v>
      </c>
      <c r="R38" s="280" t="s">
        <v>662</v>
      </c>
      <c r="S38" s="237"/>
      <c r="T38" s="107" t="s">
        <v>73</v>
      </c>
      <c r="U38" s="308"/>
      <c r="V38" s="107" t="s">
        <v>364</v>
      </c>
      <c r="W38" s="107"/>
      <c r="X38" s="107" t="s">
        <v>367</v>
      </c>
    </row>
    <row r="39" spans="1:24" ht="41.4"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t="str">
        <f t="shared" si="0"/>
        <v>Passed</v>
      </c>
      <c r="J39" s="182">
        <f t="shared" si="1"/>
        <v>0</v>
      </c>
      <c r="K39" s="107"/>
      <c r="L39" s="107"/>
      <c r="M39" s="275" t="s">
        <v>7</v>
      </c>
      <c r="N39" s="276" t="s">
        <v>55</v>
      </c>
      <c r="O39" s="277" t="s">
        <v>656</v>
      </c>
      <c r="P39" s="283">
        <v>43985</v>
      </c>
      <c r="Q39" s="282" t="s">
        <v>663</v>
      </c>
      <c r="R39" s="282" t="s">
        <v>664</v>
      </c>
      <c r="S39" s="237"/>
      <c r="T39" s="107" t="s">
        <v>72</v>
      </c>
      <c r="U39" s="107"/>
      <c r="V39" s="107"/>
      <c r="W39" s="107"/>
      <c r="X39" s="381"/>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t="s">
        <v>77</v>
      </c>
      <c r="E41" s="240"/>
      <c r="F41" s="292"/>
      <c r="G41" s="292"/>
      <c r="H41" s="212">
        <f>IF(C41&lt;&gt;"",'CBL Score Standard'!$D99,IF(D41&lt;&gt;"",SUM('CBL Score Standard'!$D99:$E99),IF(E41&lt;&gt;"",SUM('CBL Score Standard'!$D99:$F99),IF(F41&lt;&gt;"",SUM('CBL Score Standard'!$D99:$G99),IF(G41&lt;&gt;"",SUM('CBL Score Standard'!$D99:$H99,0))))))</f>
        <v>2.4390243902439025E-2</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3.8" x14ac:dyDescent="0.3">
      <c r="A42" s="213" t="s">
        <v>53</v>
      </c>
      <c r="B42" s="206" t="s">
        <v>221</v>
      </c>
      <c r="C42" s="240"/>
      <c r="D42" s="240" t="s">
        <v>77</v>
      </c>
      <c r="E42" s="240"/>
      <c r="F42" s="292"/>
      <c r="G42" s="292"/>
      <c r="H42" s="212">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t="s">
        <v>77</v>
      </c>
      <c r="E43" s="240"/>
      <c r="F43" s="292"/>
      <c r="G43" s="292"/>
      <c r="H43" s="212">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t="s">
        <v>320</v>
      </c>
      <c r="T43" s="107" t="s">
        <v>72</v>
      </c>
      <c r="U43" s="308">
        <v>43754</v>
      </c>
      <c r="V43" s="107" t="s">
        <v>364</v>
      </c>
      <c r="W43" s="107"/>
      <c r="X43" s="107"/>
    </row>
    <row r="44" spans="1:24" ht="26.4" x14ac:dyDescent="0.3">
      <c r="A44" s="213" t="s">
        <v>53</v>
      </c>
      <c r="B44" s="206" t="s">
        <v>637</v>
      </c>
      <c r="C44" s="240"/>
      <c r="D44" s="240" t="s">
        <v>77</v>
      </c>
      <c r="E44" s="240"/>
      <c r="F44" s="292"/>
      <c r="G44" s="292"/>
      <c r="H44" s="212">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320</v>
      </c>
      <c r="T44" s="107" t="s">
        <v>72</v>
      </c>
      <c r="U44" s="308">
        <v>44117</v>
      </c>
      <c r="V44" s="107" t="s">
        <v>364</v>
      </c>
      <c r="W44" s="107"/>
      <c r="X44" s="107"/>
    </row>
    <row r="45" spans="1:24" ht="26.4" x14ac:dyDescent="0.3">
      <c r="A45" s="213" t="s">
        <v>41</v>
      </c>
      <c r="B45" s="206" t="s">
        <v>412</v>
      </c>
      <c r="C45" s="292"/>
      <c r="D45" s="292"/>
      <c r="E45" s="292" t="s">
        <v>77</v>
      </c>
      <c r="F45" s="292"/>
      <c r="G45" s="292"/>
      <c r="H45" s="212">
        <f>IF(C45&lt;&gt;"",'CBL Score Standard'!$D103,IF(D45&lt;&gt;"",SUM('CBL Score Standard'!$D103:$E103),IF(E45&lt;&gt;"",SUM('CBL Score Standard'!$D103:$F103),IF(F45&lt;&gt;"",SUM('CBL Score Standard'!$D103:$G103),IF(G45&lt;&gt;"",SUM('CBL Score Standard'!$D103:$H103,0))))))</f>
        <v>0.16068524970963996</v>
      </c>
      <c r="I45" s="182">
        <f t="shared" si="2"/>
        <v>0</v>
      </c>
      <c r="J45" s="182">
        <f t="shared" si="3"/>
        <v>0</v>
      </c>
      <c r="K45" s="107"/>
      <c r="L45" s="107"/>
      <c r="M45" s="275" t="s">
        <v>7</v>
      </c>
      <c r="N45" s="276" t="s">
        <v>56</v>
      </c>
      <c r="O45" s="278" t="s">
        <v>659</v>
      </c>
      <c r="P45" s="283"/>
      <c r="Q45" s="280" t="s">
        <v>575</v>
      </c>
      <c r="R45" s="280" t="s">
        <v>265</v>
      </c>
      <c r="S45" s="237"/>
      <c r="T45" s="107" t="s">
        <v>72</v>
      </c>
      <c r="U45" s="107"/>
      <c r="V45" s="107"/>
      <c r="W45" s="107"/>
      <c r="X45" s="380" t="s">
        <v>744</v>
      </c>
    </row>
    <row r="46" spans="1:24" ht="26.4" x14ac:dyDescent="0.3">
      <c r="A46" s="213" t="s">
        <v>41</v>
      </c>
      <c r="B46" s="206" t="s">
        <v>176</v>
      </c>
      <c r="C46" s="240"/>
      <c r="D46" s="292"/>
      <c r="E46" s="292" t="s">
        <v>77</v>
      </c>
      <c r="F46" s="292"/>
      <c r="G46" s="292"/>
      <c r="H46" s="212">
        <f>IF(C46&lt;&gt;"",'CBL Score Standard'!$D104,IF(D46&lt;&gt;"",SUM('CBL Score Standard'!$D104:$E104),IF(E46&lt;&gt;"",SUM('CBL Score Standard'!$D104:$F104),IF(F46&lt;&gt;"",SUM('CBL Score Standard'!$D104:$G104),IF(G46&lt;&gt;"",SUM('CBL Score Standard'!$D104:$H104,0))))))</f>
        <v>7.7351916376306618E-2</v>
      </c>
      <c r="I46" s="182" t="str">
        <f t="shared" si="2"/>
        <v>Passed</v>
      </c>
      <c r="J46" s="182">
        <f t="shared" si="3"/>
        <v>0</v>
      </c>
      <c r="K46" s="107"/>
      <c r="L46" s="107"/>
      <c r="M46" s="275" t="s">
        <v>7</v>
      </c>
      <c r="N46" s="276" t="s">
        <v>55</v>
      </c>
      <c r="O46" s="278" t="s">
        <v>1</v>
      </c>
      <c r="P46" s="283"/>
      <c r="Q46" s="280" t="s">
        <v>577</v>
      </c>
      <c r="R46" s="280" t="s">
        <v>477</v>
      </c>
      <c r="S46" s="237" t="s">
        <v>320</v>
      </c>
      <c r="T46" s="107" t="s">
        <v>72</v>
      </c>
      <c r="U46" s="308">
        <v>43763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t="s">
        <v>72</v>
      </c>
      <c r="U47" s="308"/>
      <c r="V47" s="107"/>
      <c r="W47" s="107"/>
      <c r="X47" s="107"/>
    </row>
    <row r="48" spans="1:24" ht="13.8" x14ac:dyDescent="0.3">
      <c r="A48" s="213" t="s">
        <v>143</v>
      </c>
      <c r="B48" s="206" t="s">
        <v>362</v>
      </c>
      <c r="C48" s="292"/>
      <c r="D48" s="292"/>
      <c r="E48" s="292" t="s">
        <v>77</v>
      </c>
      <c r="F48" s="292"/>
      <c r="G48" s="292"/>
      <c r="H48" s="212">
        <f>IF(C48&lt;&gt;"",'CBL Score Standard'!$D106,IF(D48&lt;&gt;"",SUM('CBL Score Standard'!$D106:$E106),IF(E48&lt;&gt;"",SUM('CBL Score Standard'!$D106:$F106),IF(F48&lt;&gt;"",SUM('CBL Score Standard'!$D106:$G106),IF(G48&lt;&gt;"",SUM('CBL Score Standard'!$D106:$H106,0))))))</f>
        <v>0.16068524970963996</v>
      </c>
      <c r="I48" s="182" t="str">
        <f t="shared" si="2"/>
        <v>Passed</v>
      </c>
      <c r="J48" s="182" t="str">
        <f t="shared" si="3"/>
        <v>Y</v>
      </c>
      <c r="K48" s="107"/>
      <c r="L48" s="107"/>
      <c r="M48" s="275" t="s">
        <v>7</v>
      </c>
      <c r="N48" s="276" t="s">
        <v>56</v>
      </c>
      <c r="O48" s="278" t="s">
        <v>385</v>
      </c>
      <c r="P48" s="280"/>
      <c r="Q48" s="280" t="s">
        <v>387</v>
      </c>
      <c r="R48" s="280" t="s">
        <v>386</v>
      </c>
      <c r="S48" s="237" t="s">
        <v>320</v>
      </c>
      <c r="T48" s="107" t="s">
        <v>72</v>
      </c>
      <c r="U48" s="308">
        <v>43763</v>
      </c>
      <c r="V48" s="107" t="s">
        <v>364</v>
      </c>
      <c r="W48" s="107"/>
      <c r="X48" s="107"/>
    </row>
    <row r="49" spans="1:24" ht="39.6" x14ac:dyDescent="0.3">
      <c r="A49" s="213" t="s">
        <v>143</v>
      </c>
      <c r="B49" s="206" t="s">
        <v>363</v>
      </c>
      <c r="C49" s="292"/>
      <c r="D49" s="292"/>
      <c r="E49" s="292" t="s">
        <v>77</v>
      </c>
      <c r="F49" s="292"/>
      <c r="G49" s="292"/>
      <c r="H49" s="212">
        <f>IF(C49&lt;&gt;"",'CBL Score Standard'!$D107,IF(D49&lt;&gt;"",SUM('CBL Score Standard'!$D107:$E107),IF(E49&lt;&gt;"",SUM('CBL Score Standard'!$D107:$F107),IF(F49&lt;&gt;"",SUM('CBL Score Standard'!$D107:$G107),IF(G49&lt;&gt;"",SUM('CBL Score Standard'!$D107:$H107,0))))))</f>
        <v>0.16068524970963996</v>
      </c>
      <c r="I49" s="182" t="str">
        <f t="shared" si="2"/>
        <v>Passed</v>
      </c>
      <c r="J49" s="182" t="str">
        <f t="shared" si="3"/>
        <v>Y</v>
      </c>
      <c r="K49" s="107"/>
      <c r="L49" s="107"/>
      <c r="M49" s="275" t="s">
        <v>7</v>
      </c>
      <c r="N49" s="276" t="s">
        <v>54</v>
      </c>
      <c r="O49" s="278" t="s">
        <v>229</v>
      </c>
      <c r="P49" s="283"/>
      <c r="Q49" s="280" t="s">
        <v>665</v>
      </c>
      <c r="R49" s="280" t="s">
        <v>574</v>
      </c>
      <c r="S49" s="107"/>
      <c r="T49" s="107"/>
      <c r="U49" s="308"/>
      <c r="V49" s="107"/>
      <c r="W49" s="107"/>
      <c r="X49" s="107"/>
    </row>
    <row r="50" spans="1:24" ht="13.8" x14ac:dyDescent="0.3">
      <c r="A50" s="213" t="s">
        <v>643</v>
      </c>
      <c r="B50" s="206" t="s">
        <v>414</v>
      </c>
      <c r="C50" s="292"/>
      <c r="D50" s="292"/>
      <c r="E50" s="292" t="s">
        <v>77</v>
      </c>
      <c r="F50" s="292"/>
      <c r="G50" s="292"/>
      <c r="H50" s="212">
        <f>IF(C50&lt;&gt;"",'CBL Score Standard'!$D108,IF(D50&lt;&gt;"",SUM('CBL Score Standard'!$D108:$E108),IF(E50&lt;&gt;"",SUM('CBL Score Standard'!$D108:$F108),IF(F50&lt;&gt;"",SUM('CBL Score Standard'!$D108:$G108),IF(G50&lt;&gt;"",SUM('CBL Score Standard'!$D108:$H108,0))))))</f>
        <v>0.16068524970963996</v>
      </c>
      <c r="I50" s="182">
        <f t="shared" si="2"/>
        <v>0</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t="s">
        <v>77</v>
      </c>
      <c r="F51" s="292"/>
      <c r="G51" s="292"/>
      <c r="H51" s="212">
        <f>IF(C51&lt;&gt;"",'CBL Score Standard'!$D109,IF(D51&lt;&gt;"",SUM('CBL Score Standard'!$D109:$E109),IF(E51&lt;&gt;"",SUM('CBL Score Standard'!$D109:$F109),IF(F51&lt;&gt;"",SUM('CBL Score Standard'!$D109:$G109),IF(G51&lt;&gt;"",SUM('CBL Score Standard'!$D109:$H109,0))))))</f>
        <v>0.16068524970963996</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c r="E53" s="292" t="s">
        <v>77</v>
      </c>
      <c r="F53" s="292"/>
      <c r="G53" s="292"/>
      <c r="H53" s="212">
        <f>IF(C53&lt;&gt;"",'CBL Score Standard'!$D111,IF(D53&lt;&gt;"",SUM('CBL Score Standard'!$D111:$E111),IF(E53&lt;&gt;"",SUM('CBL Score Standard'!$D111:$F111),IF(F53&lt;&gt;"",SUM('CBL Score Standard'!$D111:$G111),IF(G53&lt;&gt;"",SUM('CBL Score Standard'!$D111:$H111,0))))))</f>
        <v>0.16068524970963996</v>
      </c>
      <c r="I53" s="182">
        <f t="shared" si="2"/>
        <v>0</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customFormat="1" ht="18" customHeigh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f t="shared" si="2"/>
        <v>0</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t="s">
        <v>77</v>
      </c>
      <c r="F57" s="292"/>
      <c r="G57" s="292"/>
      <c r="H57" s="212">
        <f>IF(C57&lt;&gt;"",'CBL Score Standard'!$D115,IF(D57&lt;&gt;"",SUM('CBL Score Standard'!$D115:$E115),IF(E57&lt;&gt;"",SUM('CBL Score Standard'!$D115:$F115),IF(F57&lt;&gt;"",SUM('CBL Score Standard'!$D115:$G115),IF(G57&lt;&gt;"",SUM('CBL Score Standard'!$D115:$H115,0))))))</f>
        <v>7.7351916376306618E-2</v>
      </c>
      <c r="I57" s="182" t="str">
        <f t="shared" si="2"/>
        <v>Passed</v>
      </c>
      <c r="J57" s="182" t="str">
        <f t="shared" si="3"/>
        <v>Y</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t="str">
        <f t="shared" si="2"/>
        <v>Passed</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c r="E59" s="292" t="s">
        <v>77</v>
      </c>
      <c r="F59" s="292"/>
      <c r="G59" s="292"/>
      <c r="H59" s="212">
        <f>IF(C59&lt;&gt;"",'CBL Score Standard'!$D117,IF(D59&lt;&gt;"",SUM('CBL Score Standard'!$D117:$E117),IF(E59&lt;&gt;"",SUM('CBL Score Standard'!$D117:$F117),IF(F59&lt;&gt;"",SUM('CBL Score Standard'!$D117:$G117),IF(G59&lt;&gt;"",SUM('CBL Score Standard'!$D117:$H117,0))))))</f>
        <v>5.2961672473867599E-2</v>
      </c>
      <c r="I59" s="182">
        <f t="shared" si="2"/>
        <v>0</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107"/>
      <c r="T60" s="107"/>
      <c r="U60" s="308"/>
      <c r="V60" s="107" t="s">
        <v>364</v>
      </c>
      <c r="W60" s="107" t="s">
        <v>367</v>
      </c>
      <c r="X60" s="107" t="s">
        <v>367</v>
      </c>
    </row>
    <row r="61" spans="1:24" ht="13.8" x14ac:dyDescent="0.25">
      <c r="A61" s="150" t="s">
        <v>56</v>
      </c>
      <c r="B61" s="206" t="s">
        <v>383</v>
      </c>
      <c r="C61" s="240"/>
      <c r="D61" s="240"/>
      <c r="E61" s="292"/>
      <c r="F61" s="292"/>
      <c r="G61" s="292"/>
      <c r="H61" s="212" t="b">
        <f>IF(C61&lt;&gt;"",'CBL Score Standard'!$D118,IF(D61&lt;&gt;"",SUM('CBL Score Standard'!$D118:$E118),IF(E61&lt;&gt;"",SUM('CBL Score Standard'!$D118:$F118),IF(F61&lt;&gt;"",SUM('CBL Score Standard'!$D118:$G118),IF(G61&lt;&gt;"",SUM('CBL Score Standard'!$D118:$H118,0))))))</f>
        <v>0</v>
      </c>
      <c r="I61" s="182" t="str">
        <f t="shared" si="4"/>
        <v>Passed</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t="s">
        <v>77</v>
      </c>
      <c r="F65" s="292"/>
      <c r="G65" s="292"/>
      <c r="H65" s="212">
        <f>IF(C65&lt;&gt;"",'CBL Score Standard'!$D122,IF(D65&lt;&gt;"",SUM('CBL Score Standard'!$D122:$E122),IF(E65&lt;&gt;"",SUM('CBL Score Standard'!$D122:$F122),IF(F65&lt;&gt;"",SUM('CBL Score Standard'!$D122:$G122),IF(G65&lt;&gt;"",SUM('CBL Score Standard'!$D122:$H122,0))))))</f>
        <v>2.8571428571428571E-2</v>
      </c>
      <c r="I65" s="182" t="str">
        <f t="shared" si="4"/>
        <v>Passed</v>
      </c>
      <c r="J65" s="182">
        <f t="shared" si="5"/>
        <v>0</v>
      </c>
      <c r="K65" s="205"/>
      <c r="L65" s="205"/>
      <c r="M65" s="205"/>
      <c r="N65" s="306"/>
      <c r="O65" s="205"/>
      <c r="P65" s="205"/>
      <c r="Q65" s="205"/>
      <c r="R65" s="205"/>
    </row>
    <row r="66" spans="1:18" ht="15" thickBot="1" x14ac:dyDescent="0.35">
      <c r="A66" s="214" t="s">
        <v>55</v>
      </c>
      <c r="B66" s="206" t="s">
        <v>1</v>
      </c>
      <c r="C66" s="240"/>
      <c r="D66" s="240"/>
      <c r="E66" s="292" t="s">
        <v>77</v>
      </c>
      <c r="F66" s="292"/>
      <c r="G66" s="292"/>
      <c r="H66" s="212">
        <f>IF(C66&lt;&gt;"",'CBL Score Standard'!$D123,IF(D66&lt;&gt;"",SUM('CBL Score Standard'!$D123:$E123),IF(E66&lt;&gt;"",SUM('CBL Score Standard'!$D123:$F123),IF(F66&lt;&gt;"",SUM('CBL Score Standard'!$D123:$G123),IF(G66&lt;&gt;"",SUM('CBL Score Standard'!$D123:$H123,0))))))</f>
        <v>2.8571428571428571E-2</v>
      </c>
      <c r="K66" s="205"/>
      <c r="L66" s="205"/>
      <c r="M66" s="205"/>
      <c r="N66" s="306"/>
      <c r="O66" s="205"/>
      <c r="P66" s="205"/>
      <c r="Q66" s="205"/>
      <c r="R66" s="205"/>
    </row>
    <row r="67" spans="1:18" ht="15" thickBot="1" x14ac:dyDescent="0.35">
      <c r="A67" s="362" t="s">
        <v>79</v>
      </c>
      <c r="B67" s="363"/>
      <c r="C67" s="364"/>
      <c r="D67" s="364"/>
      <c r="E67" s="364"/>
      <c r="F67" s="364"/>
      <c r="G67" s="364"/>
      <c r="H67" s="183">
        <f>SUM(H8:H64)</f>
        <v>2.6536004645760745</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70" showGridLines="0">
      <selection activeCell="A7" sqref="A7:H68"/>
      <pageMargins left="0.7" right="0.7" top="0.75" bottom="0.75" header="0.3" footer="0.3"/>
      <pageSetup orientation="portrait" r:id="rId1"/>
    </customSheetView>
    <customSheetView guid="{040B64FF-F135-4C7F-9498-A8399C10673D}" scale="70" showGridLines="0">
      <selection activeCell="A7" sqref="A7:H68"/>
      <pageMargins left="0.7" right="0.7" top="0.75" bottom="0.75" header="0.3" footer="0.3"/>
      <pageSetup orientation="portrait" r:id="rId2"/>
    </customSheetView>
    <customSheetView guid="{3BEDB203-29A8-4A82-B140-5CE8D0753F8B}" scale="70" showGridLines="0">
      <selection activeCell="A7" sqref="A7:H68"/>
      <pageMargins left="0.7" right="0.7" top="0.75" bottom="0.75" header="0.3" footer="0.3"/>
      <pageSetup orientation="portrait" r:id="rId3"/>
    </customSheetView>
  </customSheetViews>
  <mergeCells count="6">
    <mergeCell ref="S2:S3"/>
    <mergeCell ref="A69:G69"/>
    <mergeCell ref="M2:M3"/>
    <mergeCell ref="N2:N3"/>
    <mergeCell ref="A1:H1"/>
    <mergeCell ref="A67:G67"/>
  </mergeCells>
  <conditionalFormatting sqref="C7:D7 F7:H7">
    <cfRule type="containsText" dxfId="76" priority="31" operator="containsText" text="N/A">
      <formula>NOT(ISERROR(SEARCH("N/A",C7)))</formula>
    </cfRule>
    <cfRule type="containsText" dxfId="75" priority="32" operator="containsText" text="Blank">
      <formula>NOT(ISERROR(SEARCH("Blank",C7)))</formula>
    </cfRule>
    <cfRule type="containsText" dxfId="74" priority="33" operator="containsText" text="M">
      <formula>NOT(ISERROR(SEARCH("M",C7)))</formula>
    </cfRule>
  </conditionalFormatting>
  <conditionalFormatting sqref="B67:B69 B7">
    <cfRule type="duplicateValues" dxfId="73" priority="30"/>
  </conditionalFormatting>
  <conditionalFormatting sqref="B30">
    <cfRule type="duplicateValues" dxfId="72" priority="13"/>
  </conditionalFormatting>
  <conditionalFormatting sqref="B55">
    <cfRule type="duplicateValues" dxfId="71" priority="12"/>
  </conditionalFormatting>
  <conditionalFormatting sqref="B13">
    <cfRule type="duplicateValues" dxfId="70" priority="11"/>
  </conditionalFormatting>
  <conditionalFormatting sqref="B56:B66 B31:B54 B8:B12 B14:B28">
    <cfRule type="duplicateValues" dxfId="69" priority="14"/>
  </conditionalFormatting>
  <conditionalFormatting sqref="B29">
    <cfRule type="duplicateValues" dxfId="68" priority="15"/>
  </conditionalFormatting>
  <conditionalFormatting sqref="O25">
    <cfRule type="duplicateValues" dxfId="67" priority="1"/>
  </conditionalFormatting>
  <conditionalFormatting sqref="O4:O9 O12:O18">
    <cfRule type="duplicateValues" dxfId="66" priority="10"/>
  </conditionalFormatting>
  <conditionalFormatting sqref="O10">
    <cfRule type="duplicateValues" dxfId="65" priority="9"/>
  </conditionalFormatting>
  <conditionalFormatting sqref="O11">
    <cfRule type="duplicateValues" dxfId="64" priority="8"/>
  </conditionalFormatting>
  <conditionalFormatting sqref="O19:O24 O32:O34 O26:O30">
    <cfRule type="duplicateValues" dxfId="63" priority="7"/>
  </conditionalFormatting>
  <conditionalFormatting sqref="O36:O52">
    <cfRule type="duplicateValues" dxfId="62" priority="6"/>
  </conditionalFormatting>
  <conditionalFormatting sqref="O35">
    <cfRule type="duplicateValues" dxfId="61" priority="5"/>
  </conditionalFormatting>
  <conditionalFormatting sqref="O53:O60">
    <cfRule type="duplicateValues" dxfId="60" priority="4"/>
  </conditionalFormatting>
  <conditionalFormatting sqref="O61:O64">
    <cfRule type="duplicateValues" dxfId="59" priority="3"/>
  </conditionalFormatting>
  <conditionalFormatting sqref="O31">
    <cfRule type="duplicateValues" dxfId="58"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20:W64 T2 T69:X1048576 T3:W18 X3">
      <formula1>"M, O, N/A"</formula1>
    </dataValidation>
  </dataValidations>
  <pageMargins left="0.7" right="0.7" top="0.75" bottom="0.75" header="0.3" footer="0.3"/>
  <pageSetup orientation="portrait" r:id="rId4"/>
  <drawing r:id="rId5"/>
  <legacyDrawing r:id="rId6"/>
  <controls>
    <mc:AlternateContent xmlns:mc="http://schemas.openxmlformats.org/markup-compatibility/2006">
      <mc:Choice Requires="x14">
        <control shapeId="841738" r:id="rId7" name="CommandButton2">
          <controlPr defaultSize="0" autoLine="0" r:id="rId8">
            <anchor moveWithCells="1">
              <from>
                <xdr:col>8</xdr:col>
                <xdr:colOff>114300</xdr:colOff>
                <xdr:row>64</xdr:row>
                <xdr:rowOff>106680</xdr:rowOff>
              </from>
              <to>
                <xdr:col>9</xdr:col>
                <xdr:colOff>426720</xdr:colOff>
                <xdr:row>67</xdr:row>
                <xdr:rowOff>0</xdr:rowOff>
              </to>
            </anchor>
          </controlPr>
        </control>
      </mc:Choice>
      <mc:Fallback>
        <control shapeId="841738" r:id="rId7" name="CommandButton2"/>
      </mc:Fallback>
    </mc:AlternateContent>
    <mc:AlternateContent xmlns:mc="http://schemas.openxmlformats.org/markup-compatibility/2006">
      <mc:Choice Requires="x14">
        <control shapeId="841737" r:id="rId9" name="CommandButton1">
          <controlPr defaultSize="0" autoLine="0" r:id="rId10">
            <anchor moveWithCells="1">
              <from>
                <xdr:col>8</xdr:col>
                <xdr:colOff>114300</xdr:colOff>
                <xdr:row>59</xdr:row>
                <xdr:rowOff>0</xdr:rowOff>
              </from>
              <to>
                <xdr:col>9</xdr:col>
                <xdr:colOff>396240</xdr:colOff>
                <xdr:row>60</xdr:row>
                <xdr:rowOff>167640</xdr:rowOff>
              </to>
            </anchor>
          </controlPr>
        </control>
      </mc:Choice>
      <mc:Fallback>
        <control shapeId="841737" r:id="rId9"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7" tint="0.79998168889431442"/>
  </sheetPr>
  <dimension ref="A1:X197"/>
  <sheetViews>
    <sheetView showGridLines="0" topLeftCell="N28" zoomScale="55" zoomScaleNormal="55" workbookViewId="0">
      <selection activeCell="S4" sqref="S4:X61"/>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J1" s="109" t="s">
        <v>395</v>
      </c>
      <c r="K1" s="295" t="s">
        <v>681</v>
      </c>
      <c r="L1" s="295"/>
      <c r="M1" s="295"/>
      <c r="N1" s="295"/>
      <c r="O1" s="295"/>
      <c r="P1" s="295"/>
      <c r="Q1" s="295"/>
      <c r="R1" s="295"/>
      <c r="S1" s="295"/>
      <c r="T1" s="295"/>
      <c r="U1" s="295"/>
      <c r="V1" s="295"/>
      <c r="W1" s="295"/>
      <c r="X1" s="295"/>
    </row>
    <row r="2" spans="1:24" ht="12.75" customHeight="1" x14ac:dyDescent="0.3">
      <c r="A2" s="70" t="s">
        <v>357</v>
      </c>
      <c r="B2" s="58" t="s">
        <v>315</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42858</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3.7643835616438355</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2</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5.7643835616438359</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t="s">
        <v>77</v>
      </c>
      <c r="F8" s="292"/>
      <c r="G8" s="292"/>
      <c r="H8" s="212">
        <f>IF(C8&lt;&gt;"",'CBL Score Standard'!$D66,IF(D8&lt;&gt;"",SUM('CBL Score Standard'!$D66:$E66),IF(E8&lt;&gt;"",SUM('CBL Score Standard'!$D66:$F66),IF(F8&lt;&gt;"",SUM('CBL Score Standard'!$D66:$G66),IF(G8&lt;&gt;"",SUM('CBL Score Standard'!$D66:$H66,0))))))</f>
        <v>7.7351916376306618E-2</v>
      </c>
      <c r="I8" s="182" t="str">
        <f t="shared" ref="I8:I39" si="0">VLOOKUP(B8,$O$4:$W$64,8,0)</f>
        <v>Passed</v>
      </c>
      <c r="J8" s="182" t="str">
        <f t="shared" ref="J8:J39" si="1">VLOOKUP(B8,$O$4:$W$64,9,0)</f>
        <v>Y</v>
      </c>
      <c r="K8" s="107"/>
      <c r="L8" s="107"/>
      <c r="M8" s="254" t="s">
        <v>5</v>
      </c>
      <c r="N8" s="255" t="s">
        <v>678</v>
      </c>
      <c r="O8" s="257" t="s">
        <v>645</v>
      </c>
      <c r="P8" s="259" t="s">
        <v>144</v>
      </c>
      <c r="Q8" s="259" t="s">
        <v>152</v>
      </c>
      <c r="R8" s="259" t="s">
        <v>154</v>
      </c>
      <c r="S8" s="237"/>
      <c r="T8" s="107"/>
      <c r="U8" s="107"/>
      <c r="V8" s="107" t="s">
        <v>364</v>
      </c>
      <c r="W8" s="107"/>
      <c r="X8" s="107"/>
    </row>
    <row r="9" spans="1:24" ht="13.8" x14ac:dyDescent="0.3">
      <c r="A9" s="213" t="s">
        <v>56</v>
      </c>
      <c r="B9" s="206" t="s">
        <v>390</v>
      </c>
      <c r="C9" s="240"/>
      <c r="D9" s="292"/>
      <c r="E9" s="292" t="s">
        <v>77</v>
      </c>
      <c r="F9" s="292"/>
      <c r="G9" s="292"/>
      <c r="H9" s="212">
        <f>IF(C9&lt;&gt;"",'CBL Score Standard'!$D67,IF(D9&lt;&gt;"",SUM('CBL Score Standard'!$D67:$E67),IF(E9&lt;&gt;"",SUM('CBL Score Standard'!$D67:$F67),IF(F9&lt;&gt;"",SUM('CBL Score Standard'!$D67:$G67),IF(G9&lt;&gt;"",SUM('CBL Score Standard'!$D67:$H67,0))))))</f>
        <v>7.7351916376306618E-2</v>
      </c>
      <c r="I9" s="182" t="str">
        <f t="shared" si="0"/>
        <v>Passed</v>
      </c>
      <c r="J9" s="182" t="str">
        <f t="shared" si="1"/>
        <v>N</v>
      </c>
      <c r="K9" s="107"/>
      <c r="L9" s="107"/>
      <c r="M9" s="254" t="s">
        <v>5</v>
      </c>
      <c r="N9" s="255" t="s">
        <v>678</v>
      </c>
      <c r="O9" s="257" t="s">
        <v>592</v>
      </c>
      <c r="P9" s="259" t="s">
        <v>144</v>
      </c>
      <c r="Q9" s="259" t="s">
        <v>153</v>
      </c>
      <c r="R9" s="259" t="s">
        <v>263</v>
      </c>
      <c r="S9" s="237"/>
      <c r="T9" s="107"/>
      <c r="U9" s="308"/>
      <c r="V9" s="107" t="s">
        <v>364</v>
      </c>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678</v>
      </c>
      <c r="O10" s="257" t="s">
        <v>593</v>
      </c>
      <c r="P10" s="259" t="s">
        <v>144</v>
      </c>
      <c r="Q10" s="259" t="s">
        <v>590</v>
      </c>
      <c r="R10" s="259" t="s">
        <v>274</v>
      </c>
      <c r="S10" s="237"/>
      <c r="T10" s="107"/>
      <c r="U10" s="308"/>
      <c r="V10" s="107"/>
      <c r="W10" s="107" t="s">
        <v>367</v>
      </c>
      <c r="X10" s="107" t="s">
        <v>368</v>
      </c>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t="s">
        <v>367</v>
      </c>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8" x14ac:dyDescent="0.3">
      <c r="A14" s="213" t="s">
        <v>55</v>
      </c>
      <c r="B14" s="206" t="s">
        <v>617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t="s">
        <v>368</v>
      </c>
      <c r="X15" s="107"/>
    </row>
    <row r="16" spans="1:24" ht="13.8" x14ac:dyDescent="0.3">
      <c r="A16" s="213" t="s">
        <v>55</v>
      </c>
      <c r="B16" s="206" t="s">
        <v>190</v>
      </c>
      <c r="C16" s="240"/>
      <c r="D16" s="240"/>
      <c r="E16" s="240"/>
      <c r="F16" s="240" t="s">
        <v>77</v>
      </c>
      <c r="G16" s="240"/>
      <c r="H16" s="212">
        <f>IF(C16&lt;&gt;"",'CBL Score Standard'!$D74,IF(D16&lt;&gt;"",SUM('CBL Score Standard'!$D74:$E74),IF(E16&lt;&gt;"",SUM('CBL Score Standard'!$D74:$F74),IF(F16&lt;&gt;"",SUM('CBL Score Standard'!$D74:$G74),IF(G16&lt;&gt;"",SUM('CBL Score Standard'!$D74:$H74,0))))))</f>
        <v>0</v>
      </c>
      <c r="I16" s="182">
        <f t="shared" si="0"/>
        <v>0</v>
      </c>
      <c r="J16" s="182" t="str">
        <f t="shared" si="1"/>
        <v>N</v>
      </c>
      <c r="K16" s="107"/>
      <c r="L16" s="107"/>
      <c r="M16" s="254" t="s">
        <v>5</v>
      </c>
      <c r="N16" s="255" t="s">
        <v>41</v>
      </c>
      <c r="O16" s="257" t="s">
        <v>412</v>
      </c>
      <c r="P16" s="260"/>
      <c r="Q16" s="259" t="s">
        <v>371</v>
      </c>
      <c r="R16" s="259" t="s">
        <v>372</v>
      </c>
      <c r="S16" s="107"/>
      <c r="T16" s="107"/>
      <c r="U16" s="308">
        <v>43627</v>
      </c>
      <c r="V16" s="107" t="s">
        <v>364</v>
      </c>
      <c r="W16" s="107" t="s">
        <v>368</v>
      </c>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651</v>
      </c>
      <c r="S18" s="107"/>
      <c r="T18" s="107" t="s">
        <v>72</v>
      </c>
      <c r="U18" s="308"/>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651</v>
      </c>
      <c r="S20" s="237"/>
      <c r="T20" s="107"/>
      <c r="U20" s="308"/>
      <c r="V20" s="107" t="s">
        <v>364</v>
      </c>
      <c r="W20" s="107" t="s">
        <v>367</v>
      </c>
      <c r="X20" s="107" t="s">
        <v>367</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c r="U21" s="308"/>
      <c r="V21" s="107" t="s">
        <v>364</v>
      </c>
      <c r="W21" s="107" t="s">
        <v>367</v>
      </c>
      <c r="X21" s="107" t="s">
        <v>367</v>
      </c>
    </row>
    <row r="22" spans="1:24" x14ac:dyDescent="0.3">
      <c r="A22" s="213" t="s">
        <v>55</v>
      </c>
      <c r="B22" s="206" t="s">
        <v>595</v>
      </c>
      <c r="C22" s="240"/>
      <c r="D22" s="240"/>
      <c r="E22" s="292" t="s">
        <v>77</v>
      </c>
      <c r="F22" s="292"/>
      <c r="G22" s="292"/>
      <c r="H22" s="212">
        <f>IF(C22&lt;&gt;"",'CBL Score Standard'!$D80,IF(D22&lt;&gt;"",SUM('CBL Score Standard'!$D80:$E80),IF(E22&lt;&gt;"",SUM('CBL Score Standard'!$D80:$F80),IF(F22&lt;&gt;"",SUM('CBL Score Standard'!$D80:$G80),IF(G22&lt;&gt;"",SUM('CBL Score Standard'!$D80:$H80,0))))))</f>
        <v>2.8571428571428571E-2</v>
      </c>
      <c r="I22" s="182">
        <f t="shared" si="0"/>
        <v>0</v>
      </c>
      <c r="J22" s="182" t="str">
        <f t="shared" si="1"/>
        <v>Y</v>
      </c>
      <c r="K22" s="107"/>
      <c r="L22" s="107"/>
      <c r="M22" s="266" t="s">
        <v>6</v>
      </c>
      <c r="N22" s="267" t="s">
        <v>678</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678</v>
      </c>
      <c r="O23" s="252" t="s">
        <v>652</v>
      </c>
      <c r="P23" s="273">
        <v>44378</v>
      </c>
      <c r="Q23" s="269" t="s">
        <v>590</v>
      </c>
      <c r="R23" s="269" t="s">
        <v>274</v>
      </c>
      <c r="S23" s="237"/>
      <c r="T23" s="107" t="s">
        <v>73</v>
      </c>
      <c r="U23" s="308"/>
      <c r="V23" s="107" t="s">
        <v>364</v>
      </c>
      <c r="W23" s="107" t="s">
        <v>367</v>
      </c>
      <c r="X23" s="107" t="s">
        <v>368</v>
      </c>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678</v>
      </c>
      <c r="O24" s="270" t="s">
        <v>189</v>
      </c>
      <c r="P24" s="274"/>
      <c r="Q24" s="269" t="s">
        <v>225</v>
      </c>
      <c r="R24" s="269" t="s">
        <v>340</v>
      </c>
      <c r="S24" s="237"/>
      <c r="T24" s="107" t="s">
        <v>73</v>
      </c>
      <c r="U24" s="308"/>
      <c r="V24" s="107" t="s">
        <v>364</v>
      </c>
      <c r="W24" s="107" t="s">
        <v>367</v>
      </c>
      <c r="X24" s="107" t="s">
        <v>368</v>
      </c>
    </row>
    <row r="25" spans="1:24" x14ac:dyDescent="0.3">
      <c r="A25" s="213" t="s">
        <v>55</v>
      </c>
      <c r="B25" s="206" t="s">
        <v>236</v>
      </c>
      <c r="C25" s="240"/>
      <c r="D25" s="240"/>
      <c r="E25" s="240" t="s">
        <v>77</v>
      </c>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t="s">
        <v>73</v>
      </c>
      <c r="U26" s="308"/>
      <c r="V26" s="107"/>
      <c r="W26" s="107" t="s">
        <v>368</v>
      </c>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t="s">
        <v>73</v>
      </c>
      <c r="U27" s="308"/>
      <c r="V27" s="107"/>
      <c r="W27" s="107" t="s">
        <v>368</v>
      </c>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t="s">
        <v>73</v>
      </c>
      <c r="U28" s="308"/>
      <c r="V28" s="107"/>
      <c r="W28" s="107" t="s">
        <v>368</v>
      </c>
      <c r="X28" s="107"/>
    </row>
    <row r="29" spans="1:24" x14ac:dyDescent="0.3">
      <c r="A29" s="213" t="s">
        <v>59</v>
      </c>
      <c r="B29" s="206" t="s">
        <v>614</v>
      </c>
      <c r="C29" s="240"/>
      <c r="D29" s="240"/>
      <c r="E29" s="292" t="s">
        <v>77</v>
      </c>
      <c r="F29" s="292"/>
      <c r="G29" s="292"/>
      <c r="H29" s="212">
        <f>IF(C29&lt;&gt;"",'CBL Score Standard'!$D87,IF(D29&lt;&gt;"",SUM('CBL Score Standard'!$D87:$E87),IF(E29&lt;&gt;"",SUM('CBL Score Standard'!$D87:$F87),IF(F29&lt;&gt;"",SUM('CBL Score Standard'!$D87:$G87),IF(G29&lt;&gt;"",SUM('CBL Score Standard'!$D87:$H87,0))))))</f>
        <v>2.8571428571428571E-2</v>
      </c>
      <c r="I29" s="182" t="str">
        <f t="shared" si="0"/>
        <v>Passed</v>
      </c>
      <c r="J29" s="182" t="str">
        <f t="shared" si="1"/>
        <v>N</v>
      </c>
      <c r="K29" s="107"/>
      <c r="L29" s="107"/>
      <c r="M29" s="266" t="s">
        <v>6</v>
      </c>
      <c r="N29" s="267" t="s">
        <v>55</v>
      </c>
      <c r="O29" s="270" t="s">
        <v>196</v>
      </c>
      <c r="P29" s="272"/>
      <c r="Q29" s="269" t="s">
        <v>197</v>
      </c>
      <c r="R29" s="269" t="s">
        <v>256</v>
      </c>
      <c r="S29" s="237"/>
      <c r="T29" s="107" t="s">
        <v>73</v>
      </c>
      <c r="U29" s="308"/>
      <c r="V29" s="107"/>
      <c r="W29" s="107" t="s">
        <v>368</v>
      </c>
      <c r="X29" s="107"/>
    </row>
    <row r="30" spans="1:24" x14ac:dyDescent="0.3">
      <c r="A30" s="213" t="s">
        <v>59</v>
      </c>
      <c r="B30" s="206" t="s">
        <v>613</v>
      </c>
      <c r="C30" s="240"/>
      <c r="D30" s="240"/>
      <c r="E30" s="292" t="s">
        <v>77</v>
      </c>
      <c r="F30" s="292"/>
      <c r="G30" s="292"/>
      <c r="H30" s="212">
        <f>IF(C30&lt;&gt;"",'CBL Score Standard'!$D88,IF(D30&lt;&gt;"",SUM('CBL Score Standard'!$D88:$E88),IF(E30&lt;&gt;"",SUM('CBL Score Standard'!$D88:$F88),IF(F30&lt;&gt;"",SUM('CBL Score Standard'!$D88:$G88),IF(G30&lt;&gt;"",SUM('CBL Score Standard'!$D88:$H88,0))))))</f>
        <v>2.8571428571428571E-2</v>
      </c>
      <c r="I30" s="182" t="str">
        <f t="shared" si="0"/>
        <v>Passed</v>
      </c>
      <c r="J30" s="182" t="str">
        <f t="shared" si="1"/>
        <v>N</v>
      </c>
      <c r="K30" s="107"/>
      <c r="L30" s="107"/>
      <c r="M30" s="266" t="s">
        <v>6</v>
      </c>
      <c r="N30" s="267" t="s">
        <v>55</v>
      </c>
      <c r="O30" s="270" t="s">
        <v>200</v>
      </c>
      <c r="P30" s="272"/>
      <c r="Q30" s="269" t="s">
        <v>374</v>
      </c>
      <c r="R30" s="269" t="s">
        <v>375</v>
      </c>
      <c r="S30" s="107"/>
      <c r="T30" s="107" t="s">
        <v>629</v>
      </c>
      <c r="U30" s="308">
        <v>43629</v>
      </c>
      <c r="V30" s="107" t="s">
        <v>364</v>
      </c>
      <c r="W30" s="107" t="s">
        <v>367</v>
      </c>
      <c r="X30" s="107" t="s">
        <v>367</v>
      </c>
    </row>
    <row r="31" spans="1:24" x14ac:dyDescent="0.3">
      <c r="A31" s="213" t="s">
        <v>148</v>
      </c>
      <c r="B31" s="206" t="s">
        <v>148</v>
      </c>
      <c r="C31" s="292"/>
      <c r="D31" s="292"/>
      <c r="E31" s="292" t="s">
        <v>77</v>
      </c>
      <c r="F31" s="292"/>
      <c r="G31" s="292"/>
      <c r="H31" s="212">
        <f>IF(C31&lt;&gt;"",'CBL Score Standard'!$D89,IF(D31&lt;&gt;"",SUM('CBL Score Standard'!$D89:$E89),IF(E31&lt;&gt;"",SUM('CBL Score Standard'!$D89:$F89),IF(F31&lt;&gt;"",SUM('CBL Score Standard'!$D89:$G89),IF(G31&lt;&gt;"",SUM('CBL Score Standard'!$D89:$H89,0))))))</f>
        <v>0.16068524970963996</v>
      </c>
      <c r="I31" s="182" t="str">
        <f t="shared" si="0"/>
        <v>Passed</v>
      </c>
      <c r="J31" s="182" t="str">
        <f t="shared" si="1"/>
        <v>Y</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t="s">
        <v>77</v>
      </c>
      <c r="E32" s="240"/>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t="s">
        <v>375</v>
      </c>
      <c r="T32" s="107" t="s">
        <v>72</v>
      </c>
      <c r="U32" s="308">
        <v>43761</v>
      </c>
      <c r="V32" s="107" t="s">
        <v>364</v>
      </c>
      <c r="W32" s="107" t="s">
        <v>368</v>
      </c>
      <c r="X32" s="107" t="s">
        <v>367</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c r="W33" s="107"/>
      <c r="X33" s="107"/>
    </row>
    <row r="34" spans="1:24" ht="26.4" x14ac:dyDescent="0.3">
      <c r="A34" s="213" t="s">
        <v>31</v>
      </c>
      <c r="B34" s="206" t="s">
        <v>591</v>
      </c>
      <c r="C34" s="292"/>
      <c r="D34" s="292"/>
      <c r="E34" s="292"/>
      <c r="F34" s="292" t="s">
        <v>77</v>
      </c>
      <c r="G34" s="292"/>
      <c r="H34" s="212">
        <f>IF(C34&lt;&gt;"",'CBL Score Standard'!$D92,IF(D34&lt;&gt;"",SUM('CBL Score Standard'!$D92:$E92),IF(E34&lt;&gt;"",SUM('CBL Score Standard'!$D92:$F92),IF(F34&lt;&gt;"",SUM('CBL Score Standard'!$D92:$G92),IF(G34&lt;&gt;"",SUM('CBL Score Standard'!$D92:$H92,0))))))</f>
        <v>0.18173788128858734</v>
      </c>
      <c r="I34" s="182" t="e">
        <f t="shared" si="0"/>
        <v>#N/A</v>
      </c>
      <c r="J34" s="182" t="e">
        <f t="shared" si="1"/>
        <v>#N/A</v>
      </c>
      <c r="K34" s="107"/>
      <c r="L34" s="107"/>
      <c r="M34" s="266" t="s">
        <v>6</v>
      </c>
      <c r="N34" s="267" t="s">
        <v>54</v>
      </c>
      <c r="O34" s="270" t="s">
        <v>335</v>
      </c>
      <c r="P34" s="272"/>
      <c r="Q34" s="269" t="s">
        <v>207</v>
      </c>
      <c r="R34" s="269" t="s">
        <v>319</v>
      </c>
      <c r="S34" s="107"/>
      <c r="T34" s="107" t="s">
        <v>73</v>
      </c>
      <c r="U34" s="308"/>
      <c r="V34" s="107" t="s">
        <v>364</v>
      </c>
      <c r="W34" s="107" t="s">
        <v>368</v>
      </c>
      <c r="X34" s="107" t="s">
        <v>367</v>
      </c>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t="s">
        <v>141</v>
      </c>
      <c r="L35" s="107" t="s">
        <v>142</v>
      </c>
      <c r="M35" s="275" t="s">
        <v>7</v>
      </c>
      <c r="N35" s="276" t="s">
        <v>55</v>
      </c>
      <c r="O35" s="277" t="s">
        <v>183</v>
      </c>
      <c r="P35" s="283">
        <v>44266</v>
      </c>
      <c r="Q35" s="280" t="s">
        <v>218</v>
      </c>
      <c r="R35" s="280" t="s">
        <v>266</v>
      </c>
      <c r="S35" s="237"/>
      <c r="T35" s="107"/>
      <c r="U35" s="308"/>
      <c r="V35" s="107" t="s">
        <v>364</v>
      </c>
      <c r="W35" s="107" t="s">
        <v>367</v>
      </c>
      <c r="X35" s="107" t="s">
        <v>367</v>
      </c>
    </row>
    <row r="36" spans="1:24" ht="13.8"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t="str">
        <f t="shared" si="0"/>
        <v>Passed</v>
      </c>
      <c r="J36" s="182" t="str">
        <f t="shared" si="1"/>
        <v>Y</v>
      </c>
      <c r="K36" s="107"/>
      <c r="L36" s="107"/>
      <c r="M36" s="275" t="s">
        <v>7</v>
      </c>
      <c r="N36" s="276" t="s">
        <v>56</v>
      </c>
      <c r="O36" s="277" t="s">
        <v>213</v>
      </c>
      <c r="P36" s="280"/>
      <c r="Q36" s="280" t="s">
        <v>162</v>
      </c>
      <c r="R36" s="280" t="s">
        <v>317</v>
      </c>
      <c r="S36" s="237" t="s">
        <v>315</v>
      </c>
      <c r="T36" s="107" t="s">
        <v>72</v>
      </c>
      <c r="U36" s="308"/>
      <c r="V36" s="107" t="s">
        <v>364</v>
      </c>
      <c r="W36" s="107" t="s">
        <v>367</v>
      </c>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c r="U37" s="308"/>
      <c r="V37" s="107"/>
      <c r="W37" s="237" t="s">
        <v>367</v>
      </c>
      <c r="X37" s="107"/>
    </row>
    <row r="38" spans="1:24" ht="23.4" customHeight="1" x14ac:dyDescent="0.3">
      <c r="A38" s="213" t="s">
        <v>54</v>
      </c>
      <c r="B38" s="206"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t="str">
        <f t="shared" si="1"/>
        <v>N</v>
      </c>
      <c r="K38" s="107"/>
      <c r="L38" s="107"/>
      <c r="M38" s="275" t="s">
        <v>7</v>
      </c>
      <c r="N38" s="276" t="s">
        <v>55</v>
      </c>
      <c r="O38" s="277" t="s">
        <v>410</v>
      </c>
      <c r="P38" s="280"/>
      <c r="Q38" s="282" t="s">
        <v>661</v>
      </c>
      <c r="R38" s="280" t="s">
        <v>662</v>
      </c>
      <c r="S38" s="237"/>
      <c r="T38" s="107"/>
      <c r="U38" s="308"/>
      <c r="V38" s="107" t="s">
        <v>364</v>
      </c>
      <c r="W38" s="107" t="s">
        <v>367</v>
      </c>
      <c r="X38" s="107"/>
    </row>
    <row r="39" spans="1:24" ht="41.4" x14ac:dyDescent="0.3">
      <c r="A39" s="213" t="s">
        <v>54</v>
      </c>
      <c r="B39" s="206" t="s">
        <v>335</v>
      </c>
      <c r="C39" s="240"/>
      <c r="D39" s="292"/>
      <c r="E39" s="292"/>
      <c r="F39" s="292" t="s">
        <v>77</v>
      </c>
      <c r="G39" s="292"/>
      <c r="H39" s="212">
        <f>IF(C39&lt;&gt;"",'CBL Score Standard'!$D97,IF(D39&lt;&gt;"",SUM('CBL Score Standard'!$D97:$E97),IF(E39&lt;&gt;"",SUM('CBL Score Standard'!$D97:$F97),IF(F39&lt;&gt;"",SUM('CBL Score Standard'!$D97:$G97),IF(G39&lt;&gt;"",SUM('CBL Score Standard'!$D97:$H97,0))))))</f>
        <v>9.8404547955253982E-2</v>
      </c>
      <c r="I39" s="182" t="str">
        <f t="shared" si="0"/>
        <v>Passed</v>
      </c>
      <c r="J39" s="182" t="str">
        <f t="shared" si="1"/>
        <v>N</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t="s">
        <v>77</v>
      </c>
      <c r="E40" s="239"/>
      <c r="F40" s="292"/>
      <c r="G40" s="292"/>
      <c r="H40" s="212">
        <f>IF(C40&lt;&gt;"",'CBL Score Standard'!$D98,IF(D40&lt;&gt;"",SUM('CBL Score Standard'!$D98:$E98),IF(E40&lt;&gt;"",SUM('CBL Score Standard'!$D98:$F98),IF(F40&lt;&gt;"",SUM('CBL Score Standard'!$D98:$G98),IF(G40&lt;&gt;"",SUM('CBL Score Standard'!$D98:$H98,0))))))</f>
        <v>0</v>
      </c>
      <c r="I40" s="182">
        <f t="shared" ref="I40:I59" si="2">VLOOKUP(B40,$O$4:$W$64,8,0)</f>
        <v>0</v>
      </c>
      <c r="J40" s="182" t="str">
        <f t="shared" ref="J40:J59" si="3">VLOOKUP(B40,$O$4:$W$64,9,0)</f>
        <v>N</v>
      </c>
      <c r="K40" s="107"/>
      <c r="L40" s="107"/>
      <c r="M40" s="275" t="s">
        <v>7</v>
      </c>
      <c r="N40" s="276" t="s">
        <v>55</v>
      </c>
      <c r="O40" s="277" t="s">
        <v>657</v>
      </c>
      <c r="P40" s="283"/>
      <c r="Q40" s="280" t="s">
        <v>219</v>
      </c>
      <c r="R40" s="280" t="s">
        <v>256</v>
      </c>
      <c r="S40" s="237"/>
      <c r="T40" s="107"/>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t="s">
        <v>315</v>
      </c>
      <c r="T41" s="107" t="s">
        <v>73</v>
      </c>
      <c r="U41" s="308"/>
      <c r="V41" s="107" t="s">
        <v>364</v>
      </c>
      <c r="W41" s="107" t="s">
        <v>368</v>
      </c>
      <c r="X41" s="107"/>
    </row>
    <row r="42" spans="1:24" ht="13.8" x14ac:dyDescent="0.3">
      <c r="A42" s="213" t="s">
        <v>53</v>
      </c>
      <c r="B42" s="206" t="s">
        <v>221</v>
      </c>
      <c r="C42" s="240"/>
      <c r="D42" s="240"/>
      <c r="E42" s="240" t="s">
        <v>77</v>
      </c>
      <c r="F42" s="292"/>
      <c r="G42" s="292"/>
      <c r="H42" s="212">
        <f>IF(C42&lt;&gt;"",'CBL Score Standard'!$D100,IF(D42&lt;&gt;"",SUM('CBL Score Standard'!$D100:$E100),IF(E42&lt;&gt;"",SUM('CBL Score Standard'!$D100:$F100),IF(F42&lt;&gt;"",SUM('CBL Score Standard'!$D100:$G100),IF(G42&lt;&gt;"",SUM('CBL Score Standard'!$D100:$H100,0))))))</f>
        <v>1.4285714285714285E-2</v>
      </c>
      <c r="I42" s="182" t="str">
        <f t="shared" si="2"/>
        <v>Passed</v>
      </c>
      <c r="J42" s="182" t="str">
        <f t="shared" si="3"/>
        <v>N</v>
      </c>
      <c r="K42" s="107"/>
      <c r="L42" s="107"/>
      <c r="M42" s="275" t="s">
        <v>7</v>
      </c>
      <c r="N42" s="276" t="s">
        <v>53</v>
      </c>
      <c r="O42" s="277" t="s">
        <v>224</v>
      </c>
      <c r="P42" s="283"/>
      <c r="Q42" s="280" t="s">
        <v>225</v>
      </c>
      <c r="R42" s="280" t="s">
        <v>340</v>
      </c>
      <c r="S42" s="237" t="s">
        <v>315</v>
      </c>
      <c r="T42" s="107" t="s">
        <v>73</v>
      </c>
      <c r="U42" s="308"/>
      <c r="V42" s="107"/>
      <c r="W42" s="107" t="s">
        <v>368</v>
      </c>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t="str">
        <f t="shared" si="3"/>
        <v>N</v>
      </c>
      <c r="K43" s="107"/>
      <c r="L43" s="107"/>
      <c r="M43" s="275" t="s">
        <v>7</v>
      </c>
      <c r="N43" s="276" t="s">
        <v>658</v>
      </c>
      <c r="O43" s="278" t="s">
        <v>614</v>
      </c>
      <c r="P43" s="283"/>
      <c r="Q43" s="280" t="s">
        <v>152</v>
      </c>
      <c r="R43" s="280" t="s">
        <v>154</v>
      </c>
      <c r="S43" s="237" t="s">
        <v>315</v>
      </c>
      <c r="T43" s="107" t="s">
        <v>72</v>
      </c>
      <c r="U43" s="308">
        <v>43626</v>
      </c>
      <c r="V43" s="107" t="s">
        <v>364</v>
      </c>
      <c r="W43" s="107" t="s">
        <v>368</v>
      </c>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375</v>
      </c>
      <c r="T44" s="107" t="s">
        <v>72</v>
      </c>
      <c r="U44" s="308">
        <v>44008</v>
      </c>
      <c r="V44" s="107" t="s">
        <v>364</v>
      </c>
      <c r="W44" s="107" t="s">
        <v>368</v>
      </c>
      <c r="X44" s="107"/>
    </row>
    <row r="45" spans="1:24" ht="26.4"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2"/>
        <v>Passed</v>
      </c>
      <c r="J45" s="182" t="str">
        <f t="shared" si="3"/>
        <v>N</v>
      </c>
      <c r="K45" s="107"/>
      <c r="L45" s="107"/>
      <c r="M45" s="275" t="s">
        <v>7</v>
      </c>
      <c r="N45" s="276" t="s">
        <v>56</v>
      </c>
      <c r="O45" s="278" t="s">
        <v>659</v>
      </c>
      <c r="P45" s="283"/>
      <c r="Q45" s="280" t="s">
        <v>575</v>
      </c>
      <c r="R45" s="280" t="s">
        <v>265</v>
      </c>
      <c r="S45" s="237"/>
      <c r="T45" s="107" t="s">
        <v>72</v>
      </c>
      <c r="U45" s="107"/>
      <c r="V45" s="107"/>
      <c r="W45" s="107"/>
      <c r="X45" s="107"/>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2"/>
        <v>Passed</v>
      </c>
      <c r="J46" s="182" t="str">
        <f t="shared" si="3"/>
        <v>Y</v>
      </c>
      <c r="K46" s="107"/>
      <c r="L46" s="107"/>
      <c r="M46" s="275" t="s">
        <v>7</v>
      </c>
      <c r="N46" s="276" t="s">
        <v>55</v>
      </c>
      <c r="O46" s="278" t="s">
        <v>1</v>
      </c>
      <c r="P46" s="283"/>
      <c r="Q46" s="280" t="s">
        <v>577</v>
      </c>
      <c r="R46" s="280" t="s">
        <v>477</v>
      </c>
      <c r="S46" s="237" t="s">
        <v>375</v>
      </c>
      <c r="T46" s="107" t="s">
        <v>72</v>
      </c>
      <c r="U46" s="308">
        <v>43763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c r="U47" s="308">
        <v>43684</v>
      </c>
      <c r="V47" s="107" t="s">
        <v>364</v>
      </c>
      <c r="W47" s="107"/>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2"/>
        <v>Passed</v>
      </c>
      <c r="J48" s="182" t="str">
        <f t="shared" si="3"/>
        <v>Y</v>
      </c>
      <c r="K48" s="107"/>
      <c r="L48" s="107"/>
      <c r="M48" s="275" t="s">
        <v>7</v>
      </c>
      <c r="N48" s="276" t="s">
        <v>56</v>
      </c>
      <c r="O48" s="278" t="s">
        <v>385</v>
      </c>
      <c r="P48" s="280"/>
      <c r="Q48" s="280" t="s">
        <v>387</v>
      </c>
      <c r="R48" s="280" t="s">
        <v>386</v>
      </c>
      <c r="S48" s="237"/>
      <c r="T48" s="107"/>
      <c r="U48" s="308"/>
      <c r="V48" s="107"/>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2"/>
        <v>Passed</v>
      </c>
      <c r="J49" s="182" t="str">
        <f t="shared" si="3"/>
        <v>Y</v>
      </c>
      <c r="K49" s="107"/>
      <c r="L49" s="107"/>
      <c r="M49" s="275" t="s">
        <v>7</v>
      </c>
      <c r="N49" s="276" t="s">
        <v>54</v>
      </c>
      <c r="O49" s="278" t="s">
        <v>229</v>
      </c>
      <c r="P49" s="283"/>
      <c r="Q49" s="280" t="s">
        <v>665</v>
      </c>
      <c r="R49" s="280" t="s">
        <v>574</v>
      </c>
      <c r="S49" s="107"/>
      <c r="T49" s="107"/>
      <c r="U49" s="308"/>
      <c r="V49" s="107"/>
      <c r="W49" s="107" t="s">
        <v>368</v>
      </c>
      <c r="X49" s="107"/>
    </row>
    <row r="50" spans="1:24" ht="13.8" x14ac:dyDescent="0.3">
      <c r="A50" s="213" t="s">
        <v>643</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c r="F52" s="292" t="s">
        <v>77</v>
      </c>
      <c r="G52" s="292"/>
      <c r="H52" s="212">
        <f>IF(C52&lt;&gt;"",'CBL Score Standard'!$D110,IF(D52&lt;&gt;"",SUM('CBL Score Standard'!$D110:$E110),IF(E52&lt;&gt;"",SUM('CBL Score Standard'!$D110:$F110),IF(F52&lt;&gt;"",SUM('CBL Score Standard'!$D110:$G110),IF(G52&lt;&gt;"",SUM('CBL Score Standard'!$D110:$H110,0))))))</f>
        <v>0.18173788128858734</v>
      </c>
      <c r="I52" s="182" t="str">
        <f t="shared" si="2"/>
        <v>Passed</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2"/>
        <v>0</v>
      </c>
      <c r="J53" s="182" t="str">
        <f t="shared" si="3"/>
        <v>Y</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t="s">
        <v>315</v>
      </c>
      <c r="T54" s="107"/>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c r="F56" s="292" t="s">
        <v>77</v>
      </c>
      <c r="G56" s="292"/>
      <c r="H56" s="212">
        <f>IF(C56&lt;&gt;"",'CBL Score Standard'!$D114,IF(D56&lt;&gt;"",SUM('CBL Score Standard'!$D114:$E114),IF(E56&lt;&gt;"",SUM('CBL Score Standard'!$D114:$F114),IF(F56&lt;&gt;"",SUM('CBL Score Standard'!$D114:$G114),IF(G56&lt;&gt;"",SUM('CBL Score Standard'!$D114:$H114,0))))))</f>
        <v>9.8404547955253982E-2</v>
      </c>
      <c r="I56" s="182" t="str">
        <f t="shared" si="2"/>
        <v>Passed</v>
      </c>
      <c r="J56" s="182" t="str">
        <f t="shared" si="3"/>
        <v>Y</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2"/>
        <v>Passed</v>
      </c>
      <c r="J57" s="182" t="str">
        <f t="shared" si="3"/>
        <v>Y</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c r="E58" s="291" t="s">
        <v>77</v>
      </c>
      <c r="F58" s="291"/>
      <c r="G58" s="291"/>
      <c r="H58" s="212">
        <f>IF(C58&lt;&gt;"",'CBL Score Standard'!$D116,IF(D58&lt;&gt;"",SUM('CBL Score Standard'!$D116:$E116),IF(E58&lt;&gt;"",SUM('CBL Score Standard'!$D116:$F116),IF(F58&lt;&gt;"",SUM('CBL Score Standard'!$D116:$G116),IF(G58&lt;&gt;"",SUM('CBL Score Standard'!$D116:$H116,0))))))</f>
        <v>3.8675958188153309E-2</v>
      </c>
      <c r="I58" s="182" t="str">
        <f t="shared" si="2"/>
        <v>Passed</v>
      </c>
      <c r="J58" s="182" t="str">
        <f t="shared" si="3"/>
        <v>Y</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c r="E59" s="292"/>
      <c r="F59" s="292" t="s">
        <v>77</v>
      </c>
      <c r="G59" s="292"/>
      <c r="H59" s="212">
        <f>IF(C59&lt;&gt;"",'CBL Score Standard'!$D117,IF(D59&lt;&gt;"",SUM('CBL Score Standard'!$D117:$E117),IF(E59&lt;&gt;"",SUM('CBL Score Standard'!$D117:$F117),IF(F59&lt;&gt;"",SUM('CBL Score Standard'!$D117:$G117),IF(G59&lt;&gt;"",SUM('CBL Score Standard'!$D117:$H117,0))))))</f>
        <v>7.4014304052814964E-2</v>
      </c>
      <c r="I59" s="182" t="str">
        <f t="shared" si="2"/>
        <v>Passed</v>
      </c>
      <c r="J59" s="182" t="str">
        <f t="shared" si="3"/>
        <v>Y</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t="str">
        <f t="shared" ref="I60:I65" si="4">VLOOKUP(B61,$O$4:$W$64,8,0)</f>
        <v>Passed</v>
      </c>
      <c r="J60" s="182">
        <f t="shared" ref="J60:J65" si="5">VLOOKUP(B61,$O$4:$W$64,9,0)</f>
        <v>0</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c r="E61" s="292"/>
      <c r="F61" s="292" t="s">
        <v>77</v>
      </c>
      <c r="G61" s="292"/>
      <c r="H61" s="212">
        <f>IF(C61&lt;&gt;"",'CBL Score Standard'!$D118,IF(D61&lt;&gt;"",SUM('CBL Score Standard'!$D118:$E118),IF(E61&lt;&gt;"",SUM('CBL Score Standard'!$D118:$F118),IF(F61&lt;&gt;"",SUM('CBL Score Standard'!$D118:$G118),IF(G61&lt;&gt;"",SUM('CBL Score Standard'!$D118:$H118,0))))))</f>
        <v>4.9624060150375938E-2</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c r="G62" s="292"/>
      <c r="H62" s="212" t="b">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t="s">
        <v>77</v>
      </c>
      <c r="F63" s="292"/>
      <c r="G63" s="292"/>
      <c r="H63" s="212">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t="s">
        <v>77</v>
      </c>
      <c r="E64" s="240"/>
      <c r="F64" s="292"/>
      <c r="G64" s="292"/>
      <c r="H64" s="212">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t="s">
        <v>77</v>
      </c>
      <c r="F65" s="292"/>
      <c r="G65" s="292"/>
      <c r="H65" s="212">
        <f>IF(C65&lt;&gt;"",'CBL Score Standard'!$D122,IF(D65&lt;&gt;"",SUM('CBL Score Standard'!$D122:$E122),IF(E65&lt;&gt;"",SUM('CBL Score Standard'!$D122:$F122),IF(F65&lt;&gt;"",SUM('CBL Score Standard'!$D122:$G122),IF(G65&lt;&gt;"",SUM('CBL Score Standard'!$D122:$H122,0))))))</f>
        <v>2.8571428571428571E-2</v>
      </c>
      <c r="I65" s="182" t="str">
        <f t="shared" si="4"/>
        <v>Passed</v>
      </c>
      <c r="J65" s="182">
        <f t="shared" si="5"/>
        <v>0</v>
      </c>
      <c r="K65" s="205"/>
      <c r="L65" s="205"/>
      <c r="M65" s="205"/>
      <c r="N65" s="306"/>
      <c r="O65" s="205"/>
      <c r="P65" s="205"/>
      <c r="Q65" s="205"/>
      <c r="R65" s="205"/>
    </row>
    <row r="66" spans="1:18" ht="15" thickBot="1" x14ac:dyDescent="0.35">
      <c r="A66" s="214" t="s">
        <v>55</v>
      </c>
      <c r="B66" s="206" t="s">
        <v>1</v>
      </c>
      <c r="C66" s="240"/>
      <c r="D66" s="240"/>
      <c r="E66" s="292" t="s">
        <v>77</v>
      </c>
      <c r="F66" s="292"/>
      <c r="G66" s="292"/>
      <c r="H66" s="212">
        <f>IF(C66&lt;&gt;"",'CBL Score Standard'!$D123,IF(D66&lt;&gt;"",SUM('CBL Score Standard'!$D123:$E123),IF(E66&lt;&gt;"",SUM('CBL Score Standard'!$D123:$F123),IF(F66&lt;&gt;"",SUM('CBL Score Standard'!$D123:$G123),IF(G66&lt;&gt;"",SUM('CBL Score Standard'!$D123:$H123,0))))))</f>
        <v>2.8571428571428571E-2</v>
      </c>
      <c r="K66" s="205"/>
      <c r="L66" s="205"/>
      <c r="M66" s="205"/>
      <c r="N66" s="306"/>
      <c r="O66" s="205"/>
      <c r="P66" s="205"/>
      <c r="Q66" s="205"/>
      <c r="R66" s="205"/>
    </row>
    <row r="67" spans="1:18" ht="15" thickBot="1" x14ac:dyDescent="0.35">
      <c r="A67" s="362" t="s">
        <v>79</v>
      </c>
      <c r="B67" s="363"/>
      <c r="C67" s="364"/>
      <c r="D67" s="364"/>
      <c r="E67" s="364"/>
      <c r="F67" s="364"/>
      <c r="G67" s="364"/>
      <c r="H67" s="183">
        <f>SUM(H8:H64)</f>
        <v>3.0216914236811543</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customSheetViews>
    <customSheetView guid="{6D9FC8F7-6352-4BF1-890A-27BF36FADC03}" scale="85" showGridLines="0" topLeftCell="A55">
      <selection activeCell="A7" sqref="A7:H68"/>
      <pageMargins left="0.7" right="0.7" top="0.75" bottom="0.75" header="0.3" footer="0.3"/>
      <pageSetup orientation="portrait" r:id="rId1"/>
    </customSheetView>
    <customSheetView guid="{040B64FF-F135-4C7F-9498-A8399C10673D}" scale="85" showGridLines="0" topLeftCell="A55">
      <selection activeCell="A7" sqref="A7:H68"/>
      <pageMargins left="0.7" right="0.7" top="0.75" bottom="0.75" header="0.3" footer="0.3"/>
      <pageSetup orientation="portrait" r:id="rId2"/>
    </customSheetView>
    <customSheetView guid="{3BEDB203-29A8-4A82-B140-5CE8D0753F8B}" scale="85" showGridLines="0" topLeftCell="A55">
      <selection activeCell="A7" sqref="A7:H68"/>
      <pageMargins left="0.7" right="0.7" top="0.75" bottom="0.75" header="0.3" footer="0.3"/>
      <pageSetup orientation="portrait" r:id="rId3"/>
    </customSheetView>
  </customSheetViews>
  <mergeCells count="6">
    <mergeCell ref="A1:H1"/>
    <mergeCell ref="M2:M3"/>
    <mergeCell ref="N2:N3"/>
    <mergeCell ref="A69:G69"/>
    <mergeCell ref="S2:S3"/>
    <mergeCell ref="A67:G67"/>
  </mergeCells>
  <conditionalFormatting sqref="C7:D7 F7:H7">
    <cfRule type="containsText" dxfId="57" priority="31" operator="containsText" text="N/A">
      <formula>NOT(ISERROR(SEARCH("N/A",C7)))</formula>
    </cfRule>
    <cfRule type="containsText" dxfId="56" priority="32" operator="containsText" text="Blank">
      <formula>NOT(ISERROR(SEARCH("Blank",C7)))</formula>
    </cfRule>
    <cfRule type="containsText" dxfId="55" priority="33" operator="containsText" text="M">
      <formula>NOT(ISERROR(SEARCH("M",C7)))</formula>
    </cfRule>
  </conditionalFormatting>
  <conditionalFormatting sqref="B67:B69 B7">
    <cfRule type="duplicateValues" dxfId="54" priority="30"/>
  </conditionalFormatting>
  <conditionalFormatting sqref="B30">
    <cfRule type="duplicateValues" dxfId="53" priority="13"/>
  </conditionalFormatting>
  <conditionalFormatting sqref="B55">
    <cfRule type="duplicateValues" dxfId="52" priority="12"/>
  </conditionalFormatting>
  <conditionalFormatting sqref="B13">
    <cfRule type="duplicateValues" dxfId="51" priority="11"/>
  </conditionalFormatting>
  <conditionalFormatting sqref="B56:B66 B31:B54 B8:B12 B14:B28">
    <cfRule type="duplicateValues" dxfId="50" priority="14"/>
  </conditionalFormatting>
  <conditionalFormatting sqref="B29">
    <cfRule type="duplicateValues" dxfId="49" priority="15"/>
  </conditionalFormatting>
  <conditionalFormatting sqref="O25">
    <cfRule type="duplicateValues" dxfId="48" priority="1"/>
  </conditionalFormatting>
  <conditionalFormatting sqref="O4:O9 O12:O18">
    <cfRule type="duplicateValues" dxfId="47" priority="10"/>
  </conditionalFormatting>
  <conditionalFormatting sqref="O10">
    <cfRule type="duplicateValues" dxfId="46" priority="9"/>
  </conditionalFormatting>
  <conditionalFormatting sqref="O11">
    <cfRule type="duplicateValues" dxfId="45" priority="8"/>
  </conditionalFormatting>
  <conditionalFormatting sqref="O19:O24 O32:O34 O26:O30">
    <cfRule type="duplicateValues" dxfId="44" priority="7"/>
  </conditionalFormatting>
  <conditionalFormatting sqref="O36:O52">
    <cfRule type="duplicateValues" dxfId="43" priority="6"/>
  </conditionalFormatting>
  <conditionalFormatting sqref="O35">
    <cfRule type="duplicateValues" dxfId="42" priority="5"/>
  </conditionalFormatting>
  <conditionalFormatting sqref="O53:O60">
    <cfRule type="duplicateValues" dxfId="41" priority="4"/>
  </conditionalFormatting>
  <conditionalFormatting sqref="O61:O64">
    <cfRule type="duplicateValues" dxfId="40" priority="3"/>
  </conditionalFormatting>
  <conditionalFormatting sqref="O31">
    <cfRule type="duplicateValues" dxfId="39"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69:X1048576 T2 T3:X18 T20:X64">
      <formula1>"M, O, N/A"</formula1>
    </dataValidation>
  </dataValidations>
  <hyperlinks>
    <hyperlink ref="J1" location="Summary!A1" display="Home"/>
  </hyperlinks>
  <pageMargins left="0.7" right="0.7" top="0.75" bottom="0.75" header="0.3" footer="0.3"/>
  <pageSetup orientation="portrait" r:id="rId4"/>
  <drawing r:id="rId5"/>
  <legacyDrawing r:id="rId6"/>
  <controls>
    <mc:AlternateContent xmlns:mc="http://schemas.openxmlformats.org/markup-compatibility/2006">
      <mc:Choice Requires="x14">
        <control shapeId="842761" r:id="rId7" name="CommandButton2">
          <controlPr defaultSize="0" autoLine="0" r:id="rId8">
            <anchor moveWithCells="1">
              <from>
                <xdr:col>8</xdr:col>
                <xdr:colOff>76200</xdr:colOff>
                <xdr:row>48</xdr:row>
                <xdr:rowOff>152400</xdr:rowOff>
              </from>
              <to>
                <xdr:col>9</xdr:col>
                <xdr:colOff>396240</xdr:colOff>
                <xdr:row>49</xdr:row>
                <xdr:rowOff>99060</xdr:rowOff>
              </to>
            </anchor>
          </controlPr>
        </control>
      </mc:Choice>
      <mc:Fallback>
        <control shapeId="842761" r:id="rId7" name="CommandButton2"/>
      </mc:Fallback>
    </mc:AlternateContent>
    <mc:AlternateContent xmlns:mc="http://schemas.openxmlformats.org/markup-compatibility/2006">
      <mc:Choice Requires="x14">
        <control shapeId="842760" r:id="rId9" name="CommandButton1">
          <controlPr defaultSize="0" autoLine="0" r:id="rId10">
            <anchor moveWithCells="1">
              <from>
                <xdr:col>8</xdr:col>
                <xdr:colOff>114300</xdr:colOff>
                <xdr:row>44</xdr:row>
                <xdr:rowOff>0</xdr:rowOff>
              </from>
              <to>
                <xdr:col>9</xdr:col>
                <xdr:colOff>403860</xdr:colOff>
                <xdr:row>45</xdr:row>
                <xdr:rowOff>15240</xdr:rowOff>
              </to>
            </anchor>
          </controlPr>
        </control>
      </mc:Choice>
      <mc:Fallback>
        <control shapeId="842760" r:id="rId9"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sheetPr>
  <dimension ref="A1:X197"/>
  <sheetViews>
    <sheetView showGridLines="0" topLeftCell="G29" zoomScale="55" zoomScaleNormal="55" workbookViewId="0">
      <selection activeCell="S4" sqref="S4:X66"/>
    </sheetView>
  </sheetViews>
  <sheetFormatPr defaultColWidth="9.109375" defaultRowHeight="14.4" x14ac:dyDescent="0.3"/>
  <cols>
    <col min="1" max="1" width="31.44140625" style="29" customWidth="1"/>
    <col min="2" max="2" width="38.88671875" style="29" customWidth="1"/>
    <col min="3" max="3" width="9.109375" style="29"/>
    <col min="4" max="5" width="10" style="29" bestFit="1" customWidth="1"/>
    <col min="6" max="7" width="9.109375" style="29"/>
    <col min="8" max="8" width="9.109375" style="34"/>
    <col min="9" max="10" width="9.109375" style="3"/>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3"/>
  </cols>
  <sheetData>
    <row r="1" spans="1:24" ht="23.4" x14ac:dyDescent="0.45">
      <c r="A1" s="375" t="s">
        <v>82</v>
      </c>
      <c r="B1" s="376"/>
      <c r="C1" s="376"/>
      <c r="D1" s="376"/>
      <c r="E1" s="376"/>
      <c r="F1" s="376"/>
      <c r="G1" s="376"/>
      <c r="H1" s="376"/>
      <c r="J1" s="109" t="s">
        <v>395</v>
      </c>
      <c r="K1" s="295" t="s">
        <v>681</v>
      </c>
      <c r="L1" s="295"/>
      <c r="M1" s="295"/>
      <c r="N1" s="295"/>
      <c r="O1" s="295"/>
      <c r="P1" s="295"/>
      <c r="Q1" s="295"/>
      <c r="R1" s="295"/>
      <c r="S1" s="295"/>
      <c r="T1" s="295"/>
      <c r="U1" s="295"/>
      <c r="V1" s="295"/>
      <c r="W1" s="295"/>
      <c r="X1" s="295"/>
    </row>
    <row r="2" spans="1:24" ht="12.75" customHeight="1" x14ac:dyDescent="0.3">
      <c r="A2" s="70" t="s">
        <v>357</v>
      </c>
      <c r="B2" s="58" t="s">
        <v>316</v>
      </c>
      <c r="C2" s="3"/>
      <c r="D2" s="3"/>
      <c r="E2" s="3"/>
      <c r="F2" s="3"/>
      <c r="G2" s="3"/>
      <c r="H2" s="3"/>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70" t="s">
        <v>337</v>
      </c>
      <c r="B3" s="90">
        <v>42814</v>
      </c>
      <c r="C3" s="96"/>
      <c r="D3" s="3"/>
      <c r="E3" s="3"/>
      <c r="F3" s="3"/>
      <c r="G3" s="3"/>
      <c r="H3" s="3"/>
      <c r="K3" s="294"/>
      <c r="L3" s="294"/>
      <c r="M3" s="335"/>
      <c r="N3" s="336"/>
      <c r="O3" s="294"/>
      <c r="P3" s="298" t="s">
        <v>140</v>
      </c>
      <c r="Q3" s="294"/>
      <c r="R3" s="294"/>
      <c r="S3" s="334"/>
      <c r="T3" s="299"/>
      <c r="U3" s="299"/>
      <c r="V3" s="299"/>
      <c r="W3" s="299"/>
      <c r="X3" s="299"/>
    </row>
    <row r="4" spans="1:24" ht="12.75" customHeight="1" x14ac:dyDescent="0.3">
      <c r="A4" s="70" t="s">
        <v>358</v>
      </c>
      <c r="B4" s="95">
        <f ca="1">DATEDIF(B3,TODAY(),"D")/365</f>
        <v>3.8849315068493149</v>
      </c>
      <c r="C4" s="3"/>
      <c r="D4" s="3"/>
      <c r="E4" s="3"/>
      <c r="F4" s="3"/>
      <c r="G4" s="3"/>
      <c r="H4" s="3"/>
      <c r="K4" s="107" t="s">
        <v>141</v>
      </c>
      <c r="L4" s="107" t="s">
        <v>142</v>
      </c>
      <c r="M4" s="254" t="s">
        <v>5</v>
      </c>
      <c r="N4" s="255" t="s">
        <v>143</v>
      </c>
      <c r="O4" s="256" t="s">
        <v>362</v>
      </c>
      <c r="P4" s="258"/>
      <c r="Q4" s="261" t="s">
        <v>145</v>
      </c>
      <c r="R4" s="261" t="s">
        <v>211</v>
      </c>
      <c r="S4" s="237"/>
      <c r="T4" s="107"/>
      <c r="U4" s="307"/>
      <c r="V4" s="107" t="s">
        <v>364</v>
      </c>
      <c r="W4" s="107" t="s">
        <v>367</v>
      </c>
      <c r="X4" s="107" t="s">
        <v>367</v>
      </c>
    </row>
    <row r="5" spans="1:24" ht="12.75" customHeight="1" x14ac:dyDescent="0.3">
      <c r="A5" s="70" t="s">
        <v>377</v>
      </c>
      <c r="B5" s="95">
        <v>4.5</v>
      </c>
      <c r="C5" s="97"/>
      <c r="D5" s="3"/>
      <c r="E5" s="3"/>
      <c r="F5" s="3"/>
      <c r="G5" s="3"/>
      <c r="H5" s="3"/>
      <c r="K5" s="107"/>
      <c r="L5" s="107"/>
      <c r="M5" s="254" t="s">
        <v>5</v>
      </c>
      <c r="N5" s="255" t="s">
        <v>143</v>
      </c>
      <c r="O5" s="256" t="s">
        <v>363</v>
      </c>
      <c r="P5" s="259" t="s">
        <v>144</v>
      </c>
      <c r="Q5" s="259" t="s">
        <v>149</v>
      </c>
      <c r="R5" s="259" t="s">
        <v>150</v>
      </c>
      <c r="S5" s="237"/>
      <c r="T5" s="107"/>
      <c r="U5" s="308"/>
      <c r="V5" s="107" t="s">
        <v>364</v>
      </c>
      <c r="W5" s="107" t="s">
        <v>367</v>
      </c>
      <c r="X5" s="107" t="s">
        <v>367</v>
      </c>
    </row>
    <row r="6" spans="1:24" thickBot="1" x14ac:dyDescent="0.35">
      <c r="A6" s="70" t="s">
        <v>378</v>
      </c>
      <c r="B6" s="95">
        <f ca="1">B4+B5</f>
        <v>8.3849315068493144</v>
      </c>
      <c r="C6" s="97"/>
      <c r="K6" s="107"/>
      <c r="L6" s="107"/>
      <c r="M6" s="254" t="s">
        <v>5</v>
      </c>
      <c r="N6" s="255" t="s">
        <v>148</v>
      </c>
      <c r="O6" s="256" t="s">
        <v>148</v>
      </c>
      <c r="P6" s="259" t="s">
        <v>144</v>
      </c>
      <c r="Q6" s="259" t="s">
        <v>149</v>
      </c>
      <c r="R6" s="259" t="s">
        <v>150</v>
      </c>
      <c r="S6" s="237"/>
      <c r="T6" s="107"/>
      <c r="U6" s="308"/>
      <c r="V6" s="107" t="s">
        <v>364</v>
      </c>
      <c r="W6" s="107" t="s">
        <v>367</v>
      </c>
      <c r="X6" s="107" t="s">
        <v>367</v>
      </c>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c r="T7" s="107"/>
      <c r="U7" s="308"/>
      <c r="V7" s="107" t="s">
        <v>364</v>
      </c>
      <c r="W7" s="237" t="s">
        <v>367</v>
      </c>
      <c r="X7" s="107" t="s">
        <v>367</v>
      </c>
    </row>
    <row r="8" spans="1:24" ht="13.8" x14ac:dyDescent="0.3">
      <c r="A8" s="210" t="s">
        <v>56</v>
      </c>
      <c r="B8" s="211" t="s">
        <v>180</v>
      </c>
      <c r="C8" s="240"/>
      <c r="D8" s="292"/>
      <c r="E8" s="292"/>
      <c r="F8" s="292" t="s">
        <v>77</v>
      </c>
      <c r="G8" s="292"/>
      <c r="H8" s="212">
        <f>IF(C8&lt;&gt;"",'CBL Score Standard'!$D66,IF(D8&lt;&gt;"",SUM('CBL Score Standard'!$D66:$E66),IF(E8&lt;&gt;"",SUM('CBL Score Standard'!$D66:$F66),IF(F8&lt;&gt;"",SUM('CBL Score Standard'!$D66:$G66),IF(G8&lt;&gt;"",SUM('CBL Score Standard'!$D66:$H66,0))))))</f>
        <v>9.8404547955253982E-2</v>
      </c>
      <c r="I8" s="182" t="str">
        <f t="shared" ref="I8:I39" si="0">VLOOKUP(B8,$O$4:$W$64,8,0)</f>
        <v>Passed</v>
      </c>
      <c r="J8" s="182" t="str">
        <f t="shared" ref="J8:J39" si="1">VLOOKUP(B8,$O$4:$W$64,9,0)</f>
        <v>Y</v>
      </c>
      <c r="K8" s="107"/>
      <c r="L8" s="107"/>
      <c r="M8" s="254" t="s">
        <v>5</v>
      </c>
      <c r="N8" s="255" t="s">
        <v>678</v>
      </c>
      <c r="O8" s="257" t="s">
        <v>645</v>
      </c>
      <c r="P8" s="259" t="s">
        <v>144</v>
      </c>
      <c r="Q8" s="259" t="s">
        <v>152</v>
      </c>
      <c r="R8" s="259" t="s">
        <v>154</v>
      </c>
      <c r="S8" s="237"/>
      <c r="T8" s="107" t="s">
        <v>72</v>
      </c>
      <c r="U8" s="107"/>
      <c r="V8" s="107"/>
      <c r="W8" s="107"/>
      <c r="X8" s="107"/>
    </row>
    <row r="9" spans="1:24" ht="13.8" x14ac:dyDescent="0.3">
      <c r="A9" s="213" t="s">
        <v>56</v>
      </c>
      <c r="B9" s="206" t="s">
        <v>390</v>
      </c>
      <c r="C9" s="240"/>
      <c r="D9" s="292"/>
      <c r="E9" s="292"/>
      <c r="F9" s="292" t="s">
        <v>77</v>
      </c>
      <c r="G9" s="292"/>
      <c r="H9" s="212">
        <f>IF(C9&lt;&gt;"",'CBL Score Standard'!$D67,IF(D9&lt;&gt;"",SUM('CBL Score Standard'!$D67:$E67),IF(E9&lt;&gt;"",SUM('CBL Score Standard'!$D67:$F67),IF(F9&lt;&gt;"",SUM('CBL Score Standard'!$D67:$G67),IF(G9&lt;&gt;"",SUM('CBL Score Standard'!$D67:$H67,0))))))</f>
        <v>9.8404547955253982E-2</v>
      </c>
      <c r="I9" s="182" t="str">
        <f t="shared" si="0"/>
        <v>Passed</v>
      </c>
      <c r="J9" s="182" t="str">
        <f t="shared" si="1"/>
        <v>Y</v>
      </c>
      <c r="K9" s="107"/>
      <c r="L9" s="107"/>
      <c r="M9" s="254" t="s">
        <v>5</v>
      </c>
      <c r="N9" s="255" t="s">
        <v>678</v>
      </c>
      <c r="O9" s="257" t="s">
        <v>592</v>
      </c>
      <c r="P9" s="259" t="s">
        <v>144</v>
      </c>
      <c r="Q9" s="259" t="s">
        <v>153</v>
      </c>
      <c r="R9" s="259" t="s">
        <v>263</v>
      </c>
      <c r="S9" s="237"/>
      <c r="T9" s="107" t="s">
        <v>72</v>
      </c>
      <c r="U9" s="308"/>
      <c r="V9" s="107"/>
      <c r="W9" s="107" t="s">
        <v>367</v>
      </c>
      <c r="X9" s="107" t="s">
        <v>367</v>
      </c>
    </row>
    <row r="10" spans="1:24" ht="13.8" x14ac:dyDescent="0.3">
      <c r="A10" s="213" t="s">
        <v>56</v>
      </c>
      <c r="B10" s="206" t="s">
        <v>213</v>
      </c>
      <c r="C10" s="240"/>
      <c r="D10" s="240"/>
      <c r="E10" s="292"/>
      <c r="F10" s="292" t="s">
        <v>77</v>
      </c>
      <c r="G10" s="292"/>
      <c r="H10" s="212">
        <f>IF(C10&lt;&gt;"",'CBL Score Standard'!$D68,IF(D10&lt;&gt;"",SUM('CBL Score Standard'!$D68:$E68),IF(E10&lt;&gt;"",SUM('CBL Score Standard'!$D68:$F68),IF(F10&lt;&gt;"",SUM('CBL Score Standard'!$D68:$G68),IF(G10&lt;&gt;"",SUM('CBL Score Standard'!$D68:$H68,0))))))</f>
        <v>4.9624060150375938E-2</v>
      </c>
      <c r="I10" s="182" t="str">
        <f t="shared" si="0"/>
        <v>Passed</v>
      </c>
      <c r="J10" s="182" t="str">
        <f t="shared" si="1"/>
        <v>Y</v>
      </c>
      <c r="K10" s="107"/>
      <c r="L10" s="107"/>
      <c r="M10" s="254" t="s">
        <v>5</v>
      </c>
      <c r="N10" s="255" t="s">
        <v>678</v>
      </c>
      <c r="O10" s="257" t="s">
        <v>593</v>
      </c>
      <c r="P10" s="259" t="s">
        <v>144</v>
      </c>
      <c r="Q10" s="259" t="s">
        <v>590</v>
      </c>
      <c r="R10" s="259" t="s">
        <v>274</v>
      </c>
      <c r="S10" s="237"/>
      <c r="T10" s="107" t="s">
        <v>72</v>
      </c>
      <c r="U10" s="308"/>
      <c r="V10" s="107"/>
      <c r="W10" s="107" t="s">
        <v>367</v>
      </c>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c r="T13" s="107"/>
      <c r="U13" s="308"/>
      <c r="V13" s="107" t="s">
        <v>364</v>
      </c>
      <c r="W13" s="107" t="s">
        <v>367</v>
      </c>
      <c r="X13" s="107" t="s">
        <v>367</v>
      </c>
    </row>
    <row r="14" spans="1:24" ht="13.8" x14ac:dyDescent="0.3">
      <c r="A14" s="213" t="s">
        <v>55</v>
      </c>
      <c r="B14" s="206" t="s">
        <v>617</v>
      </c>
      <c r="C14" s="240"/>
      <c r="D14" s="240"/>
      <c r="E14" s="240"/>
      <c r="F14" s="292" t="s">
        <v>77</v>
      </c>
      <c r="G14" s="292"/>
      <c r="H14" s="212">
        <f>IF(C14&lt;&gt;"",'CBL Score Standard'!$D72,IF(D14&lt;&gt;"",SUM('CBL Score Standard'!$D72:$E72),IF(E14&lt;&gt;"",SUM('CBL Score Standard'!$D72:$F72),IF(F14&lt;&gt;"",SUM('CBL Score Standard'!$D72:$G72),IF(G14&lt;&gt;"",SUM('CBL Score Standard'!$D72:$H72,0))))))</f>
        <v>3.5338345864661655E-2</v>
      </c>
      <c r="I14" s="182" t="e">
        <f t="shared" si="0"/>
        <v>#N/A</v>
      </c>
      <c r="J14" s="182" t="e">
        <f t="shared" si="1"/>
        <v>#N/A</v>
      </c>
      <c r="K14" s="107"/>
      <c r="L14" s="107"/>
      <c r="M14" s="254" t="s">
        <v>5</v>
      </c>
      <c r="N14" s="255" t="s">
        <v>31</v>
      </c>
      <c r="O14" s="257" t="s">
        <v>646</v>
      </c>
      <c r="P14" s="260"/>
      <c r="Q14" s="265" t="s">
        <v>149</v>
      </c>
      <c r="R14" s="264" t="s">
        <v>150</v>
      </c>
      <c r="S14" s="107"/>
      <c r="T14" s="107"/>
      <c r="U14" s="107"/>
      <c r="V14" s="107"/>
      <c r="W14" s="107"/>
      <c r="X14" s="107"/>
    </row>
    <row r="15" spans="1:24" ht="13.8" x14ac:dyDescent="0.3">
      <c r="A15" s="213" t="s">
        <v>55</v>
      </c>
      <c r="B15" s="206" t="s">
        <v>183</v>
      </c>
      <c r="C15" s="240"/>
      <c r="D15" s="240"/>
      <c r="E15" s="240"/>
      <c r="F15" s="292" t="s">
        <v>77</v>
      </c>
      <c r="G15" s="292"/>
      <c r="H15" s="212">
        <f>IF(C15&lt;&gt;"",'CBL Score Standard'!$D73,IF(D15&lt;&gt;"",SUM('CBL Score Standard'!$D73:$E73),IF(E15&lt;&gt;"",SUM('CBL Score Standard'!$D73:$F73),IF(F15&lt;&gt;"",SUM('CBL Score Standard'!$D73:$G73),IF(G15&lt;&gt;"",SUM('CBL Score Standard'!$D73:$H73,0))))))</f>
        <v>4.9624060150375938E-2</v>
      </c>
      <c r="I15" s="182" t="str">
        <f t="shared" si="0"/>
        <v>Passed</v>
      </c>
      <c r="J15" s="182" t="str">
        <f t="shared" si="1"/>
        <v>Y</v>
      </c>
      <c r="K15" s="107"/>
      <c r="L15" s="107"/>
      <c r="M15" s="254" t="s">
        <v>5</v>
      </c>
      <c r="N15" s="255" t="s">
        <v>54</v>
      </c>
      <c r="O15" s="257" t="s">
        <v>388</v>
      </c>
      <c r="P15" s="259"/>
      <c r="Q15" s="259" t="s">
        <v>215</v>
      </c>
      <c r="R15" s="259" t="s">
        <v>216</v>
      </c>
      <c r="S15" s="107"/>
      <c r="T15" s="107"/>
      <c r="U15" s="308"/>
      <c r="V15" s="107"/>
      <c r="W15" s="107"/>
      <c r="X15" s="107"/>
    </row>
    <row r="16" spans="1:24" ht="13.8" x14ac:dyDescent="0.3">
      <c r="A16" s="213" t="s">
        <v>55</v>
      </c>
      <c r="B16" s="206" t="s">
        <v>190</v>
      </c>
      <c r="C16" s="240"/>
      <c r="D16" s="240"/>
      <c r="E16" s="240" t="s">
        <v>77</v>
      </c>
      <c r="F16" s="240"/>
      <c r="G16" s="240"/>
      <c r="H16" s="212">
        <f>IF(C16&lt;&gt;"",'CBL Score Standard'!$D74,IF(D16&lt;&gt;"",SUM('CBL Score Standard'!$D74:$E74),IF(E16&lt;&gt;"",SUM('CBL Score Standard'!$D74:$F74),IF(F16&lt;&gt;"",SUM('CBL Score Standard'!$D74:$G74),IF(G16&lt;&gt;"",SUM('CBL Score Standard'!$D74:$H74,0))))))</f>
        <v>0</v>
      </c>
      <c r="I16" s="182">
        <f t="shared" si="0"/>
        <v>0</v>
      </c>
      <c r="J16" s="182" t="str">
        <f t="shared" si="1"/>
        <v>N</v>
      </c>
      <c r="K16" s="107"/>
      <c r="L16" s="107"/>
      <c r="M16" s="254" t="s">
        <v>5</v>
      </c>
      <c r="N16" s="255" t="s">
        <v>41</v>
      </c>
      <c r="O16" s="257" t="s">
        <v>412</v>
      </c>
      <c r="P16" s="260"/>
      <c r="Q16" s="259" t="s">
        <v>371</v>
      </c>
      <c r="R16" s="259" t="s">
        <v>372</v>
      </c>
      <c r="S16" s="107"/>
      <c r="T16" s="107"/>
      <c r="U16" s="308">
        <v>43627</v>
      </c>
      <c r="V16" s="107" t="s">
        <v>364</v>
      </c>
      <c r="W16" s="107" t="s">
        <v>368</v>
      </c>
      <c r="X16" s="107"/>
    </row>
    <row r="17" spans="1:24" ht="23.4" customHeight="1" x14ac:dyDescent="0.3">
      <c r="A17" s="213" t="s">
        <v>55</v>
      </c>
      <c r="B17" s="206" t="s">
        <v>192</v>
      </c>
      <c r="C17" s="240"/>
      <c r="D17" s="240"/>
      <c r="E17" s="240"/>
      <c r="F17" s="240"/>
      <c r="G17" s="240"/>
      <c r="H17" s="212" t="b">
        <f>IF(C17&lt;&gt;"",'CBL Score Standard'!$D75,IF(D17&lt;&gt;"",SUM('CBL Score Standard'!$D75:$E75),IF(E17&lt;&gt;"",SUM('CBL Score Standard'!$D75:$F75),IF(F17&lt;&gt;"",SUM('CBL Score Standard'!$D75:$G75),IF(G17&lt;&gt;"",SUM('CBL Score Standard'!$D75:$H75,0))))))</f>
        <v>0</v>
      </c>
      <c r="I17" s="182">
        <f t="shared" si="0"/>
        <v>0</v>
      </c>
      <c r="J17" s="182" t="str">
        <f t="shared" si="1"/>
        <v>N</v>
      </c>
      <c r="K17" s="107"/>
      <c r="L17" s="107"/>
      <c r="M17" s="254" t="s">
        <v>5</v>
      </c>
      <c r="N17" s="255" t="s">
        <v>143</v>
      </c>
      <c r="O17" s="252" t="s">
        <v>647</v>
      </c>
      <c r="P17" s="260"/>
      <c r="Q17" s="262" t="s">
        <v>590</v>
      </c>
      <c r="R17" s="262" t="s">
        <v>274</v>
      </c>
      <c r="S17" s="107"/>
      <c r="T17" s="107" t="s">
        <v>72</v>
      </c>
      <c r="U17" s="107"/>
      <c r="V17" s="107"/>
      <c r="W17" s="107"/>
      <c r="X17" s="107"/>
    </row>
    <row r="18" spans="1:24" ht="41.4" customHeight="1"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t="str">
        <f t="shared" si="1"/>
        <v>N</v>
      </c>
      <c r="K18" s="107"/>
      <c r="L18" s="107"/>
      <c r="M18" s="254" t="s">
        <v>5</v>
      </c>
      <c r="N18" s="255" t="s">
        <v>46</v>
      </c>
      <c r="O18" s="252" t="s">
        <v>169</v>
      </c>
      <c r="P18" s="260"/>
      <c r="Q18" s="262" t="s">
        <v>170</v>
      </c>
      <c r="R18" s="262" t="s">
        <v>651</v>
      </c>
      <c r="S18" s="107"/>
      <c r="T18" s="107" t="s">
        <v>72</v>
      </c>
      <c r="U18" s="308"/>
      <c r="V18" s="107" t="s">
        <v>364</v>
      </c>
      <c r="W18" s="107" t="s">
        <v>367</v>
      </c>
      <c r="X18" s="107" t="s">
        <v>367</v>
      </c>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t="str">
        <f t="shared" si="1"/>
        <v>N</v>
      </c>
      <c r="K19" s="107" t="s">
        <v>141</v>
      </c>
      <c r="L19" s="107" t="s">
        <v>142</v>
      </c>
      <c r="M19" s="266" t="s">
        <v>6</v>
      </c>
      <c r="N19" s="267" t="s">
        <v>41</v>
      </c>
      <c r="O19" s="268" t="s">
        <v>176</v>
      </c>
      <c r="P19" s="272"/>
      <c r="Q19" s="269" t="s">
        <v>177</v>
      </c>
      <c r="R19" s="269" t="s">
        <v>344</v>
      </c>
      <c r="S19" s="302"/>
      <c r="U19" s="309"/>
      <c r="V19" s="296" t="s">
        <v>364</v>
      </c>
      <c r="W19" s="296" t="s">
        <v>367</v>
      </c>
      <c r="X19" s="296" t="s">
        <v>367</v>
      </c>
    </row>
    <row r="20" spans="1:24" x14ac:dyDescent="0.3">
      <c r="A20" s="213" t="s">
        <v>55</v>
      </c>
      <c r="B20" s="206" t="s">
        <v>200</v>
      </c>
      <c r="C20" s="240"/>
      <c r="D20" s="240"/>
      <c r="E20" s="240"/>
      <c r="F20" s="240" t="s">
        <v>77</v>
      </c>
      <c r="G20" s="240"/>
      <c r="H20" s="212">
        <f>IF(C20&lt;&gt;"",'CBL Score Standard'!$D78,IF(D20&lt;&gt;"",SUM('CBL Score Standard'!$D78:$E78),IF(E20&lt;&gt;"",SUM('CBL Score Standard'!$D78:$F78),IF(F20&lt;&gt;"",SUM('CBL Score Standard'!$D78:$G78),IF(G20&lt;&gt;"",SUM('CBL Score Standard'!$D78:$H78,0))))))</f>
        <v>0</v>
      </c>
      <c r="I20" s="182" t="str">
        <f t="shared" si="0"/>
        <v>Passed</v>
      </c>
      <c r="J20" s="182" t="str">
        <f t="shared" si="1"/>
        <v>Y</v>
      </c>
      <c r="K20" s="107"/>
      <c r="L20" s="107"/>
      <c r="M20" s="266" t="s">
        <v>6</v>
      </c>
      <c r="N20" s="267" t="s">
        <v>56</v>
      </c>
      <c r="O20" s="270" t="s">
        <v>180</v>
      </c>
      <c r="P20" s="272"/>
      <c r="Q20" s="269" t="s">
        <v>170</v>
      </c>
      <c r="R20" s="269" t="s">
        <v>651</v>
      </c>
      <c r="S20" s="237"/>
      <c r="T20" s="107"/>
      <c r="U20" s="308"/>
      <c r="V20" s="107" t="s">
        <v>364</v>
      </c>
      <c r="W20" s="107" t="s">
        <v>367</v>
      </c>
      <c r="X20" s="107" t="s">
        <v>367</v>
      </c>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c r="T21" s="107" t="s">
        <v>72</v>
      </c>
      <c r="U21" s="308"/>
      <c r="V21" s="107"/>
      <c r="W21" s="107" t="s">
        <v>368</v>
      </c>
      <c r="X21" s="107"/>
    </row>
    <row r="22" spans="1:24" x14ac:dyDescent="0.3">
      <c r="A22" s="213" t="s">
        <v>55</v>
      </c>
      <c r="B22" s="206" t="s">
        <v>595</v>
      </c>
      <c r="C22" s="240"/>
      <c r="D22" s="240"/>
      <c r="E22" s="292"/>
      <c r="F22" s="292" t="s">
        <v>77</v>
      </c>
      <c r="G22" s="292"/>
      <c r="H22" s="212">
        <f>IF(C22&lt;&gt;"",'CBL Score Standard'!$D80,IF(D22&lt;&gt;"",SUM('CBL Score Standard'!$D80:$E80),IF(E22&lt;&gt;"",SUM('CBL Score Standard'!$D80:$F80),IF(F22&lt;&gt;"",SUM('CBL Score Standard'!$D80:$G80),IF(G22&lt;&gt;"",SUM('CBL Score Standard'!$D80:$H80,0))))))</f>
        <v>4.9624060150375938E-2</v>
      </c>
      <c r="I22" s="182" t="str">
        <f t="shared" si="0"/>
        <v>Passed</v>
      </c>
      <c r="J22" s="182" t="str">
        <f t="shared" si="1"/>
        <v>Y</v>
      </c>
      <c r="K22" s="107"/>
      <c r="L22" s="107"/>
      <c r="M22" s="266" t="s">
        <v>6</v>
      </c>
      <c r="N22" s="267" t="s">
        <v>678</v>
      </c>
      <c r="O22" s="270" t="s">
        <v>186</v>
      </c>
      <c r="P22" s="274">
        <v>44392</v>
      </c>
      <c r="Q22" s="269" t="s">
        <v>153</v>
      </c>
      <c r="R22" s="269" t="s">
        <v>263</v>
      </c>
      <c r="S22" s="237"/>
      <c r="T22" s="107"/>
      <c r="U22" s="308"/>
      <c r="V22" s="107" t="s">
        <v>364</v>
      </c>
      <c r="W22" s="107" t="s">
        <v>367</v>
      </c>
      <c r="X22" s="107" t="s">
        <v>367</v>
      </c>
    </row>
    <row r="23" spans="1:24" ht="12.75" customHeight="1" x14ac:dyDescent="0.3">
      <c r="A23" s="213" t="s">
        <v>55</v>
      </c>
      <c r="B23" s="206" t="s">
        <v>410</v>
      </c>
      <c r="C23" s="240"/>
      <c r="D23" s="240"/>
      <c r="E23" s="240"/>
      <c r="F23" s="292" t="s">
        <v>77</v>
      </c>
      <c r="G23" s="292"/>
      <c r="H23" s="212">
        <f>IF(C23&lt;&gt;"",'CBL Score Standard'!$D81,IF(D23&lt;&gt;"",SUM('CBL Score Standard'!$D81:$E81),IF(E23&lt;&gt;"",SUM('CBL Score Standard'!$D81:$F81),IF(F23&lt;&gt;"",SUM('CBL Score Standard'!$D81:$G81),IF(G23&lt;&gt;"",SUM('CBL Score Standard'!$D81:$H81,0))))))</f>
        <v>4.9624060150375938E-2</v>
      </c>
      <c r="I23" s="182" t="str">
        <f t="shared" si="0"/>
        <v>Passed</v>
      </c>
      <c r="J23" s="182" t="str">
        <f t="shared" si="1"/>
        <v>Y</v>
      </c>
      <c r="K23" s="107"/>
      <c r="L23" s="107"/>
      <c r="M23" s="266" t="s">
        <v>6</v>
      </c>
      <c r="N23" s="267" t="s">
        <v>678</v>
      </c>
      <c r="O23" s="252" t="s">
        <v>652</v>
      </c>
      <c r="P23" s="273">
        <v>44378</v>
      </c>
      <c r="Q23" s="269" t="s">
        <v>590</v>
      </c>
      <c r="R23" s="269" t="s">
        <v>274</v>
      </c>
      <c r="S23" s="237"/>
      <c r="T23" s="107"/>
      <c r="U23" s="308"/>
      <c r="V23" s="107"/>
      <c r="W23" s="107" t="s">
        <v>368</v>
      </c>
      <c r="X23" s="107"/>
    </row>
    <row r="24" spans="1:24" ht="12.75" customHeight="1" x14ac:dyDescent="0.3">
      <c r="A24" s="213" t="s">
        <v>55</v>
      </c>
      <c r="B24" s="206" t="s">
        <v>596</v>
      </c>
      <c r="C24" s="240"/>
      <c r="D24" s="240"/>
      <c r="E24" s="292"/>
      <c r="F24" s="292" t="s">
        <v>77</v>
      </c>
      <c r="G24" s="292"/>
      <c r="H24" s="212">
        <f>IF(C24&lt;&gt;"",'CBL Score Standard'!$D82,IF(D24&lt;&gt;"",SUM('CBL Score Standard'!$D82:$E82),IF(E24&lt;&gt;"",SUM('CBL Score Standard'!$D82:$F82),IF(F24&lt;&gt;"",SUM('CBL Score Standard'!$D82:$G82),IF(G24&lt;&gt;"",SUM('CBL Score Standard'!$D82:$H82,0))))))</f>
        <v>4.9624060150375938E-2</v>
      </c>
      <c r="I24" s="182">
        <f t="shared" si="0"/>
        <v>0</v>
      </c>
      <c r="J24" s="182">
        <f t="shared" si="1"/>
        <v>0</v>
      </c>
      <c r="K24" s="107"/>
      <c r="L24" s="107"/>
      <c r="M24" s="266" t="s">
        <v>6</v>
      </c>
      <c r="N24" s="267" t="s">
        <v>678</v>
      </c>
      <c r="O24" s="270" t="s">
        <v>189</v>
      </c>
      <c r="P24" s="274"/>
      <c r="Q24" s="269" t="s">
        <v>225</v>
      </c>
      <c r="R24" s="269" t="s">
        <v>340</v>
      </c>
      <c r="S24" s="237"/>
      <c r="T24" s="107"/>
      <c r="U24" s="308"/>
      <c r="V24" s="107"/>
      <c r="W24" s="107" t="s">
        <v>368</v>
      </c>
      <c r="X24" s="107"/>
    </row>
    <row r="25" spans="1:24" x14ac:dyDescent="0.3">
      <c r="A25" s="213" t="s">
        <v>55</v>
      </c>
      <c r="B25" s="206" t="s">
        <v>236</v>
      </c>
      <c r="C25" s="240"/>
      <c r="D25" s="240"/>
      <c r="E25" s="240"/>
      <c r="F25" s="292"/>
      <c r="G25" s="292"/>
      <c r="H25" s="212" t="b">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t="s">
        <v>77</v>
      </c>
      <c r="G26" s="292"/>
      <c r="H26" s="212">
        <f>IF(C26&lt;&gt;"",'CBL Score Standard'!$D84,IF(D26&lt;&gt;"",SUM('CBL Score Standard'!$D84:$E84),IF(E26&lt;&gt;"",SUM('CBL Score Standard'!$D84:$F84),IF(F26&lt;&gt;"",SUM('CBL Score Standard'!$D84:$G84),IF(G26&lt;&gt;"",SUM('CBL Score Standard'!$D84:$H84,0))))))</f>
        <v>2.1052631578947368E-2</v>
      </c>
      <c r="I26" s="182" t="str">
        <f t="shared" si="0"/>
        <v>Passed</v>
      </c>
      <c r="J26" s="182">
        <f t="shared" si="1"/>
        <v>0</v>
      </c>
      <c r="K26" s="107"/>
      <c r="L26" s="107"/>
      <c r="M26" s="266" t="s">
        <v>6</v>
      </c>
      <c r="N26" s="267" t="s">
        <v>55</v>
      </c>
      <c r="O26" s="270" t="s">
        <v>190</v>
      </c>
      <c r="P26" s="272"/>
      <c r="Q26" s="269" t="s">
        <v>373</v>
      </c>
      <c r="R26" s="269" t="s">
        <v>331</v>
      </c>
      <c r="S26" s="237"/>
      <c r="T26" s="107"/>
      <c r="U26" s="308"/>
      <c r="V26" s="107"/>
      <c r="W26" s="107" t="s">
        <v>368</v>
      </c>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t="s">
        <v>368</v>
      </c>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t="s">
        <v>368</v>
      </c>
      <c r="X28" s="107"/>
    </row>
    <row r="29" spans="1:24" x14ac:dyDescent="0.3">
      <c r="A29" s="213" t="s">
        <v>59</v>
      </c>
      <c r="B29" s="206" t="s">
        <v>614</v>
      </c>
      <c r="C29" s="240"/>
      <c r="D29" s="240"/>
      <c r="E29" s="292"/>
      <c r="F29" s="292" t="s">
        <v>77</v>
      </c>
      <c r="G29" s="292"/>
      <c r="H29" s="212">
        <f>IF(C29&lt;&gt;"",'CBL Score Standard'!$D87,IF(D29&lt;&gt;"",SUM('CBL Score Standard'!$D87:$E87),IF(E29&lt;&gt;"",SUM('CBL Score Standard'!$D87:$F87),IF(F29&lt;&gt;"",SUM('CBL Score Standard'!$D87:$G87),IF(G29&lt;&gt;"",SUM('CBL Score Standard'!$D87:$H87,0))))))</f>
        <v>4.9624060150375938E-2</v>
      </c>
      <c r="I29" s="182" t="str">
        <f t="shared" si="0"/>
        <v>Passed</v>
      </c>
      <c r="J29" s="182" t="str">
        <f t="shared" si="1"/>
        <v>N</v>
      </c>
      <c r="K29" s="107"/>
      <c r="L29" s="107"/>
      <c r="M29" s="266" t="s">
        <v>6</v>
      </c>
      <c r="N29" s="267" t="s">
        <v>55</v>
      </c>
      <c r="O29" s="270" t="s">
        <v>196</v>
      </c>
      <c r="P29" s="272"/>
      <c r="Q29" s="269" t="s">
        <v>197</v>
      </c>
      <c r="R29" s="269" t="s">
        <v>256</v>
      </c>
      <c r="S29" s="237"/>
      <c r="T29" s="107"/>
      <c r="U29" s="308"/>
      <c r="V29" s="107"/>
      <c r="W29" s="107" t="s">
        <v>368</v>
      </c>
      <c r="X29" s="107"/>
    </row>
    <row r="30" spans="1:24" x14ac:dyDescent="0.3">
      <c r="A30" s="213" t="s">
        <v>59</v>
      </c>
      <c r="B30" s="206" t="s">
        <v>613</v>
      </c>
      <c r="C30" s="240"/>
      <c r="D30" s="240"/>
      <c r="E30" s="292"/>
      <c r="F30" s="292" t="s">
        <v>77</v>
      </c>
      <c r="G30" s="292"/>
      <c r="H30" s="212">
        <f>IF(C30&lt;&gt;"",'CBL Score Standard'!$D88,IF(D30&lt;&gt;"",SUM('CBL Score Standard'!$D88:$E88),IF(E30&lt;&gt;"",SUM('CBL Score Standard'!$D88:$F88),IF(F30&lt;&gt;"",SUM('CBL Score Standard'!$D88:$G88),IF(G30&lt;&gt;"",SUM('CBL Score Standard'!$D88:$H88,0))))))</f>
        <v>4.9624060150375938E-2</v>
      </c>
      <c r="I30" s="182" t="str">
        <f t="shared" si="0"/>
        <v>Passed</v>
      </c>
      <c r="J30" s="182" t="str">
        <f t="shared" si="1"/>
        <v>N</v>
      </c>
      <c r="K30" s="107"/>
      <c r="L30" s="107"/>
      <c r="M30" s="266" t="s">
        <v>6</v>
      </c>
      <c r="N30" s="267" t="s">
        <v>55</v>
      </c>
      <c r="O30" s="270" t="s">
        <v>200</v>
      </c>
      <c r="P30" s="272"/>
      <c r="Q30" s="269" t="s">
        <v>374</v>
      </c>
      <c r="R30" s="269" t="s">
        <v>375</v>
      </c>
      <c r="S30" s="107"/>
      <c r="T30" s="107"/>
      <c r="U30" s="308">
        <v>43629</v>
      </c>
      <c r="V30" s="107" t="s">
        <v>364</v>
      </c>
      <c r="W30" s="107" t="s">
        <v>367</v>
      </c>
      <c r="X30" s="107" t="s">
        <v>367</v>
      </c>
    </row>
    <row r="31" spans="1:24" x14ac:dyDescent="0.3">
      <c r="A31" s="213" t="s">
        <v>148</v>
      </c>
      <c r="B31" s="206" t="s">
        <v>148</v>
      </c>
      <c r="C31" s="292"/>
      <c r="D31" s="292"/>
      <c r="E31" s="292"/>
      <c r="F31" s="292" t="s">
        <v>77</v>
      </c>
      <c r="G31" s="292"/>
      <c r="H31" s="212">
        <f>IF(C31&lt;&gt;"",'CBL Score Standard'!$D89,IF(D31&lt;&gt;"",SUM('CBL Score Standard'!$D89:$E89),IF(E31&lt;&gt;"",SUM('CBL Score Standard'!$D89:$F89),IF(F31&lt;&gt;"",SUM('CBL Score Standard'!$D89:$G89),IF(G31&lt;&gt;"",SUM('CBL Score Standard'!$D89:$H89,0))))))</f>
        <v>0.18173788128858734</v>
      </c>
      <c r="I31" s="182" t="str">
        <f t="shared" si="0"/>
        <v>Passed</v>
      </c>
      <c r="J31" s="182" t="str">
        <f t="shared" si="1"/>
        <v>Y</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t="s">
        <v>77</v>
      </c>
      <c r="F32" s="292"/>
      <c r="G32" s="292"/>
      <c r="H32" s="212">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t="s">
        <v>391</v>
      </c>
      <c r="T32" s="107"/>
      <c r="U32" s="308">
        <v>43761</v>
      </c>
      <c r="V32" s="107" t="s">
        <v>364</v>
      </c>
      <c r="W32" s="107" t="s">
        <v>367</v>
      </c>
      <c r="X32" s="107" t="s">
        <v>367</v>
      </c>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c r="T33" s="107"/>
      <c r="U33" s="308"/>
      <c r="V33" s="107" t="s">
        <v>364</v>
      </c>
      <c r="W33" s="107" t="s">
        <v>367</v>
      </c>
      <c r="X33" s="107" t="s">
        <v>370</v>
      </c>
    </row>
    <row r="34" spans="1:24" ht="26.4" x14ac:dyDescent="0.3">
      <c r="A34" s="213" t="s">
        <v>31</v>
      </c>
      <c r="B34" s="206" t="s">
        <v>591</v>
      </c>
      <c r="C34" s="292"/>
      <c r="D34" s="292"/>
      <c r="E34" s="292"/>
      <c r="F34" s="292" t="s">
        <v>77</v>
      </c>
      <c r="G34" s="292"/>
      <c r="H34" s="212">
        <f>IF(C34&lt;&gt;"",'CBL Score Standard'!$D92,IF(D34&lt;&gt;"",SUM('CBL Score Standard'!$D92:$E92),IF(E34&lt;&gt;"",SUM('CBL Score Standard'!$D92:$F92),IF(F34&lt;&gt;"",SUM('CBL Score Standard'!$D92:$G92),IF(G34&lt;&gt;"",SUM('CBL Score Standard'!$D92:$H92,0))))))</f>
        <v>0.18173788128858734</v>
      </c>
      <c r="I34" s="182" t="e">
        <f t="shared" si="0"/>
        <v>#N/A</v>
      </c>
      <c r="J34" s="182" t="e">
        <f t="shared" si="1"/>
        <v>#N/A</v>
      </c>
      <c r="K34" s="107"/>
      <c r="L34" s="107"/>
      <c r="M34" s="266" t="s">
        <v>6</v>
      </c>
      <c r="N34" s="267" t="s">
        <v>54</v>
      </c>
      <c r="O34" s="270" t="s">
        <v>335</v>
      </c>
      <c r="P34" s="272"/>
      <c r="Q34" s="269" t="s">
        <v>207</v>
      </c>
      <c r="R34" s="269" t="s">
        <v>319</v>
      </c>
      <c r="S34" s="107"/>
      <c r="T34" s="107"/>
      <c r="U34" s="308"/>
      <c r="V34" s="107"/>
      <c r="W34" s="107" t="s">
        <v>368</v>
      </c>
      <c r="X34" s="107"/>
    </row>
    <row r="35" spans="1:24" ht="13.8" x14ac:dyDescent="0.3">
      <c r="A35" s="213" t="s">
        <v>31</v>
      </c>
      <c r="B35" s="206" t="s">
        <v>173</v>
      </c>
      <c r="C35" s="292"/>
      <c r="D35" s="292"/>
      <c r="E35" s="292"/>
      <c r="F35" s="292" t="s">
        <v>77</v>
      </c>
      <c r="G35" s="292"/>
      <c r="H35" s="212">
        <f>IF(C35&lt;&gt;"",'CBL Score Standard'!$D93,IF(D35&lt;&gt;"",SUM('CBL Score Standard'!$D93:$E93),IF(E35&lt;&gt;"",SUM('CBL Score Standard'!$D93:$F93),IF(F35&lt;&gt;"",SUM('CBL Score Standard'!$D93:$G93),IF(G35&lt;&gt;"",SUM('CBL Score Standard'!$D93:$H93,0))))))</f>
        <v>0.18173788128858734</v>
      </c>
      <c r="I35" s="182" t="str">
        <f t="shared" si="0"/>
        <v>Passed</v>
      </c>
      <c r="J35" s="182" t="str">
        <f t="shared" si="1"/>
        <v>Y</v>
      </c>
      <c r="K35" s="107" t="s">
        <v>141</v>
      </c>
      <c r="L35" s="107" t="s">
        <v>142</v>
      </c>
      <c r="M35" s="275" t="s">
        <v>7</v>
      </c>
      <c r="N35" s="276" t="s">
        <v>55</v>
      </c>
      <c r="O35" s="277" t="s">
        <v>183</v>
      </c>
      <c r="P35" s="283">
        <v>44266</v>
      </c>
      <c r="Q35" s="280" t="s">
        <v>218</v>
      </c>
      <c r="R35" s="280" t="s">
        <v>266</v>
      </c>
      <c r="S35" s="237"/>
      <c r="T35" s="107"/>
      <c r="U35" s="308"/>
      <c r="V35" s="107" t="s">
        <v>364</v>
      </c>
      <c r="W35" s="107" t="s">
        <v>367</v>
      </c>
      <c r="X35" s="107" t="s">
        <v>367</v>
      </c>
    </row>
    <row r="36" spans="1:24" ht="13.8" x14ac:dyDescent="0.3">
      <c r="A36" s="213" t="s">
        <v>46</v>
      </c>
      <c r="B36" s="206" t="s">
        <v>169</v>
      </c>
      <c r="C36" s="240"/>
      <c r="D36" s="292"/>
      <c r="E36" s="292"/>
      <c r="F36" s="292" t="s">
        <v>77</v>
      </c>
      <c r="G36" s="292"/>
      <c r="H36" s="212">
        <f>IF(C36&lt;&gt;"",'CBL Score Standard'!$D94,IF(D36&lt;&gt;"",SUM('CBL Score Standard'!$D94:$E94),IF(E36&lt;&gt;"",SUM('CBL Score Standard'!$D94:$F94),IF(F36&lt;&gt;"",SUM('CBL Score Standard'!$D94:$G94),IF(G36&lt;&gt;"",SUM('CBL Score Standard'!$D94:$H94,0))))))</f>
        <v>9.8404547955253982E-2</v>
      </c>
      <c r="I36" s="182" t="str">
        <f t="shared" si="0"/>
        <v>Passed</v>
      </c>
      <c r="J36" s="182" t="str">
        <f t="shared" si="1"/>
        <v>Y</v>
      </c>
      <c r="K36" s="107"/>
      <c r="L36" s="107"/>
      <c r="M36" s="275" t="s">
        <v>7</v>
      </c>
      <c r="N36" s="276" t="s">
        <v>56</v>
      </c>
      <c r="O36" s="277" t="s">
        <v>213</v>
      </c>
      <c r="P36" s="280"/>
      <c r="Q36" s="280" t="s">
        <v>162</v>
      </c>
      <c r="R36" s="280" t="s">
        <v>317</v>
      </c>
      <c r="S36" s="237"/>
      <c r="T36" s="107"/>
      <c r="U36" s="308"/>
      <c r="V36" s="107" t="s">
        <v>364</v>
      </c>
      <c r="W36" s="107" t="s">
        <v>367</v>
      </c>
      <c r="X36" s="107" t="s">
        <v>367</v>
      </c>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c r="T37" s="107"/>
      <c r="U37" s="308"/>
      <c r="V37" s="107" t="s">
        <v>364</v>
      </c>
      <c r="W37" s="237" t="s">
        <v>367</v>
      </c>
      <c r="X37" s="107" t="s">
        <v>367</v>
      </c>
    </row>
    <row r="38" spans="1:24" ht="23.4" customHeight="1" x14ac:dyDescent="0.3">
      <c r="A38" s="213" t="s">
        <v>54</v>
      </c>
      <c r="B38" s="206" t="s">
        <v>388</v>
      </c>
      <c r="C38" s="292"/>
      <c r="D38" s="292"/>
      <c r="E38" s="292" t="s">
        <v>77</v>
      </c>
      <c r="F38" s="292"/>
      <c r="G38" s="292"/>
      <c r="H38" s="212">
        <f>IF(C38&lt;&gt;"",'CBL Score Standard'!$D96,IF(D38&lt;&gt;"",SUM('CBL Score Standard'!$D96:$E96),IF(E38&lt;&gt;"",SUM('CBL Score Standard'!$D96:$F96),IF(F38&lt;&gt;"",SUM('CBL Score Standard'!$D96:$G96),IF(G38&lt;&gt;"",SUM('CBL Score Standard'!$D96:$H96,0))))))</f>
        <v>0.16068524970963996</v>
      </c>
      <c r="I38" s="182">
        <f t="shared" si="0"/>
        <v>0</v>
      </c>
      <c r="J38" s="182">
        <f t="shared" si="1"/>
        <v>0</v>
      </c>
      <c r="K38" s="107"/>
      <c r="L38" s="107"/>
      <c r="M38" s="275" t="s">
        <v>7</v>
      </c>
      <c r="N38" s="276" t="s">
        <v>55</v>
      </c>
      <c r="O38" s="277" t="s">
        <v>410</v>
      </c>
      <c r="P38" s="280"/>
      <c r="Q38" s="282" t="s">
        <v>661</v>
      </c>
      <c r="R38" s="280" t="s">
        <v>662</v>
      </c>
      <c r="S38" s="237"/>
      <c r="T38" s="107"/>
      <c r="U38" s="308"/>
      <c r="V38" s="107" t="s">
        <v>364</v>
      </c>
      <c r="W38" s="107" t="s">
        <v>367</v>
      </c>
      <c r="X38" s="107" t="s">
        <v>367</v>
      </c>
    </row>
    <row r="39" spans="1:24" ht="41.4" customHeight="1" x14ac:dyDescent="0.3">
      <c r="A39" s="213" t="s">
        <v>54</v>
      </c>
      <c r="B39" s="206" t="s">
        <v>335</v>
      </c>
      <c r="C39" s="240"/>
      <c r="D39" s="292"/>
      <c r="E39" s="292" t="s">
        <v>77</v>
      </c>
      <c r="F39" s="292"/>
      <c r="G39" s="292"/>
      <c r="H39" s="212">
        <f>IF(C39&lt;&gt;"",'CBL Score Standard'!$D97,IF(D39&lt;&gt;"",SUM('CBL Score Standard'!$D97:$E97),IF(E39&lt;&gt;"",SUM('CBL Score Standard'!$D97:$F97),IF(F39&lt;&gt;"",SUM('CBL Score Standard'!$D97:$G97),IF(G39&lt;&gt;"",SUM('CBL Score Standard'!$D97:$H97,0))))))</f>
        <v>7.7351916376306618E-2</v>
      </c>
      <c r="I39" s="182">
        <f t="shared" si="0"/>
        <v>0</v>
      </c>
      <c r="J39" s="182" t="str">
        <f t="shared" si="1"/>
        <v>N</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t="s">
        <v>77</v>
      </c>
      <c r="F40" s="292"/>
      <c r="G40" s="292"/>
      <c r="H40" s="212">
        <f>IF(C40&lt;&gt;"",'CBL Score Standard'!$D98,IF(D40&lt;&gt;"",SUM('CBL Score Standard'!$D98:$E98),IF(E40&lt;&gt;"",SUM('CBL Score Standard'!$D98:$F98),IF(F40&lt;&gt;"",SUM('CBL Score Standard'!$D98:$G98),IF(G40&lt;&gt;"",SUM('CBL Score Standard'!$D98:$H98,0))))))</f>
        <v>1.4285714285714285E-2</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t="s">
        <v>72</v>
      </c>
      <c r="U40" s="107"/>
      <c r="V40" s="107"/>
      <c r="W40" s="107"/>
      <c r="X40" s="107"/>
    </row>
    <row r="41" spans="1:24" ht="13.8" x14ac:dyDescent="0.3">
      <c r="A41" s="213" t="s">
        <v>53</v>
      </c>
      <c r="B41" s="206" t="s">
        <v>361</v>
      </c>
      <c r="C41" s="240"/>
      <c r="D41" s="240"/>
      <c r="E41" s="240" t="s">
        <v>77</v>
      </c>
      <c r="F41" s="292"/>
      <c r="G41" s="292"/>
      <c r="H41" s="212">
        <f>IF(C41&lt;&gt;"",'CBL Score Standard'!$D99,IF(D41&lt;&gt;"",SUM('CBL Score Standard'!$D99:$E99),IF(E41&lt;&gt;"",SUM('CBL Score Standard'!$D99:$F99),IF(F41&lt;&gt;"",SUM('CBL Score Standard'!$D99:$G99),IF(G41&lt;&gt;"",SUM('CBL Score Standard'!$D99:$H99,0))))))</f>
        <v>3.8675958188153309E-2</v>
      </c>
      <c r="I41" s="182" t="str">
        <f t="shared" si="2"/>
        <v>Passed</v>
      </c>
      <c r="J41" s="182" t="str">
        <f t="shared" si="3"/>
        <v>Y</v>
      </c>
      <c r="K41" s="107"/>
      <c r="L41" s="107"/>
      <c r="M41" s="275" t="s">
        <v>7</v>
      </c>
      <c r="N41" s="276" t="s">
        <v>53</v>
      </c>
      <c r="O41" s="277" t="s">
        <v>221</v>
      </c>
      <c r="P41" s="283"/>
      <c r="Q41" s="280" t="s">
        <v>222</v>
      </c>
      <c r="R41" s="280" t="s">
        <v>344</v>
      </c>
      <c r="S41" s="237"/>
      <c r="T41" s="107"/>
      <c r="U41" s="308"/>
      <c r="V41" s="107"/>
      <c r="W41" s="107" t="s">
        <v>368</v>
      </c>
      <c r="X41" s="107"/>
    </row>
    <row r="42" spans="1:24" ht="13.8"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t="str">
        <f t="shared" si="3"/>
        <v>N</v>
      </c>
      <c r="K42" s="107"/>
      <c r="L42" s="107"/>
      <c r="M42" s="275" t="s">
        <v>7</v>
      </c>
      <c r="N42" s="276" t="s">
        <v>53</v>
      </c>
      <c r="O42" s="277" t="s">
        <v>224</v>
      </c>
      <c r="P42" s="283"/>
      <c r="Q42" s="280" t="s">
        <v>225</v>
      </c>
      <c r="R42" s="280" t="s">
        <v>340</v>
      </c>
      <c r="S42" s="237" t="s">
        <v>316</v>
      </c>
      <c r="T42" s="107" t="s">
        <v>73</v>
      </c>
      <c r="U42" s="308"/>
      <c r="V42" s="107"/>
      <c r="W42" s="107" t="s">
        <v>368</v>
      </c>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t="str">
        <f t="shared" si="3"/>
        <v>N</v>
      </c>
      <c r="K43" s="107"/>
      <c r="L43" s="107"/>
      <c r="M43" s="275" t="s">
        <v>7</v>
      </c>
      <c r="N43" s="276" t="s">
        <v>658</v>
      </c>
      <c r="O43" s="278" t="s">
        <v>614</v>
      </c>
      <c r="P43" s="283"/>
      <c r="Q43" s="280" t="s">
        <v>152</v>
      </c>
      <c r="R43" s="280" t="s">
        <v>154</v>
      </c>
      <c r="S43" s="237" t="s">
        <v>316</v>
      </c>
      <c r="T43" s="107" t="s">
        <v>72</v>
      </c>
      <c r="U43" s="308">
        <v>43626</v>
      </c>
      <c r="V43" s="107" t="s">
        <v>364</v>
      </c>
      <c r="W43" s="107" t="s">
        <v>368</v>
      </c>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391</v>
      </c>
      <c r="T44" s="107" t="s">
        <v>72</v>
      </c>
      <c r="U44" s="308">
        <v>44008</v>
      </c>
      <c r="V44" s="107" t="s">
        <v>364</v>
      </c>
      <c r="W44" s="107" t="s">
        <v>368</v>
      </c>
      <c r="X44" s="107"/>
    </row>
    <row r="45" spans="1:24" ht="26.4" x14ac:dyDescent="0.3">
      <c r="A45" s="213" t="s">
        <v>41</v>
      </c>
      <c r="B45" s="206" t="s">
        <v>412</v>
      </c>
      <c r="C45" s="292"/>
      <c r="D45" s="292"/>
      <c r="E45" s="292"/>
      <c r="F45" s="292" t="s">
        <v>77</v>
      </c>
      <c r="G45" s="292"/>
      <c r="H45" s="212">
        <f>IF(C45&lt;&gt;"",'CBL Score Standard'!$D103,IF(D45&lt;&gt;"",SUM('CBL Score Standard'!$D103:$E103),IF(E45&lt;&gt;"",SUM('CBL Score Standard'!$D103:$F103),IF(F45&lt;&gt;"",SUM('CBL Score Standard'!$D103:$G103),IF(G45&lt;&gt;"",SUM('CBL Score Standard'!$D103:$H103,0))))))</f>
        <v>0.18173788128858734</v>
      </c>
      <c r="I45" s="182" t="str">
        <f t="shared" si="2"/>
        <v>Passed</v>
      </c>
      <c r="J45" s="182" t="str">
        <f t="shared" si="3"/>
        <v>N</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c r="E46" s="292"/>
      <c r="F46" s="292" t="s">
        <v>77</v>
      </c>
      <c r="G46" s="292"/>
      <c r="H46" s="212">
        <f>IF(C46&lt;&gt;"",'CBL Score Standard'!$D104,IF(D46&lt;&gt;"",SUM('CBL Score Standard'!$D104:$E104),IF(E46&lt;&gt;"",SUM('CBL Score Standard'!$D104:$F104),IF(F46&lt;&gt;"",SUM('CBL Score Standard'!$D104:$G104),IF(G46&lt;&gt;"",SUM('CBL Score Standard'!$D104:$H104,0))))))</f>
        <v>9.8404547955253982E-2</v>
      </c>
      <c r="I46" s="182" t="str">
        <f t="shared" si="2"/>
        <v>Passed</v>
      </c>
      <c r="J46" s="182" t="str">
        <f t="shared" si="3"/>
        <v>Y</v>
      </c>
      <c r="K46" s="107"/>
      <c r="L46" s="107"/>
      <c r="M46" s="275" t="s">
        <v>7</v>
      </c>
      <c r="N46" s="276" t="s">
        <v>55</v>
      </c>
      <c r="O46" s="278" t="s">
        <v>1</v>
      </c>
      <c r="P46" s="283"/>
      <c r="Q46" s="280" t="s">
        <v>577</v>
      </c>
      <c r="R46" s="280" t="s">
        <v>477</v>
      </c>
      <c r="S46" s="237" t="s">
        <v>391</v>
      </c>
      <c r="T46" s="107"/>
      <c r="U46" s="308">
        <v>43763</v>
      </c>
      <c r="V46" s="107" t="s">
        <v>364</v>
      </c>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c r="U47" s="308"/>
      <c r="V47" s="107"/>
      <c r="W47" s="107" t="s">
        <v>368</v>
      </c>
      <c r="X47" s="107"/>
    </row>
    <row r="48" spans="1:24" ht="13.8" x14ac:dyDescent="0.3">
      <c r="A48" s="213" t="s">
        <v>143</v>
      </c>
      <c r="B48" s="206" t="s">
        <v>362</v>
      </c>
      <c r="C48" s="292"/>
      <c r="D48" s="292"/>
      <c r="E48" s="292"/>
      <c r="F48" s="292" t="s">
        <v>77</v>
      </c>
      <c r="G48" s="292"/>
      <c r="H48" s="212">
        <f>IF(C48&lt;&gt;"",'CBL Score Standard'!$D106,IF(D48&lt;&gt;"",SUM('CBL Score Standard'!$D106:$E106),IF(E48&lt;&gt;"",SUM('CBL Score Standard'!$D106:$F106),IF(F48&lt;&gt;"",SUM('CBL Score Standard'!$D106:$G106),IF(G48&lt;&gt;"",SUM('CBL Score Standard'!$D106:$H106,0))))))</f>
        <v>0.18173788128858734</v>
      </c>
      <c r="I48" s="182" t="str">
        <f t="shared" si="2"/>
        <v>Passed</v>
      </c>
      <c r="J48" s="182" t="str">
        <f t="shared" si="3"/>
        <v>Y</v>
      </c>
      <c r="K48" s="107"/>
      <c r="L48" s="107"/>
      <c r="M48" s="275" t="s">
        <v>7</v>
      </c>
      <c r="N48" s="276" t="s">
        <v>56</v>
      </c>
      <c r="O48" s="278" t="s">
        <v>385</v>
      </c>
      <c r="P48" s="280"/>
      <c r="Q48" s="280" t="s">
        <v>387</v>
      </c>
      <c r="R48" s="280" t="s">
        <v>386</v>
      </c>
      <c r="S48" s="237" t="s">
        <v>391</v>
      </c>
      <c r="T48" s="107" t="s">
        <v>72</v>
      </c>
      <c r="U48" s="308">
        <v>43763</v>
      </c>
      <c r="V48" s="107" t="s">
        <v>364</v>
      </c>
      <c r="W48" s="107"/>
      <c r="X48" s="107"/>
    </row>
    <row r="49" spans="1:24" ht="39.6" x14ac:dyDescent="0.3">
      <c r="A49" s="213" t="s">
        <v>143</v>
      </c>
      <c r="B49" s="206" t="s">
        <v>363</v>
      </c>
      <c r="C49" s="292"/>
      <c r="D49" s="292"/>
      <c r="E49" s="292"/>
      <c r="F49" s="292" t="s">
        <v>77</v>
      </c>
      <c r="G49" s="292"/>
      <c r="H49" s="212">
        <f>IF(C49&lt;&gt;"",'CBL Score Standard'!$D107,IF(D49&lt;&gt;"",SUM('CBL Score Standard'!$D107:$E107),IF(E49&lt;&gt;"",SUM('CBL Score Standard'!$D107:$F107),IF(F49&lt;&gt;"",SUM('CBL Score Standard'!$D107:$G107),IF(G49&lt;&gt;"",SUM('CBL Score Standard'!$D107:$H107,0))))))</f>
        <v>0.18173788128858734</v>
      </c>
      <c r="I49" s="182" t="str">
        <f t="shared" si="2"/>
        <v>Passed</v>
      </c>
      <c r="J49" s="182" t="str">
        <f t="shared" si="3"/>
        <v>Y</v>
      </c>
      <c r="K49" s="107"/>
      <c r="L49" s="107"/>
      <c r="M49" s="275" t="s">
        <v>7</v>
      </c>
      <c r="N49" s="276" t="s">
        <v>54</v>
      </c>
      <c r="O49" s="278" t="s">
        <v>229</v>
      </c>
      <c r="P49" s="283"/>
      <c r="Q49" s="280" t="s">
        <v>665</v>
      </c>
      <c r="R49" s="280" t="s">
        <v>574</v>
      </c>
      <c r="S49" s="107"/>
      <c r="T49" s="107" t="s">
        <v>72</v>
      </c>
      <c r="U49" s="308"/>
      <c r="V49" s="107"/>
      <c r="W49" s="107"/>
      <c r="X49" s="107"/>
    </row>
    <row r="50" spans="1:24" ht="13.8" x14ac:dyDescent="0.3">
      <c r="A50" s="213" t="s">
        <v>643</v>
      </c>
      <c r="B50" s="206" t="s">
        <v>414</v>
      </c>
      <c r="C50" s="292"/>
      <c r="D50" s="292"/>
      <c r="E50" s="292"/>
      <c r="F50" s="292" t="s">
        <v>77</v>
      </c>
      <c r="G50" s="292"/>
      <c r="H50" s="212">
        <f>IF(C50&lt;&gt;"",'CBL Score Standard'!$D108,IF(D50&lt;&gt;"",SUM('CBL Score Standard'!$D108:$E108),IF(E50&lt;&gt;"",SUM('CBL Score Standard'!$D108:$F108),IF(F50&lt;&gt;"",SUM('CBL Score Standard'!$D108:$G108),IF(G50&lt;&gt;"",SUM('CBL Score Standard'!$D108:$H108,0))))))</f>
        <v>0.18173788128858734</v>
      </c>
      <c r="I50" s="182" t="str">
        <f t="shared" si="2"/>
        <v>Passed</v>
      </c>
      <c r="J50" s="182" t="str">
        <f t="shared" si="3"/>
        <v>Y</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t="s">
        <v>77</v>
      </c>
      <c r="G51" s="292"/>
      <c r="H51" s="212">
        <f>IF(C51&lt;&gt;"",'CBL Score Standard'!$D109,IF(D51&lt;&gt;"",SUM('CBL Score Standard'!$D109:$E109),IF(E51&lt;&gt;"",SUM('CBL Score Standard'!$D109:$F109),IF(F51&lt;&gt;"",SUM('CBL Score Standard'!$D109:$G109),IF(G51&lt;&gt;"",SUM('CBL Score Standard'!$D109:$H109,0))))))</f>
        <v>0.18173788128858734</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c r="E52" s="292" t="s">
        <v>77</v>
      </c>
      <c r="F52" s="292"/>
      <c r="G52" s="292"/>
      <c r="H52" s="212">
        <f>IF(C52&lt;&gt;"",'CBL Score Standard'!$D110,IF(D52&lt;&gt;"",SUM('CBL Score Standard'!$D110:$E110),IF(E52&lt;&gt;"",SUM('CBL Score Standard'!$D110:$F110),IF(F52&lt;&gt;"",SUM('CBL Score Standard'!$D110:$G110),IF(G52&lt;&gt;"",SUM('CBL Score Standard'!$D110:$H110,0))))))</f>
        <v>0.16068524970963996</v>
      </c>
      <c r="I52" s="182">
        <f t="shared" si="2"/>
        <v>0</v>
      </c>
      <c r="J52" s="182" t="str">
        <f t="shared" si="3"/>
        <v>Y</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f t="shared" si="2"/>
        <v>0</v>
      </c>
      <c r="J53" s="182" t="str">
        <f t="shared" si="3"/>
        <v>Y</v>
      </c>
      <c r="K53" s="107" t="s">
        <v>141</v>
      </c>
      <c r="L53" s="107" t="s">
        <v>142</v>
      </c>
      <c r="M53" s="284" t="s">
        <v>8</v>
      </c>
      <c r="N53" s="285" t="s">
        <v>2</v>
      </c>
      <c r="O53" s="279" t="s">
        <v>232</v>
      </c>
      <c r="P53" s="286" t="s">
        <v>228</v>
      </c>
      <c r="Q53" s="286" t="s">
        <v>671</v>
      </c>
      <c r="R53" s="286"/>
      <c r="S53" s="237" t="s">
        <v>316</v>
      </c>
      <c r="T53" s="107" t="s">
        <v>73</v>
      </c>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t="s">
        <v>316</v>
      </c>
      <c r="T54" s="107" t="s">
        <v>72</v>
      </c>
      <c r="U54" s="107"/>
      <c r="V54" s="107"/>
      <c r="W54" s="107"/>
      <c r="X54" s="107"/>
    </row>
    <row r="55" spans="1:24"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customFormat="1" x14ac:dyDescent="0.3">
      <c r="A56" s="213" t="s">
        <v>643</v>
      </c>
      <c r="B56" s="206" t="s">
        <v>679</v>
      </c>
      <c r="C56" s="240"/>
      <c r="D56" s="292"/>
      <c r="E56" s="292" t="s">
        <v>77</v>
      </c>
      <c r="F56" s="292"/>
      <c r="G56" s="292"/>
      <c r="H56" s="212">
        <f>IF(C56&lt;&gt;"",'CBL Score Standard'!$D114,IF(D56&lt;&gt;"",SUM('CBL Score Standard'!$D114:$E114),IF(E56&lt;&gt;"",SUM('CBL Score Standard'!$D114:$F114),IF(F56&lt;&gt;"",SUM('CBL Score Standard'!$D114:$G114),IF(G56&lt;&gt;"",SUM('CBL Score Standard'!$D114:$H114,0))))))</f>
        <v>7.7351916376306618E-2</v>
      </c>
      <c r="I56" s="182">
        <f t="shared" si="2"/>
        <v>0</v>
      </c>
      <c r="J56" s="182" t="str">
        <f t="shared" si="3"/>
        <v>N</v>
      </c>
      <c r="K56" s="107"/>
      <c r="L56" s="107"/>
      <c r="M56" s="284" t="s">
        <v>8</v>
      </c>
      <c r="N56" s="285" t="s">
        <v>55</v>
      </c>
      <c r="O56" s="279" t="s">
        <v>236</v>
      </c>
      <c r="P56" s="286" t="s">
        <v>228</v>
      </c>
      <c r="Q56" s="286" t="s">
        <v>673</v>
      </c>
      <c r="R56" s="286"/>
      <c r="S56" s="237" t="s">
        <v>316</v>
      </c>
      <c r="T56" s="107" t="s">
        <v>73</v>
      </c>
      <c r="U56" s="107"/>
      <c r="V56" s="107"/>
      <c r="W56" s="107"/>
      <c r="X56" s="107"/>
    </row>
    <row r="57" spans="1:24" ht="26.4" x14ac:dyDescent="0.3">
      <c r="A57" s="213" t="s">
        <v>643</v>
      </c>
      <c r="B57" s="206" t="s">
        <v>186</v>
      </c>
      <c r="C57" s="240"/>
      <c r="D57" s="292"/>
      <c r="E57" s="292"/>
      <c r="F57" s="292" t="s">
        <v>77</v>
      </c>
      <c r="G57" s="292"/>
      <c r="H57" s="212">
        <f>IF(C57&lt;&gt;"",'CBL Score Standard'!$D115,IF(D57&lt;&gt;"",SUM('CBL Score Standard'!$D115:$E115),IF(E57&lt;&gt;"",SUM('CBL Score Standard'!$D115:$F115),IF(F57&lt;&gt;"",SUM('CBL Score Standard'!$D115:$G115),IF(G57&lt;&gt;"",SUM('CBL Score Standard'!$D115:$H115,0))))))</f>
        <v>9.8404547955253982E-2</v>
      </c>
      <c r="I57" s="182" t="str">
        <f t="shared" si="2"/>
        <v>Passed</v>
      </c>
      <c r="J57" s="182" t="str">
        <f t="shared" si="3"/>
        <v>Y</v>
      </c>
      <c r="K57" s="107"/>
      <c r="L57" s="107"/>
      <c r="M57" s="284" t="s">
        <v>8</v>
      </c>
      <c r="N57" s="285" t="s">
        <v>53</v>
      </c>
      <c r="O57" s="279" t="s">
        <v>670</v>
      </c>
      <c r="P57" s="286" t="s">
        <v>228</v>
      </c>
      <c r="Q57" s="286" t="s">
        <v>674</v>
      </c>
      <c r="R57" s="286"/>
      <c r="S57" s="107"/>
      <c r="T57" s="107"/>
      <c r="U57" s="107"/>
      <c r="V57" s="107"/>
      <c r="W57" s="107"/>
      <c r="X57" s="107"/>
    </row>
    <row r="58" spans="1:24" ht="23.4" customHeight="1" x14ac:dyDescent="0.3">
      <c r="A58" s="213" t="s">
        <v>643</v>
      </c>
      <c r="B58" s="111" t="s">
        <v>644</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f t="shared" si="2"/>
        <v>0</v>
      </c>
      <c r="J58" s="182" t="str">
        <f t="shared" si="3"/>
        <v>N</v>
      </c>
      <c r="K58" s="107"/>
      <c r="L58" s="107"/>
      <c r="M58" s="284" t="s">
        <v>8</v>
      </c>
      <c r="N58" s="285" t="s">
        <v>59</v>
      </c>
      <c r="O58" s="279" t="s">
        <v>237</v>
      </c>
      <c r="P58" s="286" t="s">
        <v>228</v>
      </c>
      <c r="Q58" s="286" t="s">
        <v>675</v>
      </c>
      <c r="R58" s="286"/>
      <c r="S58" s="107"/>
      <c r="T58" s="107"/>
      <c r="U58" s="307"/>
      <c r="V58" s="107"/>
      <c r="W58" s="107"/>
      <c r="X58" s="107"/>
    </row>
    <row r="59" spans="1:24" ht="41.4" customHeight="1" x14ac:dyDescent="0.3">
      <c r="A59" s="213" t="s">
        <v>643</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f t="shared" si="2"/>
        <v>0</v>
      </c>
      <c r="J59" s="182" t="str">
        <f t="shared" si="3"/>
        <v>N</v>
      </c>
      <c r="K59" s="107"/>
      <c r="L59" s="107"/>
      <c r="M59" s="284" t="s">
        <v>8</v>
      </c>
      <c r="N59" s="285" t="s">
        <v>55</v>
      </c>
      <c r="O59" s="279" t="s">
        <v>473</v>
      </c>
      <c r="P59" s="286" t="s">
        <v>228</v>
      </c>
      <c r="Q59" s="286" t="s">
        <v>672</v>
      </c>
      <c r="R59" s="286"/>
      <c r="S59" s="107" t="s">
        <v>391</v>
      </c>
      <c r="T59" s="107" t="s">
        <v>73</v>
      </c>
      <c r="U59" s="307">
        <v>44042.458333333336</v>
      </c>
      <c r="V59" s="107" t="s">
        <v>364</v>
      </c>
      <c r="W59" s="107"/>
      <c r="X59" s="107"/>
    </row>
    <row r="60" spans="1:24" x14ac:dyDescent="0.3">
      <c r="A60" s="213" t="s">
        <v>643</v>
      </c>
      <c r="B60" s="206" t="s">
        <v>739</v>
      </c>
      <c r="C60" s="240"/>
      <c r="D60" s="240"/>
      <c r="E60" s="292"/>
      <c r="F60" s="292"/>
      <c r="G60" s="292"/>
      <c r="H60" s="212"/>
      <c r="I60" s="182">
        <f t="shared" ref="I60:I65" si="4">VLOOKUP(B61,$O$4:$W$64,8,0)</f>
        <v>0</v>
      </c>
      <c r="J60" s="182" t="str">
        <f t="shared" ref="J60:J65" si="5">VLOOKUP(B61,$O$4:$W$64,9,0)</f>
        <v>N</v>
      </c>
      <c r="K60" s="107"/>
      <c r="L60" s="107"/>
      <c r="M60" s="284" t="s">
        <v>8</v>
      </c>
      <c r="N60" s="285" t="s">
        <v>148</v>
      </c>
      <c r="O60" s="279" t="s">
        <v>360</v>
      </c>
      <c r="P60" s="286" t="s">
        <v>228</v>
      </c>
      <c r="Q60" s="286" t="s">
        <v>676</v>
      </c>
      <c r="R60" s="286" t="s">
        <v>216</v>
      </c>
      <c r="S60" s="107"/>
      <c r="T60" s="107"/>
      <c r="U60" s="308"/>
      <c r="V60" s="107"/>
      <c r="W60" s="107"/>
      <c r="X60" s="107"/>
    </row>
    <row r="61" spans="1:24" ht="13.8" x14ac:dyDescent="0.25">
      <c r="A61" s="150" t="s">
        <v>56</v>
      </c>
      <c r="B61" s="206" t="s">
        <v>383</v>
      </c>
      <c r="C61" s="240"/>
      <c r="D61" s="240"/>
      <c r="E61" s="292" t="s">
        <v>77</v>
      </c>
      <c r="F61" s="292"/>
      <c r="G61" s="292"/>
      <c r="H61" s="212">
        <f>IF(C61&lt;&gt;"",'CBL Score Standard'!$D118,IF(D61&lt;&gt;"",SUM('CBL Score Standard'!$D118:$E118),IF(E61&lt;&gt;"",SUM('CBL Score Standard'!$D118:$F118),IF(F61&lt;&gt;"",SUM('CBL Score Standard'!$D118:$G118),IF(G61&lt;&gt;"",SUM('CBL Score Standard'!$D118:$H118,0))))))</f>
        <v>2.8571428571428571E-2</v>
      </c>
      <c r="I61" s="182" t="str">
        <f t="shared" si="4"/>
        <v>Passed</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t="s">
        <v>77</v>
      </c>
      <c r="F62" s="292"/>
      <c r="G62" s="292"/>
      <c r="H62" s="212">
        <f>IF(C62&lt;&gt;"",'CBL Score Standard'!$D119,IF(D62&lt;&gt;"",SUM('CBL Score Standard'!$D119:$E119),IF(E62&lt;&gt;"",SUM('CBL Score Standard'!$D119:$F119),IF(F62&lt;&gt;"",SUM('CBL Score Standard'!$D119:$G119),IF(G62&lt;&gt;"",SUM('CBL Score Standard'!$D119:$H119,0))))))</f>
        <v>1.4285714285714285E-2</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26.4"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t="s">
        <v>77</v>
      </c>
      <c r="F64" s="292"/>
      <c r="G64" s="292"/>
      <c r="H64" s="212">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t="s">
        <v>77</v>
      </c>
      <c r="G65" s="292"/>
      <c r="H65" s="212">
        <f>IF(C65&lt;&gt;"",'CBL Score Standard'!$D122,IF(D65&lt;&gt;"",SUM('CBL Score Standard'!$D122:$E122),IF(E65&lt;&gt;"",SUM('CBL Score Standard'!$D122:$F122),IF(F65&lt;&gt;"",SUM('CBL Score Standard'!$D122:$G122),IF(G65&lt;&gt;"",SUM('CBL Score Standard'!$D122:$H122,0))))))</f>
        <v>4.9624060150375938E-2</v>
      </c>
      <c r="I65" s="182" t="str">
        <f t="shared" si="4"/>
        <v>Passed</v>
      </c>
      <c r="J65" s="182">
        <f t="shared" si="5"/>
        <v>0</v>
      </c>
      <c r="K65" s="205"/>
      <c r="L65" s="205"/>
      <c r="M65" s="205"/>
      <c r="N65" s="306"/>
      <c r="O65" s="205"/>
      <c r="P65" s="205"/>
      <c r="Q65" s="205"/>
      <c r="R65" s="205"/>
    </row>
    <row r="66" spans="1:18" ht="15" thickBot="1" x14ac:dyDescent="0.35">
      <c r="A66" s="214" t="s">
        <v>55</v>
      </c>
      <c r="B66" s="206" t="s">
        <v>1</v>
      </c>
      <c r="C66" s="240"/>
      <c r="D66" s="240"/>
      <c r="E66" s="292"/>
      <c r="F66" s="292" t="s">
        <v>77</v>
      </c>
      <c r="G66" s="292"/>
      <c r="H66" s="212">
        <f>IF(C66&lt;&gt;"",'CBL Score Standard'!$D123,IF(D66&lt;&gt;"",SUM('CBL Score Standard'!$D123:$E123),IF(E66&lt;&gt;"",SUM('CBL Score Standard'!$D123:$F123),IF(F66&lt;&gt;"",SUM('CBL Score Standard'!$D123:$G123),IF(G66&lt;&gt;"",SUM('CBL Score Standard'!$D123:$H123,0))))))</f>
        <v>4.9624060150375938E-2</v>
      </c>
      <c r="K66" s="205"/>
      <c r="L66" s="205"/>
      <c r="M66" s="205"/>
      <c r="N66" s="306"/>
      <c r="O66" s="205"/>
      <c r="P66" s="205"/>
      <c r="Q66" s="205"/>
      <c r="R66" s="205"/>
    </row>
    <row r="67" spans="1:18" ht="15" thickBot="1" x14ac:dyDescent="0.35">
      <c r="A67" s="362" t="s">
        <v>79</v>
      </c>
      <c r="B67" s="363"/>
      <c r="C67" s="364"/>
      <c r="D67" s="364"/>
      <c r="E67" s="364"/>
      <c r="F67" s="364"/>
      <c r="G67" s="364"/>
      <c r="H67" s="183">
        <f>SUM(H8:H64)</f>
        <v>3.1024726450272024</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ht="23.4" customHeight="1" x14ac:dyDescent="0.3">
      <c r="C70" s="101"/>
      <c r="D70" s="101"/>
      <c r="E70" s="101"/>
      <c r="F70" s="101"/>
      <c r="G70" s="101"/>
    </row>
    <row r="71" spans="1:18" ht="41.4" customHeight="1" x14ac:dyDescent="0.3">
      <c r="C71" s="101"/>
      <c r="D71" s="101"/>
      <c r="E71" s="101"/>
      <c r="F71" s="101"/>
      <c r="G71" s="101"/>
    </row>
    <row r="72" spans="1:18" x14ac:dyDescent="0.3">
      <c r="C72" s="101"/>
      <c r="D72" s="101"/>
      <c r="E72" s="101"/>
      <c r="F72" s="101"/>
      <c r="G72" s="101"/>
    </row>
    <row r="73" spans="1:18" x14ac:dyDescent="0.3">
      <c r="C73" s="101"/>
      <c r="D73" s="101"/>
      <c r="E73" s="101"/>
      <c r="F73" s="101"/>
      <c r="G73" s="101"/>
    </row>
    <row r="74" spans="1:18" x14ac:dyDescent="0.3">
      <c r="C74" s="101"/>
      <c r="D74" s="101"/>
      <c r="E74" s="101"/>
      <c r="F74" s="101"/>
      <c r="G74" s="101"/>
    </row>
    <row r="75" spans="1:18" x14ac:dyDescent="0.3">
      <c r="C75" s="101"/>
      <c r="D75" s="101"/>
      <c r="E75" s="101"/>
      <c r="F75" s="101"/>
      <c r="G75" s="101"/>
    </row>
    <row r="76" spans="1:18" ht="13.2" customHeight="1" x14ac:dyDescent="0.3">
      <c r="C76" s="101"/>
      <c r="D76" s="101"/>
      <c r="E76" s="101"/>
      <c r="F76" s="101"/>
      <c r="G76" s="101"/>
    </row>
    <row r="77" spans="1:18" x14ac:dyDescent="0.3">
      <c r="C77" s="101"/>
      <c r="D77" s="101"/>
      <c r="E77" s="101"/>
      <c r="F77" s="101"/>
      <c r="G77" s="101"/>
    </row>
    <row r="78" spans="1:18" x14ac:dyDescent="0.3">
      <c r="C78" s="101"/>
      <c r="D78" s="101"/>
      <c r="E78" s="101"/>
      <c r="F78" s="101"/>
      <c r="G78" s="101"/>
    </row>
    <row r="79" spans="1:18" x14ac:dyDescent="0.3">
      <c r="C79" s="101"/>
      <c r="D79" s="101"/>
      <c r="E79" s="101"/>
      <c r="F79" s="101"/>
      <c r="G79" s="101"/>
    </row>
    <row r="80" spans="1:18" x14ac:dyDescent="0.3">
      <c r="C80" s="101"/>
      <c r="D80" s="101"/>
      <c r="E80" s="101"/>
      <c r="F80" s="101"/>
      <c r="G80" s="101"/>
    </row>
    <row r="81" spans="3:7" x14ac:dyDescent="0.3">
      <c r="C81" s="101"/>
      <c r="D81" s="101"/>
      <c r="E81" s="101"/>
      <c r="F81" s="101"/>
      <c r="G81" s="101"/>
    </row>
    <row r="82" spans="3:7" x14ac:dyDescent="0.3">
      <c r="C82" s="101"/>
      <c r="D82" s="101"/>
      <c r="E82" s="101"/>
      <c r="F82" s="101"/>
      <c r="G82" s="101"/>
    </row>
    <row r="83" spans="3:7" x14ac:dyDescent="0.3">
      <c r="C83" s="101"/>
      <c r="D83" s="101"/>
      <c r="E83" s="101"/>
      <c r="F83" s="101"/>
      <c r="G83" s="101"/>
    </row>
    <row r="84" spans="3:7" x14ac:dyDescent="0.3">
      <c r="C84" s="101"/>
      <c r="D84" s="101"/>
      <c r="E84" s="101"/>
      <c r="F84" s="101"/>
      <c r="G84" s="101"/>
    </row>
    <row r="85" spans="3:7" x14ac:dyDescent="0.3">
      <c r="C85" s="101"/>
      <c r="D85" s="101"/>
      <c r="E85" s="101"/>
      <c r="F85" s="101"/>
      <c r="G85" s="101"/>
    </row>
    <row r="86" spans="3:7" x14ac:dyDescent="0.3">
      <c r="C86" s="101"/>
      <c r="D86" s="101"/>
      <c r="E86" s="101"/>
      <c r="F86" s="101"/>
      <c r="G86" s="101"/>
    </row>
    <row r="87" spans="3:7" x14ac:dyDescent="0.3">
      <c r="C87" s="101"/>
      <c r="D87" s="101"/>
      <c r="E87" s="101"/>
      <c r="F87" s="101"/>
      <c r="G87" s="101"/>
    </row>
    <row r="88" spans="3:7" x14ac:dyDescent="0.3">
      <c r="C88" s="101"/>
      <c r="D88" s="101"/>
      <c r="E88" s="101"/>
      <c r="F88" s="101"/>
      <c r="G88" s="101"/>
    </row>
    <row r="89" spans="3:7" x14ac:dyDescent="0.3">
      <c r="C89" s="101"/>
      <c r="D89" s="101"/>
      <c r="E89" s="101"/>
      <c r="F89" s="101"/>
      <c r="G89" s="101"/>
    </row>
    <row r="90" spans="3:7" x14ac:dyDescent="0.3">
      <c r="C90" s="101"/>
      <c r="D90" s="101"/>
      <c r="E90" s="101"/>
      <c r="F90" s="101"/>
      <c r="G90" s="101"/>
    </row>
    <row r="91" spans="3:7" x14ac:dyDescent="0.3">
      <c r="C91" s="101"/>
      <c r="D91" s="101"/>
      <c r="E91" s="101"/>
      <c r="F91" s="101"/>
      <c r="G91" s="101"/>
    </row>
    <row r="92" spans="3:7" x14ac:dyDescent="0.3">
      <c r="C92" s="101"/>
      <c r="D92" s="101"/>
      <c r="E92" s="101"/>
      <c r="F92" s="101"/>
      <c r="G92" s="101"/>
    </row>
    <row r="93" spans="3:7" x14ac:dyDescent="0.3">
      <c r="C93" s="101"/>
      <c r="D93" s="101"/>
      <c r="E93" s="101"/>
      <c r="F93" s="101"/>
      <c r="G93" s="101"/>
    </row>
    <row r="94" spans="3:7" x14ac:dyDescent="0.3">
      <c r="C94" s="101"/>
      <c r="D94" s="101"/>
      <c r="E94" s="101"/>
      <c r="F94" s="101"/>
      <c r="G94" s="101"/>
    </row>
    <row r="95" spans="3:7" x14ac:dyDescent="0.3">
      <c r="C95" s="101"/>
      <c r="D95" s="101"/>
      <c r="E95" s="101"/>
      <c r="F95" s="101"/>
      <c r="G95" s="101"/>
    </row>
    <row r="96" spans="3:7" x14ac:dyDescent="0.3">
      <c r="C96" s="101"/>
      <c r="D96" s="101"/>
      <c r="E96" s="101"/>
      <c r="F96" s="101"/>
      <c r="G96" s="101"/>
    </row>
    <row r="97" spans="3:7" x14ac:dyDescent="0.3">
      <c r="C97" s="101"/>
      <c r="D97" s="101"/>
      <c r="E97" s="101"/>
      <c r="F97" s="101"/>
      <c r="G97" s="101"/>
    </row>
    <row r="98" spans="3:7" x14ac:dyDescent="0.3">
      <c r="C98" s="101"/>
      <c r="D98" s="101"/>
      <c r="E98" s="101"/>
      <c r="F98" s="101"/>
      <c r="G98" s="101"/>
    </row>
    <row r="99" spans="3:7" x14ac:dyDescent="0.3">
      <c r="C99" s="101"/>
      <c r="D99" s="101"/>
      <c r="E99" s="101"/>
      <c r="F99" s="101"/>
      <c r="G99" s="101"/>
    </row>
    <row r="100" spans="3:7" x14ac:dyDescent="0.3">
      <c r="C100" s="101"/>
      <c r="D100" s="101"/>
      <c r="E100" s="101"/>
      <c r="F100" s="101"/>
      <c r="G100" s="101"/>
    </row>
    <row r="101" spans="3:7" x14ac:dyDescent="0.3">
      <c r="C101" s="101"/>
      <c r="D101" s="101"/>
      <c r="E101" s="101"/>
      <c r="F101" s="101"/>
      <c r="G101" s="101"/>
    </row>
    <row r="102" spans="3:7" x14ac:dyDescent="0.3">
      <c r="C102" s="101"/>
      <c r="D102" s="101"/>
      <c r="E102" s="101"/>
      <c r="F102" s="101"/>
      <c r="G102" s="101"/>
    </row>
    <row r="103" spans="3:7" x14ac:dyDescent="0.3">
      <c r="C103" s="101"/>
      <c r="D103" s="101"/>
      <c r="E103" s="101"/>
      <c r="F103" s="101"/>
      <c r="G103" s="101"/>
    </row>
    <row r="104" spans="3:7" x14ac:dyDescent="0.3">
      <c r="C104" s="101"/>
      <c r="D104" s="101"/>
      <c r="E104" s="101"/>
      <c r="F104" s="101"/>
      <c r="G104" s="101"/>
    </row>
    <row r="105" spans="3:7" x14ac:dyDescent="0.3">
      <c r="C105" s="101"/>
      <c r="D105" s="101"/>
      <c r="E105" s="101"/>
      <c r="F105" s="101"/>
      <c r="G105" s="101"/>
    </row>
    <row r="106" spans="3:7" x14ac:dyDescent="0.3">
      <c r="C106" s="101"/>
      <c r="D106" s="101"/>
      <c r="E106" s="101"/>
      <c r="F106" s="101"/>
      <c r="G106" s="101"/>
    </row>
    <row r="107" spans="3:7" x14ac:dyDescent="0.3">
      <c r="C107" s="101"/>
      <c r="D107" s="101"/>
      <c r="E107" s="101"/>
      <c r="F107" s="101"/>
      <c r="G107" s="101"/>
    </row>
    <row r="108" spans="3:7" x14ac:dyDescent="0.3">
      <c r="C108" s="101"/>
      <c r="D108" s="101"/>
      <c r="E108" s="101"/>
      <c r="F108" s="101"/>
      <c r="G108" s="101"/>
    </row>
    <row r="109" spans="3:7" x14ac:dyDescent="0.3">
      <c r="C109" s="101"/>
      <c r="D109" s="101"/>
      <c r="E109" s="101"/>
      <c r="F109" s="101"/>
      <c r="G109" s="101"/>
    </row>
    <row r="110" spans="3:7" x14ac:dyDescent="0.3">
      <c r="C110" s="101"/>
      <c r="D110" s="101"/>
      <c r="E110" s="101"/>
      <c r="F110" s="101"/>
      <c r="G110" s="101"/>
    </row>
    <row r="111" spans="3:7" x14ac:dyDescent="0.3">
      <c r="C111" s="101"/>
      <c r="D111" s="101"/>
      <c r="E111" s="101"/>
      <c r="F111" s="101"/>
      <c r="G111" s="101"/>
    </row>
    <row r="112" spans="3:7" x14ac:dyDescent="0.3">
      <c r="C112" s="101"/>
      <c r="D112" s="101"/>
      <c r="E112" s="101"/>
      <c r="F112" s="101"/>
      <c r="G112" s="101"/>
    </row>
    <row r="113" spans="3:7" x14ac:dyDescent="0.3">
      <c r="C113" s="101"/>
      <c r="D113" s="101"/>
      <c r="E113" s="101"/>
      <c r="F113" s="101"/>
      <c r="G113" s="101"/>
    </row>
    <row r="114" spans="3:7" x14ac:dyDescent="0.3">
      <c r="C114" s="101"/>
      <c r="D114" s="101"/>
      <c r="E114" s="101"/>
      <c r="F114" s="101"/>
      <c r="G114" s="101"/>
    </row>
    <row r="115" spans="3:7" x14ac:dyDescent="0.3">
      <c r="C115" s="101"/>
      <c r="D115" s="101"/>
      <c r="E115" s="101"/>
      <c r="F115" s="101"/>
      <c r="G115" s="101"/>
    </row>
    <row r="116" spans="3:7" x14ac:dyDescent="0.3">
      <c r="C116" s="101"/>
      <c r="D116" s="101"/>
      <c r="E116" s="101"/>
      <c r="F116" s="101"/>
      <c r="G116" s="101"/>
    </row>
    <row r="117" spans="3:7" x14ac:dyDescent="0.3">
      <c r="C117" s="101"/>
      <c r="D117" s="101"/>
      <c r="E117" s="101"/>
      <c r="F117" s="101"/>
      <c r="G117" s="101"/>
    </row>
    <row r="118" spans="3:7" x14ac:dyDescent="0.3">
      <c r="C118" s="101"/>
      <c r="D118" s="101"/>
      <c r="E118" s="101"/>
      <c r="F118" s="101"/>
      <c r="G118" s="101"/>
    </row>
    <row r="119" spans="3:7" x14ac:dyDescent="0.3">
      <c r="C119" s="101"/>
      <c r="D119" s="101"/>
      <c r="E119" s="101"/>
      <c r="F119" s="101"/>
      <c r="G119" s="101"/>
    </row>
    <row r="120" spans="3:7" x14ac:dyDescent="0.3">
      <c r="C120" s="101"/>
      <c r="D120" s="101"/>
      <c r="E120" s="101"/>
      <c r="F120" s="101"/>
      <c r="G120" s="101"/>
    </row>
    <row r="121" spans="3:7" x14ac:dyDescent="0.3">
      <c r="C121" s="101"/>
      <c r="D121" s="101"/>
      <c r="E121" s="101"/>
      <c r="F121" s="101"/>
      <c r="G121" s="101"/>
    </row>
    <row r="122" spans="3:7" x14ac:dyDescent="0.3">
      <c r="C122" s="101"/>
      <c r="D122" s="101"/>
      <c r="E122" s="101"/>
      <c r="F122" s="101"/>
      <c r="G122" s="101"/>
    </row>
    <row r="123" spans="3:7" x14ac:dyDescent="0.3">
      <c r="C123" s="101"/>
      <c r="D123" s="101"/>
      <c r="E123" s="101"/>
      <c r="F123" s="101"/>
      <c r="G123" s="101"/>
    </row>
    <row r="124" spans="3:7" x14ac:dyDescent="0.3">
      <c r="C124" s="101"/>
      <c r="D124" s="101"/>
      <c r="E124" s="101"/>
      <c r="F124" s="101"/>
      <c r="G124" s="101"/>
    </row>
    <row r="125" spans="3:7" x14ac:dyDescent="0.3">
      <c r="C125" s="101"/>
      <c r="D125" s="101"/>
      <c r="E125" s="101"/>
      <c r="F125" s="101"/>
      <c r="G125" s="101"/>
    </row>
    <row r="126" spans="3:7" x14ac:dyDescent="0.3">
      <c r="C126" s="101"/>
      <c r="D126" s="101"/>
      <c r="E126" s="101"/>
      <c r="F126" s="101"/>
      <c r="G126" s="101"/>
    </row>
    <row r="127" spans="3:7" x14ac:dyDescent="0.3">
      <c r="C127" s="101"/>
      <c r="D127" s="101"/>
      <c r="E127" s="101"/>
      <c r="F127" s="101"/>
      <c r="G127" s="101"/>
    </row>
    <row r="128" spans="3:7" x14ac:dyDescent="0.3">
      <c r="C128" s="101"/>
      <c r="D128" s="101"/>
      <c r="E128" s="101"/>
      <c r="F128" s="101"/>
      <c r="G128" s="101"/>
    </row>
    <row r="129" spans="3:7" x14ac:dyDescent="0.3">
      <c r="C129" s="101"/>
      <c r="D129" s="101"/>
      <c r="E129" s="101"/>
      <c r="F129" s="101"/>
      <c r="G129" s="101"/>
    </row>
    <row r="130" spans="3:7" x14ac:dyDescent="0.3">
      <c r="C130" s="101"/>
      <c r="D130" s="101"/>
      <c r="E130" s="101"/>
      <c r="F130" s="101"/>
      <c r="G130" s="101"/>
    </row>
    <row r="131" spans="3:7" x14ac:dyDescent="0.3">
      <c r="C131" s="101"/>
      <c r="D131" s="101"/>
      <c r="E131" s="101"/>
      <c r="F131" s="101"/>
      <c r="G131" s="101"/>
    </row>
    <row r="132" spans="3:7" x14ac:dyDescent="0.3">
      <c r="C132" s="101"/>
      <c r="D132" s="101"/>
      <c r="E132" s="101"/>
      <c r="F132" s="101"/>
      <c r="G132" s="101"/>
    </row>
    <row r="133" spans="3:7" x14ac:dyDescent="0.3">
      <c r="C133" s="101"/>
      <c r="D133" s="101"/>
      <c r="E133" s="101"/>
      <c r="F133" s="101"/>
      <c r="G133" s="101"/>
    </row>
    <row r="134" spans="3:7" x14ac:dyDescent="0.3">
      <c r="C134" s="101"/>
      <c r="D134" s="101"/>
      <c r="E134" s="101"/>
      <c r="F134" s="101"/>
      <c r="G134" s="101"/>
    </row>
    <row r="135" spans="3:7" x14ac:dyDescent="0.3">
      <c r="C135" s="101"/>
      <c r="D135" s="101"/>
      <c r="E135" s="101"/>
      <c r="F135" s="101"/>
      <c r="G135" s="101"/>
    </row>
    <row r="136" spans="3:7" x14ac:dyDescent="0.3">
      <c r="C136" s="101"/>
      <c r="D136" s="101"/>
      <c r="E136" s="101"/>
      <c r="F136" s="101"/>
      <c r="G136" s="101"/>
    </row>
    <row r="137" spans="3:7" x14ac:dyDescent="0.3">
      <c r="C137" s="101"/>
      <c r="D137" s="101"/>
      <c r="E137" s="101"/>
      <c r="F137" s="101"/>
      <c r="G137" s="101"/>
    </row>
    <row r="138" spans="3:7" x14ac:dyDescent="0.3">
      <c r="C138" s="101"/>
      <c r="D138" s="101"/>
      <c r="E138" s="101"/>
      <c r="F138" s="101"/>
      <c r="G138" s="101"/>
    </row>
    <row r="139" spans="3:7" x14ac:dyDescent="0.3">
      <c r="C139" s="101"/>
      <c r="D139" s="101"/>
      <c r="E139" s="101"/>
      <c r="F139" s="101"/>
      <c r="G139" s="101"/>
    </row>
    <row r="140" spans="3:7" x14ac:dyDescent="0.3">
      <c r="C140" s="101"/>
      <c r="D140" s="101"/>
      <c r="E140" s="101"/>
      <c r="F140" s="101"/>
      <c r="G140" s="101"/>
    </row>
    <row r="141" spans="3:7" x14ac:dyDescent="0.3">
      <c r="C141" s="101"/>
      <c r="D141" s="101"/>
      <c r="E141" s="101"/>
      <c r="F141" s="101"/>
      <c r="G141" s="101"/>
    </row>
    <row r="142" spans="3:7" x14ac:dyDescent="0.3">
      <c r="C142" s="101"/>
      <c r="D142" s="101"/>
      <c r="E142" s="101"/>
      <c r="F142" s="101"/>
      <c r="G142" s="101"/>
    </row>
    <row r="143" spans="3:7" x14ac:dyDescent="0.3">
      <c r="C143" s="101"/>
      <c r="D143" s="101"/>
      <c r="E143" s="101"/>
      <c r="F143" s="101"/>
      <c r="G143" s="101"/>
    </row>
    <row r="144" spans="3:7" x14ac:dyDescent="0.3">
      <c r="C144" s="101"/>
      <c r="D144" s="101"/>
      <c r="E144" s="101"/>
      <c r="F144" s="101"/>
      <c r="G144" s="101"/>
    </row>
    <row r="145" spans="3:7" x14ac:dyDescent="0.3">
      <c r="C145" s="101"/>
      <c r="D145" s="101"/>
      <c r="E145" s="101"/>
      <c r="F145" s="101"/>
      <c r="G145" s="101"/>
    </row>
    <row r="146" spans="3:7" x14ac:dyDescent="0.3">
      <c r="C146" s="101"/>
      <c r="D146" s="101"/>
      <c r="E146" s="101"/>
      <c r="F146" s="101"/>
      <c r="G146" s="101"/>
    </row>
    <row r="147" spans="3:7" x14ac:dyDescent="0.3">
      <c r="C147" s="101"/>
      <c r="D147" s="101"/>
      <c r="E147" s="101"/>
      <c r="F147" s="101"/>
      <c r="G147" s="101"/>
    </row>
    <row r="148" spans="3:7" x14ac:dyDescent="0.3">
      <c r="C148" s="101"/>
      <c r="D148" s="101"/>
      <c r="E148" s="101"/>
      <c r="F148" s="101"/>
      <c r="G148" s="101"/>
    </row>
    <row r="149" spans="3:7" x14ac:dyDescent="0.3">
      <c r="C149" s="101"/>
      <c r="D149" s="101"/>
      <c r="E149" s="101"/>
      <c r="F149" s="101"/>
      <c r="G149" s="101"/>
    </row>
    <row r="150" spans="3:7" x14ac:dyDescent="0.3">
      <c r="C150" s="101"/>
      <c r="D150" s="101"/>
      <c r="E150" s="101"/>
      <c r="F150" s="101"/>
      <c r="G150" s="101"/>
    </row>
    <row r="151" spans="3:7" x14ac:dyDescent="0.3">
      <c r="C151" s="101"/>
      <c r="D151" s="101"/>
      <c r="E151" s="101"/>
      <c r="F151" s="101"/>
      <c r="G151" s="101"/>
    </row>
    <row r="152" spans="3:7" x14ac:dyDescent="0.3">
      <c r="C152" s="101"/>
      <c r="D152" s="101"/>
      <c r="E152" s="101"/>
      <c r="F152" s="101"/>
      <c r="G152" s="101"/>
    </row>
    <row r="153" spans="3:7" x14ac:dyDescent="0.3">
      <c r="C153" s="101"/>
      <c r="D153" s="101"/>
      <c r="E153" s="101"/>
      <c r="F153" s="101"/>
      <c r="G153" s="101"/>
    </row>
    <row r="154" spans="3:7" x14ac:dyDescent="0.3">
      <c r="C154" s="101"/>
      <c r="D154" s="101"/>
      <c r="E154" s="101"/>
      <c r="F154" s="101"/>
      <c r="G154" s="101"/>
    </row>
    <row r="155" spans="3:7" x14ac:dyDescent="0.3">
      <c r="C155" s="101"/>
      <c r="D155" s="101"/>
      <c r="E155" s="101"/>
      <c r="F155" s="101"/>
      <c r="G155" s="101"/>
    </row>
    <row r="156" spans="3:7" x14ac:dyDescent="0.3">
      <c r="C156" s="101"/>
      <c r="D156" s="101"/>
      <c r="E156" s="101"/>
      <c r="F156" s="101"/>
      <c r="G156" s="101"/>
    </row>
    <row r="157" spans="3:7" x14ac:dyDescent="0.3">
      <c r="C157" s="101"/>
      <c r="D157" s="101"/>
      <c r="E157" s="101"/>
      <c r="F157" s="101"/>
      <c r="G157" s="101"/>
    </row>
    <row r="158" spans="3:7" x14ac:dyDescent="0.3">
      <c r="C158" s="101"/>
      <c r="D158" s="101"/>
      <c r="E158" s="101"/>
      <c r="F158" s="101"/>
      <c r="G158" s="101"/>
    </row>
    <row r="159" spans="3:7" x14ac:dyDescent="0.3">
      <c r="C159" s="101"/>
      <c r="D159" s="101"/>
      <c r="E159" s="101"/>
      <c r="F159" s="101"/>
      <c r="G159" s="101"/>
    </row>
    <row r="160" spans="3:7" x14ac:dyDescent="0.3">
      <c r="C160" s="101"/>
      <c r="D160" s="101"/>
      <c r="E160" s="101"/>
      <c r="F160" s="101"/>
      <c r="G160" s="101"/>
    </row>
    <row r="161" spans="3:7" x14ac:dyDescent="0.3">
      <c r="C161" s="101"/>
      <c r="D161" s="101"/>
      <c r="E161" s="101"/>
      <c r="F161" s="101"/>
      <c r="G161" s="101"/>
    </row>
    <row r="162" spans="3:7" x14ac:dyDescent="0.3">
      <c r="C162" s="101"/>
      <c r="D162" s="101"/>
      <c r="E162" s="101"/>
      <c r="F162" s="101"/>
      <c r="G162" s="101"/>
    </row>
    <row r="163" spans="3:7" x14ac:dyDescent="0.3">
      <c r="C163" s="101"/>
      <c r="D163" s="101"/>
      <c r="E163" s="101"/>
      <c r="F163" s="101"/>
      <c r="G163" s="101"/>
    </row>
    <row r="164" spans="3:7" x14ac:dyDescent="0.3">
      <c r="C164" s="101"/>
      <c r="D164" s="101"/>
      <c r="E164" s="101"/>
      <c r="F164" s="101"/>
      <c r="G164" s="101"/>
    </row>
    <row r="165" spans="3:7" x14ac:dyDescent="0.3">
      <c r="C165" s="101"/>
      <c r="D165" s="101"/>
      <c r="E165" s="101"/>
      <c r="F165" s="101"/>
      <c r="G165" s="101"/>
    </row>
    <row r="166" spans="3:7" x14ac:dyDescent="0.3">
      <c r="C166" s="101"/>
      <c r="D166" s="101"/>
      <c r="E166" s="101"/>
      <c r="F166" s="101"/>
      <c r="G166" s="101"/>
    </row>
    <row r="167" spans="3:7" x14ac:dyDescent="0.3">
      <c r="C167" s="101"/>
      <c r="D167" s="101"/>
      <c r="E167" s="101"/>
      <c r="F167" s="101"/>
      <c r="G167" s="101"/>
    </row>
    <row r="168" spans="3:7" x14ac:dyDescent="0.3">
      <c r="C168" s="101"/>
      <c r="D168" s="101"/>
      <c r="E168" s="101"/>
      <c r="F168" s="101"/>
      <c r="G168" s="101"/>
    </row>
    <row r="169" spans="3:7" x14ac:dyDescent="0.3">
      <c r="C169" s="101"/>
      <c r="D169" s="101"/>
      <c r="E169" s="101"/>
      <c r="F169" s="101"/>
      <c r="G169" s="101"/>
    </row>
    <row r="170" spans="3:7" x14ac:dyDescent="0.3">
      <c r="C170" s="101"/>
      <c r="D170" s="101"/>
      <c r="E170" s="101"/>
      <c r="F170" s="101"/>
      <c r="G170" s="101"/>
    </row>
    <row r="171" spans="3:7" x14ac:dyDescent="0.3">
      <c r="C171" s="101"/>
      <c r="D171" s="101"/>
      <c r="E171" s="101"/>
      <c r="F171" s="101"/>
      <c r="G171" s="101"/>
    </row>
    <row r="172" spans="3:7" x14ac:dyDescent="0.3">
      <c r="C172" s="101"/>
      <c r="D172" s="101"/>
      <c r="E172" s="101"/>
      <c r="F172" s="101"/>
      <c r="G172" s="101"/>
    </row>
    <row r="173" spans="3:7" x14ac:dyDescent="0.3">
      <c r="C173" s="101"/>
      <c r="D173" s="101"/>
      <c r="E173" s="101"/>
      <c r="F173" s="101"/>
      <c r="G173" s="101"/>
    </row>
    <row r="174" spans="3:7" x14ac:dyDescent="0.3">
      <c r="C174" s="101"/>
      <c r="D174" s="101"/>
      <c r="E174" s="101"/>
      <c r="F174" s="101"/>
      <c r="G174" s="101"/>
    </row>
    <row r="175" spans="3:7" x14ac:dyDescent="0.3">
      <c r="C175" s="101"/>
      <c r="D175" s="101"/>
      <c r="E175" s="101"/>
      <c r="F175" s="101"/>
      <c r="G175" s="101"/>
    </row>
    <row r="176" spans="3:7" x14ac:dyDescent="0.3">
      <c r="C176" s="101"/>
      <c r="D176" s="101"/>
      <c r="E176" s="101"/>
      <c r="F176" s="101"/>
      <c r="G176" s="101"/>
    </row>
    <row r="177" spans="3:7" x14ac:dyDescent="0.3">
      <c r="C177" s="101"/>
      <c r="D177" s="101"/>
      <c r="E177" s="101"/>
      <c r="F177" s="101"/>
      <c r="G177" s="101"/>
    </row>
    <row r="178" spans="3:7" x14ac:dyDescent="0.3">
      <c r="C178" s="101"/>
      <c r="D178" s="101"/>
      <c r="E178" s="101"/>
      <c r="F178" s="101"/>
      <c r="G178" s="101"/>
    </row>
    <row r="179" spans="3:7" x14ac:dyDescent="0.3">
      <c r="C179" s="101"/>
      <c r="D179" s="101"/>
      <c r="E179" s="101"/>
      <c r="F179" s="101"/>
      <c r="G179" s="101"/>
    </row>
    <row r="180" spans="3:7" x14ac:dyDescent="0.3">
      <c r="C180" s="101"/>
      <c r="D180" s="101"/>
      <c r="E180" s="101"/>
      <c r="F180" s="101"/>
      <c r="G180" s="101"/>
    </row>
    <row r="181" spans="3:7" x14ac:dyDescent="0.3">
      <c r="C181" s="101"/>
      <c r="D181" s="101"/>
      <c r="E181" s="101"/>
      <c r="F181" s="101"/>
      <c r="G181" s="101"/>
    </row>
    <row r="182" spans="3:7" x14ac:dyDescent="0.3">
      <c r="C182" s="101"/>
      <c r="D182" s="101"/>
      <c r="E182" s="101"/>
      <c r="F182" s="101"/>
      <c r="G182" s="101"/>
    </row>
    <row r="183" spans="3:7" x14ac:dyDescent="0.3">
      <c r="C183" s="101"/>
      <c r="D183" s="101"/>
      <c r="E183" s="101"/>
      <c r="F183" s="101"/>
      <c r="G183" s="101"/>
    </row>
    <row r="184" spans="3:7" x14ac:dyDescent="0.3">
      <c r="C184" s="101"/>
      <c r="D184" s="101"/>
      <c r="E184" s="101"/>
      <c r="F184" s="101"/>
      <c r="G184" s="101"/>
    </row>
    <row r="185" spans="3:7" x14ac:dyDescent="0.3">
      <c r="C185" s="101"/>
      <c r="D185" s="101"/>
      <c r="E185" s="101"/>
      <c r="F185" s="101"/>
      <c r="G185" s="101"/>
    </row>
    <row r="186" spans="3:7" x14ac:dyDescent="0.3">
      <c r="C186" s="101"/>
      <c r="D186" s="101"/>
      <c r="E186" s="101"/>
      <c r="F186" s="101"/>
      <c r="G186" s="101"/>
    </row>
    <row r="187" spans="3:7" x14ac:dyDescent="0.3">
      <c r="C187" s="101"/>
      <c r="D187" s="101"/>
      <c r="E187" s="101"/>
      <c r="F187" s="101"/>
      <c r="G187" s="101"/>
    </row>
    <row r="188" spans="3:7" x14ac:dyDescent="0.3">
      <c r="C188" s="101"/>
      <c r="D188" s="101"/>
      <c r="E188" s="101"/>
      <c r="F188" s="101"/>
      <c r="G188" s="101"/>
    </row>
    <row r="189" spans="3:7" x14ac:dyDescent="0.3">
      <c r="C189" s="101"/>
      <c r="D189" s="101"/>
      <c r="E189" s="101"/>
      <c r="F189" s="101"/>
      <c r="G189" s="101"/>
    </row>
    <row r="190" spans="3:7" x14ac:dyDescent="0.3">
      <c r="C190" s="101"/>
      <c r="D190" s="101"/>
      <c r="E190" s="101"/>
      <c r="F190" s="101"/>
      <c r="G190" s="101"/>
    </row>
    <row r="191" spans="3:7" x14ac:dyDescent="0.3">
      <c r="C191" s="101"/>
      <c r="D191" s="101"/>
      <c r="E191" s="101"/>
      <c r="F191" s="101"/>
      <c r="G191" s="101"/>
    </row>
    <row r="192" spans="3:7" x14ac:dyDescent="0.3">
      <c r="C192" s="101"/>
      <c r="D192" s="101"/>
      <c r="E192" s="101"/>
      <c r="F192" s="101"/>
      <c r="G192" s="101"/>
    </row>
    <row r="193" spans="3:7" x14ac:dyDescent="0.3">
      <c r="C193" s="101"/>
      <c r="D193" s="101"/>
      <c r="E193" s="101"/>
      <c r="F193" s="101"/>
      <c r="G193" s="101"/>
    </row>
    <row r="194" spans="3:7" x14ac:dyDescent="0.3">
      <c r="C194" s="101"/>
      <c r="D194" s="101"/>
      <c r="E194" s="101"/>
      <c r="F194" s="101"/>
      <c r="G194" s="101"/>
    </row>
    <row r="195" spans="3:7" x14ac:dyDescent="0.3">
      <c r="C195" s="101"/>
      <c r="D195" s="101"/>
      <c r="E195" s="101"/>
      <c r="F195" s="101"/>
      <c r="G195" s="101"/>
    </row>
    <row r="196" spans="3:7" x14ac:dyDescent="0.3">
      <c r="C196" s="101"/>
      <c r="D196" s="101"/>
      <c r="E196" s="101"/>
      <c r="F196" s="101"/>
      <c r="G196" s="101"/>
    </row>
    <row r="197" spans="3:7" x14ac:dyDescent="0.3">
      <c r="C197" s="101"/>
      <c r="D197" s="101"/>
      <c r="E197" s="101"/>
      <c r="F197" s="101"/>
      <c r="G197" s="101"/>
    </row>
  </sheetData>
  <autoFilter ref="A3:J70"/>
  <customSheetViews>
    <customSheetView guid="{6D9FC8F7-6352-4BF1-890A-27BF36FADC03}" scale="93" showGridLines="0" showAutoFilter="1" topLeftCell="A43">
      <selection activeCell="A7" sqref="A7:H68"/>
      <pageMargins left="0.7" right="0.7" top="0.75" bottom="0.75" header="0.3" footer="0.3"/>
      <pageSetup orientation="portrait" r:id="rId1"/>
      <autoFilter ref="A3:J70"/>
    </customSheetView>
    <customSheetView guid="{040B64FF-F135-4C7F-9498-A8399C10673D}" scale="93" showGridLines="0" showAutoFilter="1" topLeftCell="A43">
      <selection activeCell="A7" sqref="A7:H68"/>
      <pageMargins left="0.7" right="0.7" top="0.75" bottom="0.75" header="0.3" footer="0.3"/>
      <pageSetup orientation="portrait" r:id="rId2"/>
      <autoFilter ref="A3:J70"/>
    </customSheetView>
    <customSheetView guid="{3F51B73C-8999-4BDD-B7BB-CFA8C5D5F118}" scale="93" showGridLines="0" showAutoFilter="1" topLeftCell="A16">
      <selection activeCell="S50" sqref="S50"/>
      <pageMargins left="0.7" right="0.7" top="0.75" bottom="0.75" header="0.3" footer="0.3"/>
      <pageSetup orientation="portrait" r:id="rId3"/>
      <autoFilter ref="A3:AA70"/>
    </customSheetView>
    <customSheetView guid="{61959E49-C4BC-41CB-B0BE-7EDA73DE356A}" scale="93" showGridLines="0" showAutoFilter="1" topLeftCell="O34">
      <selection activeCell="V52" sqref="V52"/>
      <pageMargins left="0.7" right="0.7" top="0.75" bottom="0.75" header="0.3" footer="0.3"/>
      <pageSetup orientation="portrait" r:id="rId4"/>
      <autoFilter ref="A3:AB70"/>
    </customSheetView>
    <customSheetView guid="{9F775BAE-2403-40FE-95E3-B0411D9A7170}" scale="93" showGridLines="0" showAutoFilter="1" topLeftCell="O22">
      <selection activeCell="S36" sqref="S36"/>
      <pageMargins left="0.7" right="0.7" top="0.75" bottom="0.75" header="0.3" footer="0.3"/>
      <pageSetup orientation="portrait" r:id="rId5"/>
      <autoFilter ref="A3:AB70"/>
    </customSheetView>
    <customSheetView guid="{B9E7682A-072E-4CF9-AE10-B3ED27CB27F8}" scale="93" showGridLines="0" showAutoFilter="1" topLeftCell="O29">
      <selection activeCell="U54" sqref="U54:V54"/>
      <pageMargins left="0.7" right="0.7" top="0.75" bottom="0.75" header="0.3" footer="0.3"/>
      <pageSetup orientation="portrait" r:id="rId6"/>
      <autoFilter ref="A3:AB70"/>
    </customSheetView>
    <customSheetView guid="{3BEDB203-29A8-4A82-B140-5CE8D0753F8B}" scale="93" showGridLines="0" showAutoFilter="1" topLeftCell="A43">
      <selection activeCell="A7" sqref="A7:H68"/>
      <pageMargins left="0.7" right="0.7" top="0.75" bottom="0.75" header="0.3" footer="0.3"/>
      <pageSetup orientation="portrait" r:id="rId7"/>
      <autoFilter ref="A3:J70"/>
    </customSheetView>
  </customSheetViews>
  <mergeCells count="6">
    <mergeCell ref="A69:G69"/>
    <mergeCell ref="M2:M3"/>
    <mergeCell ref="N2:N3"/>
    <mergeCell ref="S2:S3"/>
    <mergeCell ref="A1:H1"/>
    <mergeCell ref="A67:G67"/>
  </mergeCells>
  <conditionalFormatting sqref="C7:D7 F7:H7">
    <cfRule type="containsText" dxfId="38" priority="31" operator="containsText" text="N/A">
      <formula>NOT(ISERROR(SEARCH("N/A",C7)))</formula>
    </cfRule>
    <cfRule type="containsText" dxfId="37" priority="32" operator="containsText" text="Blank">
      <formula>NOT(ISERROR(SEARCH("Blank",C7)))</formula>
    </cfRule>
    <cfRule type="containsText" dxfId="36" priority="33" operator="containsText" text="M">
      <formula>NOT(ISERROR(SEARCH("M",C7)))</formula>
    </cfRule>
  </conditionalFormatting>
  <conditionalFormatting sqref="B67:B69 B7">
    <cfRule type="duplicateValues" dxfId="35" priority="30"/>
  </conditionalFormatting>
  <conditionalFormatting sqref="B30">
    <cfRule type="duplicateValues" dxfId="34" priority="13"/>
  </conditionalFormatting>
  <conditionalFormatting sqref="B55">
    <cfRule type="duplicateValues" dxfId="33" priority="12"/>
  </conditionalFormatting>
  <conditionalFormatting sqref="B13">
    <cfRule type="duplicateValues" dxfId="32" priority="11"/>
  </conditionalFormatting>
  <conditionalFormatting sqref="B56:B66 B31:B54 B8:B12 B14:B28">
    <cfRule type="duplicateValues" dxfId="31" priority="14"/>
  </conditionalFormatting>
  <conditionalFormatting sqref="B29">
    <cfRule type="duplicateValues" dxfId="30" priority="15"/>
  </conditionalFormatting>
  <conditionalFormatting sqref="O25">
    <cfRule type="duplicateValues" dxfId="29" priority="1"/>
  </conditionalFormatting>
  <conditionalFormatting sqref="O4:O9 O12:O18">
    <cfRule type="duplicateValues" dxfId="28" priority="10"/>
  </conditionalFormatting>
  <conditionalFormatting sqref="O10">
    <cfRule type="duplicateValues" dxfId="27" priority="9"/>
  </conditionalFormatting>
  <conditionalFormatting sqref="O11">
    <cfRule type="duplicateValues" dxfId="26" priority="8"/>
  </conditionalFormatting>
  <conditionalFormatting sqref="O19:O24 O32:O34 O26:O30">
    <cfRule type="duplicateValues" dxfId="25" priority="7"/>
  </conditionalFormatting>
  <conditionalFormatting sqref="O36:O52">
    <cfRule type="duplicateValues" dxfId="24" priority="6"/>
  </conditionalFormatting>
  <conditionalFormatting sqref="O35">
    <cfRule type="duplicateValues" dxfId="23" priority="5"/>
  </conditionalFormatting>
  <conditionalFormatting sqref="O53:O60">
    <cfRule type="duplicateValues" dxfId="22" priority="4"/>
  </conditionalFormatting>
  <conditionalFormatting sqref="O61:O64">
    <cfRule type="duplicateValues" dxfId="21" priority="3"/>
  </conditionalFormatting>
  <conditionalFormatting sqref="O31">
    <cfRule type="duplicateValues" dxfId="20"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69:X1048576 T20:X64">
      <formula1>"M, O, N/A"</formula1>
    </dataValidation>
  </dataValidations>
  <hyperlinks>
    <hyperlink ref="J1" location="Summary!A1" display="Home"/>
  </hyperlinks>
  <pageMargins left="0.7" right="0.7" top="0.75" bottom="0.75" header="0.3" footer="0.3"/>
  <pageSetup orientation="portrait" r:id="rId8"/>
  <drawing r:id="rId9"/>
  <legacyDrawing r:id="rId1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theme="9"/>
    <pageSetUpPr fitToPage="1"/>
  </sheetPr>
  <dimension ref="A1:X197"/>
  <sheetViews>
    <sheetView showGridLines="0" tabSelected="1" topLeftCell="P1" zoomScale="85" zoomScaleNormal="85" workbookViewId="0">
      <selection activeCell="U15" sqref="U15"/>
    </sheetView>
  </sheetViews>
  <sheetFormatPr defaultColWidth="9.109375" defaultRowHeight="14.4" x14ac:dyDescent="0.3"/>
  <cols>
    <col min="1" max="1" width="31.44140625" style="172" customWidth="1"/>
    <col min="2" max="2" width="38.88671875" style="172" customWidth="1"/>
    <col min="3" max="3" width="9.109375" style="172"/>
    <col min="4" max="5" width="10" style="172" bestFit="1" customWidth="1"/>
    <col min="6" max="7" width="9.109375" style="172"/>
    <col min="8" max="8" width="9.109375" style="173"/>
    <col min="9" max="10" width="9.109375" style="171"/>
    <col min="11" max="11" width="8.5546875" style="296" bestFit="1" customWidth="1"/>
    <col min="12" max="12" width="6.44140625" style="296" bestFit="1" customWidth="1"/>
    <col min="13" max="13" width="7.88671875" style="296" bestFit="1" customWidth="1"/>
    <col min="14" max="14" width="18.44140625" style="296" bestFit="1" customWidth="1"/>
    <col min="15" max="15" width="46.5546875" style="296" customWidth="1"/>
    <col min="16" max="16" width="27.5546875" style="296" customWidth="1"/>
    <col min="17" max="17" width="24.88671875" style="296" customWidth="1"/>
    <col min="18" max="18" width="26.109375" style="296" customWidth="1"/>
    <col min="19" max="19" width="32.109375" style="296" customWidth="1"/>
    <col min="20" max="24" width="15.5546875" style="296" customWidth="1"/>
    <col min="25" max="16384" width="9.109375" style="171"/>
  </cols>
  <sheetData>
    <row r="1" spans="1:24" ht="12.75" customHeight="1" x14ac:dyDescent="0.45">
      <c r="A1" s="375" t="s">
        <v>82</v>
      </c>
      <c r="B1" s="376"/>
      <c r="C1" s="376"/>
      <c r="D1" s="376"/>
      <c r="E1" s="376"/>
      <c r="F1" s="376"/>
      <c r="G1" s="376"/>
      <c r="H1" s="376"/>
      <c r="K1" s="295" t="s">
        <v>681</v>
      </c>
      <c r="L1" s="295"/>
      <c r="M1" s="295"/>
      <c r="N1" s="295"/>
      <c r="O1" s="295"/>
      <c r="P1" s="295"/>
      <c r="Q1" s="295"/>
      <c r="R1" s="295"/>
      <c r="S1" s="295"/>
      <c r="T1" s="295"/>
      <c r="U1" s="295"/>
      <c r="V1" s="295"/>
      <c r="W1" s="295"/>
      <c r="X1" s="295"/>
    </row>
    <row r="2" spans="1:24" ht="27.6" x14ac:dyDescent="0.3">
      <c r="A2" s="175" t="s">
        <v>357</v>
      </c>
      <c r="B2" s="174" t="s">
        <v>633</v>
      </c>
      <c r="C2" s="171"/>
      <c r="D2" s="171"/>
      <c r="E2" s="171"/>
      <c r="F2" s="171"/>
      <c r="G2" s="171"/>
      <c r="H2" s="171"/>
      <c r="K2" s="294" t="s">
        <v>132</v>
      </c>
      <c r="L2" s="294" t="s">
        <v>91</v>
      </c>
      <c r="M2" s="335" t="s">
        <v>75</v>
      </c>
      <c r="N2" s="336" t="s">
        <v>133</v>
      </c>
      <c r="O2" s="294" t="s">
        <v>134</v>
      </c>
      <c r="P2" s="294" t="s">
        <v>135</v>
      </c>
      <c r="Q2" s="294" t="s">
        <v>136</v>
      </c>
      <c r="R2" s="294" t="s">
        <v>137</v>
      </c>
      <c r="S2" s="334" t="s">
        <v>138</v>
      </c>
      <c r="T2" s="297" t="s">
        <v>334</v>
      </c>
      <c r="U2" s="297" t="s">
        <v>332</v>
      </c>
      <c r="V2" s="297" t="s">
        <v>333</v>
      </c>
      <c r="W2" s="297" t="s">
        <v>365</v>
      </c>
      <c r="X2" s="297" t="s">
        <v>366</v>
      </c>
    </row>
    <row r="3" spans="1:24" ht="12.75" customHeight="1" x14ac:dyDescent="0.3">
      <c r="A3" s="175" t="s">
        <v>337</v>
      </c>
      <c r="B3" s="176">
        <v>43955</v>
      </c>
      <c r="C3" s="178"/>
      <c r="D3" s="171"/>
      <c r="E3" s="171"/>
      <c r="F3" s="171"/>
      <c r="G3" s="171"/>
      <c r="H3" s="171"/>
      <c r="K3" s="294"/>
      <c r="L3" s="294"/>
      <c r="M3" s="335"/>
      <c r="N3" s="336"/>
      <c r="O3" s="294"/>
      <c r="P3" s="298" t="s">
        <v>140</v>
      </c>
      <c r="Q3" s="294"/>
      <c r="R3" s="294"/>
      <c r="S3" s="334"/>
      <c r="T3" s="299"/>
      <c r="U3" s="299"/>
      <c r="V3" s="299"/>
      <c r="W3" s="299"/>
      <c r="X3" s="299"/>
    </row>
    <row r="4" spans="1:24" ht="13.8" x14ac:dyDescent="0.3">
      <c r="A4" s="175" t="s">
        <v>358</v>
      </c>
      <c r="B4" s="177">
        <f ca="1">DATEDIF(B3,TODAY(),"D")/365</f>
        <v>0.75890410958904109</v>
      </c>
      <c r="C4" s="171"/>
      <c r="D4" s="171"/>
      <c r="E4" s="171"/>
      <c r="F4" s="171"/>
      <c r="G4" s="171"/>
      <c r="H4" s="171"/>
      <c r="K4" s="107" t="s">
        <v>141</v>
      </c>
      <c r="L4" s="107" t="s">
        <v>142</v>
      </c>
      <c r="M4" s="254" t="s">
        <v>5</v>
      </c>
      <c r="N4" s="255" t="s">
        <v>143</v>
      </c>
      <c r="O4" s="256" t="s">
        <v>362</v>
      </c>
      <c r="P4" s="258"/>
      <c r="Q4" s="261" t="s">
        <v>145</v>
      </c>
      <c r="R4" s="261" t="s">
        <v>211</v>
      </c>
      <c r="S4" s="237" t="s">
        <v>633</v>
      </c>
      <c r="T4" s="107" t="s">
        <v>72</v>
      </c>
      <c r="U4" s="307"/>
      <c r="V4" s="107"/>
      <c r="W4" s="107"/>
      <c r="X4" s="107"/>
    </row>
    <row r="5" spans="1:24" ht="12.75" customHeight="1" x14ac:dyDescent="0.3">
      <c r="A5" s="175" t="s">
        <v>377</v>
      </c>
      <c r="B5" s="177">
        <v>2.5</v>
      </c>
      <c r="C5" s="179"/>
      <c r="D5" s="171"/>
      <c r="E5" s="171"/>
      <c r="F5" s="171"/>
      <c r="G5" s="171"/>
      <c r="H5" s="171"/>
      <c r="K5" s="107"/>
      <c r="L5" s="107"/>
      <c r="M5" s="254" t="s">
        <v>5</v>
      </c>
      <c r="N5" s="255" t="s">
        <v>143</v>
      </c>
      <c r="O5" s="256" t="s">
        <v>363</v>
      </c>
      <c r="P5" s="259" t="s">
        <v>144</v>
      </c>
      <c r="Q5" s="259" t="s">
        <v>149</v>
      </c>
      <c r="R5" s="259" t="s">
        <v>150</v>
      </c>
      <c r="S5" s="237" t="s">
        <v>633</v>
      </c>
      <c r="T5" s="107" t="s">
        <v>72</v>
      </c>
      <c r="U5" s="308"/>
      <c r="V5" s="107" t="s">
        <v>364</v>
      </c>
      <c r="W5" s="107"/>
      <c r="X5" s="107"/>
    </row>
    <row r="6" spans="1:24" thickBot="1" x14ac:dyDescent="0.35">
      <c r="A6" s="175" t="s">
        <v>378</v>
      </c>
      <c r="B6" s="177">
        <f ca="1">B4+B5</f>
        <v>3.2589041095890412</v>
      </c>
      <c r="C6" s="179"/>
      <c r="K6" s="107"/>
      <c r="L6" s="107"/>
      <c r="M6" s="254" t="s">
        <v>5</v>
      </c>
      <c r="N6" s="255" t="s">
        <v>148</v>
      </c>
      <c r="O6" s="256" t="s">
        <v>148</v>
      </c>
      <c r="P6" s="259" t="s">
        <v>144</v>
      </c>
      <c r="Q6" s="259" t="s">
        <v>149</v>
      </c>
      <c r="R6" s="259" t="s">
        <v>150</v>
      </c>
      <c r="S6" s="237" t="s">
        <v>633</v>
      </c>
      <c r="T6" s="107" t="s">
        <v>72</v>
      </c>
      <c r="U6" s="308"/>
      <c r="V6" s="107" t="s">
        <v>364</v>
      </c>
      <c r="W6" s="107"/>
      <c r="X6" s="107"/>
    </row>
    <row r="7" spans="1:24" thickBot="1" x14ac:dyDescent="0.35">
      <c r="A7" s="220" t="s">
        <v>4</v>
      </c>
      <c r="B7" s="221" t="s">
        <v>134</v>
      </c>
      <c r="C7" s="208" t="s">
        <v>5</v>
      </c>
      <c r="D7" s="208" t="s">
        <v>6</v>
      </c>
      <c r="E7" s="208" t="s">
        <v>7</v>
      </c>
      <c r="F7" s="208" t="s">
        <v>8</v>
      </c>
      <c r="G7" s="208" t="s">
        <v>9</v>
      </c>
      <c r="H7" s="209" t="s">
        <v>76</v>
      </c>
      <c r="K7" s="107"/>
      <c r="L7" s="107"/>
      <c r="M7" s="254" t="s">
        <v>5</v>
      </c>
      <c r="N7" s="255" t="s">
        <v>678</v>
      </c>
      <c r="O7" s="256" t="s">
        <v>414</v>
      </c>
      <c r="P7" s="259" t="s">
        <v>144</v>
      </c>
      <c r="Q7" s="259" t="s">
        <v>152</v>
      </c>
      <c r="R7" s="259" t="s">
        <v>154</v>
      </c>
      <c r="S7" s="237" t="s">
        <v>633</v>
      </c>
      <c r="T7" s="107" t="s">
        <v>72</v>
      </c>
      <c r="U7" s="308"/>
      <c r="V7" s="107" t="s">
        <v>364</v>
      </c>
      <c r="W7" s="237"/>
      <c r="X7" s="107"/>
    </row>
    <row r="8" spans="1:24" ht="13.8" x14ac:dyDescent="0.3">
      <c r="A8" s="210" t="s">
        <v>56</v>
      </c>
      <c r="B8" s="211" t="s">
        <v>180</v>
      </c>
      <c r="C8" s="240" t="s">
        <v>77</v>
      </c>
      <c r="D8" s="292"/>
      <c r="E8" s="292"/>
      <c r="F8" s="292"/>
      <c r="G8" s="292"/>
      <c r="H8" s="212">
        <f>IF(C8&lt;&gt;"",'CBL Score Standard'!$D66,IF(D8&lt;&gt;"",SUM('CBL Score Standard'!$D66:$E66),IF(E8&lt;&gt;"",SUM('CBL Score Standard'!$D66:$F66),IF(F8&lt;&gt;"",SUM('CBL Score Standard'!$D66:$G66),IF(G8&lt;&gt;"",SUM('CBL Score Standard'!$D66:$H66,0))))))</f>
        <v>0</v>
      </c>
      <c r="I8" s="182">
        <f t="shared" ref="I8:I39" si="0">VLOOKUP(B8,$O$4:$W$64,8,0)</f>
        <v>0</v>
      </c>
      <c r="J8" s="182">
        <f t="shared" ref="J8:J39" si="1">VLOOKUP(B8,$O$4:$W$64,9,0)</f>
        <v>0</v>
      </c>
      <c r="K8" s="107"/>
      <c r="L8" s="107"/>
      <c r="M8" s="254" t="s">
        <v>5</v>
      </c>
      <c r="N8" s="255" t="s">
        <v>678</v>
      </c>
      <c r="O8" s="257" t="s">
        <v>645</v>
      </c>
      <c r="P8" s="259" t="s">
        <v>144</v>
      </c>
      <c r="Q8" s="259" t="s">
        <v>152</v>
      </c>
      <c r="R8" s="259" t="s">
        <v>154</v>
      </c>
      <c r="S8" s="237"/>
      <c r="T8" s="107"/>
      <c r="U8" s="107"/>
      <c r="V8" s="107"/>
      <c r="W8" s="107"/>
      <c r="X8" s="107"/>
    </row>
    <row r="9" spans="1:24" ht="13.8" x14ac:dyDescent="0.3">
      <c r="A9" s="213" t="s">
        <v>56</v>
      </c>
      <c r="B9" s="206" t="s">
        <v>390</v>
      </c>
      <c r="C9" s="240" t="s">
        <v>77</v>
      </c>
      <c r="D9" s="292"/>
      <c r="E9" s="292"/>
      <c r="F9" s="292"/>
      <c r="G9" s="292"/>
      <c r="H9" s="212">
        <f>IF(C9&lt;&gt;"",'CBL Score Standard'!$D67,IF(D9&lt;&gt;"",SUM('CBL Score Standard'!$D67:$E67),IF(E9&lt;&gt;"",SUM('CBL Score Standard'!$D67:$F67),IF(F9&lt;&gt;"",SUM('CBL Score Standard'!$D67:$G67),IF(G9&lt;&gt;"",SUM('CBL Score Standard'!$D67:$H67,0))))))</f>
        <v>0</v>
      </c>
      <c r="I9" s="182">
        <f t="shared" si="0"/>
        <v>0</v>
      </c>
      <c r="J9" s="182">
        <f t="shared" si="1"/>
        <v>0</v>
      </c>
      <c r="K9" s="107"/>
      <c r="L9" s="107"/>
      <c r="M9" s="254" t="s">
        <v>5</v>
      </c>
      <c r="N9" s="255" t="s">
        <v>678</v>
      </c>
      <c r="O9" s="257" t="s">
        <v>592</v>
      </c>
      <c r="P9" s="259" t="s">
        <v>144</v>
      </c>
      <c r="Q9" s="259" t="s">
        <v>153</v>
      </c>
      <c r="R9" s="259" t="s">
        <v>263</v>
      </c>
      <c r="S9" s="237" t="s">
        <v>633</v>
      </c>
      <c r="T9" s="107" t="s">
        <v>72</v>
      </c>
      <c r="U9" s="308"/>
      <c r="V9" s="107" t="s">
        <v>364</v>
      </c>
      <c r="W9" s="107"/>
      <c r="X9" s="107"/>
    </row>
    <row r="10" spans="1:24" ht="13.8" x14ac:dyDescent="0.3">
      <c r="A10" s="213" t="s">
        <v>56</v>
      </c>
      <c r="B10" s="206" t="s">
        <v>213</v>
      </c>
      <c r="C10" s="240" t="s">
        <v>77</v>
      </c>
      <c r="D10" s="240"/>
      <c r="E10" s="292"/>
      <c r="F10" s="292"/>
      <c r="G10" s="292"/>
      <c r="H10" s="212">
        <f>IF(C10&lt;&gt;"",'CBL Score Standard'!$D68,IF(D10&lt;&gt;"",SUM('CBL Score Standard'!$D68:$E68),IF(E10&lt;&gt;"",SUM('CBL Score Standard'!$D68:$F68),IF(F10&lt;&gt;"",SUM('CBL Score Standard'!$D68:$G68),IF(G10&lt;&gt;"",SUM('CBL Score Standard'!$D68:$H68,0))))))</f>
        <v>0</v>
      </c>
      <c r="I10" s="182">
        <f t="shared" si="0"/>
        <v>0</v>
      </c>
      <c r="J10" s="182">
        <f t="shared" si="1"/>
        <v>0</v>
      </c>
      <c r="K10" s="107"/>
      <c r="L10" s="107"/>
      <c r="M10" s="254" t="s">
        <v>5</v>
      </c>
      <c r="N10" s="255" t="s">
        <v>678</v>
      </c>
      <c r="O10" s="257" t="s">
        <v>593</v>
      </c>
      <c r="P10" s="259" t="s">
        <v>144</v>
      </c>
      <c r="Q10" s="259" t="s">
        <v>590</v>
      </c>
      <c r="R10" s="259" t="s">
        <v>274</v>
      </c>
      <c r="S10" s="237"/>
      <c r="T10" s="107" t="s">
        <v>72</v>
      </c>
      <c r="U10" s="308"/>
      <c r="V10" s="107" t="s">
        <v>364</v>
      </c>
      <c r="W10" s="107"/>
      <c r="X10" s="107"/>
    </row>
    <row r="11" spans="1:24" ht="13.8" x14ac:dyDescent="0.3">
      <c r="A11" s="213" t="s">
        <v>63</v>
      </c>
      <c r="B11" s="206" t="s">
        <v>234</v>
      </c>
      <c r="C11" s="240"/>
      <c r="D11" s="240"/>
      <c r="E11" s="240"/>
      <c r="F11" s="292"/>
      <c r="G11" s="292"/>
      <c r="H11" s="212" t="b">
        <f>IF(C11&lt;&gt;"",'CBL Score Standard'!$D69,IF(D11&lt;&gt;"",SUM('CBL Score Standard'!$D69:$E69),IF(E11&lt;&gt;"",SUM('CBL Score Standard'!$D69:$F69),IF(F11&lt;&gt;"",SUM('CBL Score Standard'!$D69:$G69),IF(G11&lt;&gt;"",SUM('CBL Score Standard'!$D69:$H69,0))))))</f>
        <v>0</v>
      </c>
      <c r="I11" s="182">
        <f t="shared" si="0"/>
        <v>0</v>
      </c>
      <c r="J11" s="182">
        <f t="shared" si="1"/>
        <v>0</v>
      </c>
      <c r="K11" s="107"/>
      <c r="L11" s="107"/>
      <c r="M11" s="254" t="s">
        <v>5</v>
      </c>
      <c r="N11" s="255" t="s">
        <v>678</v>
      </c>
      <c r="O11" s="252" t="s">
        <v>640</v>
      </c>
      <c r="P11" s="259" t="s">
        <v>144</v>
      </c>
      <c r="Q11" s="262" t="s">
        <v>648</v>
      </c>
      <c r="R11" s="262" t="s">
        <v>329</v>
      </c>
      <c r="S11" s="237"/>
      <c r="T11" s="107" t="s">
        <v>72</v>
      </c>
      <c r="U11" s="107"/>
      <c r="V11" s="107"/>
      <c r="W11" s="107"/>
      <c r="X11" s="107"/>
    </row>
    <row r="12" spans="1:24" ht="13.8" x14ac:dyDescent="0.3">
      <c r="A12" s="213" t="s">
        <v>63</v>
      </c>
      <c r="B12" s="206" t="s">
        <v>241</v>
      </c>
      <c r="C12" s="240"/>
      <c r="D12" s="240"/>
      <c r="E12" s="240"/>
      <c r="F12" s="240"/>
      <c r="G12" s="292"/>
      <c r="H12" s="292" t="b">
        <f>IF(C12&lt;&gt;"",'CBL Score Standard'!$D70,IF(D12&lt;&gt;"",SUM('CBL Score Standard'!$D70:$E70),IF(E12&lt;&gt;"",SUM('CBL Score Standard'!$D70:$F70),IF(F12&lt;&gt;"",SUM('CBL Score Standard'!$D70:$G70),IF(G12&lt;&gt;"",SUM('CBL Score Standard'!$D70:$H70,0))))))</f>
        <v>0</v>
      </c>
      <c r="I12" s="182">
        <f t="shared" si="0"/>
        <v>0</v>
      </c>
      <c r="J12" s="182">
        <f t="shared" si="1"/>
        <v>0</v>
      </c>
      <c r="K12" s="107"/>
      <c r="L12" s="107"/>
      <c r="M12" s="254" t="s">
        <v>5</v>
      </c>
      <c r="N12" s="255" t="s">
        <v>678</v>
      </c>
      <c r="O12" s="252" t="s">
        <v>641</v>
      </c>
      <c r="P12" s="259" t="s">
        <v>144</v>
      </c>
      <c r="Q12" s="262" t="s">
        <v>371</v>
      </c>
      <c r="R12" s="262" t="s">
        <v>372</v>
      </c>
      <c r="S12" s="237"/>
      <c r="T12" s="107" t="s">
        <v>72</v>
      </c>
      <c r="U12" s="107"/>
      <c r="V12" s="107"/>
      <c r="W12" s="107"/>
      <c r="X12" s="107"/>
    </row>
    <row r="13" spans="1:24" ht="13.8" x14ac:dyDescent="0.3">
      <c r="A13" s="251" t="s">
        <v>63</v>
      </c>
      <c r="B13" s="111" t="s">
        <v>638</v>
      </c>
      <c r="C13" s="108"/>
      <c r="D13" s="108"/>
      <c r="E13" s="108"/>
      <c r="F13" s="108"/>
      <c r="G13" s="108"/>
      <c r="H13" s="212" t="b">
        <f>IF(C13&lt;&gt;"",'CBL Score Standard'!$D71,IF(D13&lt;&gt;"",SUM('CBL Score Standard'!$D71:$E71),IF(E13&lt;&gt;"",SUM('CBL Score Standard'!$D71:$F71),IF(F13&lt;&gt;"",SUM('CBL Score Standard'!$D71:$G71),IF(G13&lt;&gt;"",SUM('CBL Score Standard'!$D71:$H71,0))))))</f>
        <v>0</v>
      </c>
      <c r="I13" s="182">
        <f t="shared" si="0"/>
        <v>0</v>
      </c>
      <c r="J13" s="182">
        <f t="shared" si="1"/>
        <v>0</v>
      </c>
      <c r="K13" s="107"/>
      <c r="L13" s="107"/>
      <c r="M13" s="254" t="s">
        <v>5</v>
      </c>
      <c r="N13" s="255" t="s">
        <v>31</v>
      </c>
      <c r="O13" s="257" t="s">
        <v>173</v>
      </c>
      <c r="P13" s="260"/>
      <c r="Q13" s="263" t="s">
        <v>170</v>
      </c>
      <c r="R13" s="264" t="s">
        <v>170</v>
      </c>
      <c r="S13" s="237" t="s">
        <v>633</v>
      </c>
      <c r="T13" s="107" t="s">
        <v>72</v>
      </c>
      <c r="U13" s="308">
        <v>44029</v>
      </c>
      <c r="V13" s="107" t="s">
        <v>364</v>
      </c>
      <c r="W13" s="107"/>
      <c r="X13" s="107"/>
    </row>
    <row r="14" spans="1:24" ht="13.8" x14ac:dyDescent="0.3">
      <c r="A14" s="213" t="s">
        <v>55</v>
      </c>
      <c r="B14" s="206" t="s">
        <v>617</v>
      </c>
      <c r="C14" s="240"/>
      <c r="D14" s="240"/>
      <c r="E14" s="240"/>
      <c r="F14" s="292"/>
      <c r="G14" s="292"/>
      <c r="H14" s="212" t="b">
        <f>IF(C14&lt;&gt;"",'CBL Score Standard'!$D72,IF(D14&lt;&gt;"",SUM('CBL Score Standard'!$D72:$E72),IF(E14&lt;&gt;"",SUM('CBL Score Standard'!$D72:$F72),IF(F14&lt;&gt;"",SUM('CBL Score Standard'!$D72:$G72),IF(G14&lt;&gt;"",SUM('CBL Score Standard'!$D72:$H72,0))))))</f>
        <v>0</v>
      </c>
      <c r="I14" s="182" t="e">
        <f t="shared" si="0"/>
        <v>#N/A</v>
      </c>
      <c r="J14" s="182" t="e">
        <f t="shared" si="1"/>
        <v>#N/A</v>
      </c>
      <c r="K14" s="107"/>
      <c r="L14" s="107"/>
      <c r="M14" s="254" t="s">
        <v>5</v>
      </c>
      <c r="N14" s="255" t="s">
        <v>31</v>
      </c>
      <c r="O14" s="257" t="s">
        <v>646</v>
      </c>
      <c r="P14" s="260"/>
      <c r="Q14" s="265" t="s">
        <v>149</v>
      </c>
      <c r="R14" s="264" t="s">
        <v>150</v>
      </c>
      <c r="S14" s="107"/>
      <c r="T14" s="107" t="s">
        <v>72</v>
      </c>
      <c r="U14" s="107"/>
      <c r="V14" s="107"/>
      <c r="W14" s="107"/>
      <c r="X14" s="107"/>
    </row>
    <row r="15" spans="1:24" ht="13.8" x14ac:dyDescent="0.3">
      <c r="A15" s="213" t="s">
        <v>55</v>
      </c>
      <c r="B15" s="206" t="s">
        <v>183</v>
      </c>
      <c r="C15" s="240"/>
      <c r="D15" s="240"/>
      <c r="E15" s="240"/>
      <c r="F15" s="292"/>
      <c r="G15" s="292"/>
      <c r="H15" s="212" t="b">
        <f>IF(C15&lt;&gt;"",'CBL Score Standard'!$D73,IF(D15&lt;&gt;"",SUM('CBL Score Standard'!$D73:$E73),IF(E15&lt;&gt;"",SUM('CBL Score Standard'!$D73:$F73),IF(F15&lt;&gt;"",SUM('CBL Score Standard'!$D73:$G73),IF(G15&lt;&gt;"",SUM('CBL Score Standard'!$D73:$H73,0))))))</f>
        <v>0</v>
      </c>
      <c r="I15" s="182">
        <f t="shared" si="0"/>
        <v>0</v>
      </c>
      <c r="J15" s="182">
        <f t="shared" si="1"/>
        <v>0</v>
      </c>
      <c r="K15" s="107"/>
      <c r="L15" s="107"/>
      <c r="M15" s="254" t="s">
        <v>5</v>
      </c>
      <c r="N15" s="255" t="s">
        <v>54</v>
      </c>
      <c r="O15" s="257" t="s">
        <v>388</v>
      </c>
      <c r="P15" s="259"/>
      <c r="Q15" s="259" t="s">
        <v>215</v>
      </c>
      <c r="R15" s="259" t="s">
        <v>216</v>
      </c>
      <c r="S15" s="107" t="s">
        <v>633</v>
      </c>
      <c r="T15" s="107" t="s">
        <v>73</v>
      </c>
      <c r="U15" s="308"/>
      <c r="V15" s="107"/>
      <c r="W15" s="107"/>
      <c r="X15" s="107"/>
    </row>
    <row r="16" spans="1:24" ht="13.8" x14ac:dyDescent="0.3">
      <c r="A16" s="213" t="s">
        <v>55</v>
      </c>
      <c r="B16" s="206" t="s">
        <v>190</v>
      </c>
      <c r="C16" s="240"/>
      <c r="D16" s="240"/>
      <c r="E16" s="240"/>
      <c r="F16" s="240"/>
      <c r="G16" s="240"/>
      <c r="H16" s="212" t="b">
        <f>IF(C16&lt;&gt;"",'CBL Score Standard'!$D74,IF(D16&lt;&gt;"",SUM('CBL Score Standard'!$D74:$E74),IF(E16&lt;&gt;"",SUM('CBL Score Standard'!$D74:$F74),IF(F16&lt;&gt;"",SUM('CBL Score Standard'!$D74:$G74),IF(G16&lt;&gt;"",SUM('CBL Score Standard'!$D74:$H74,0))))))</f>
        <v>0</v>
      </c>
      <c r="I16" s="182">
        <f t="shared" si="0"/>
        <v>0</v>
      </c>
      <c r="J16" s="182">
        <f t="shared" si="1"/>
        <v>0</v>
      </c>
      <c r="K16" s="107"/>
      <c r="L16" s="107"/>
      <c r="M16" s="254" t="s">
        <v>5</v>
      </c>
      <c r="N16" s="255" t="s">
        <v>41</v>
      </c>
      <c r="O16" s="257" t="s">
        <v>412</v>
      </c>
      <c r="P16" s="260"/>
      <c r="Q16" s="259" t="s">
        <v>371</v>
      </c>
      <c r="R16" s="259" t="s">
        <v>372</v>
      </c>
      <c r="S16" s="107" t="s">
        <v>633</v>
      </c>
      <c r="T16" s="107" t="s">
        <v>73</v>
      </c>
      <c r="U16" s="308"/>
      <c r="V16" s="107"/>
      <c r="W16" s="107"/>
      <c r="X16" s="107"/>
    </row>
    <row r="17" spans="1:24" ht="13.8" x14ac:dyDescent="0.3">
      <c r="A17" s="213" t="s">
        <v>55</v>
      </c>
      <c r="B17" s="206" t="s">
        <v>192</v>
      </c>
      <c r="C17" s="240" t="s">
        <v>77</v>
      </c>
      <c r="D17" s="240"/>
      <c r="E17" s="240"/>
      <c r="F17" s="240"/>
      <c r="G17" s="240"/>
      <c r="H17" s="212">
        <f>IF(C17&lt;&gt;"",'CBL Score Standard'!$D75,IF(D17&lt;&gt;"",SUM('CBL Score Standard'!$D75:$E75),IF(E17&lt;&gt;"",SUM('CBL Score Standard'!$D75:$F75),IF(F17&lt;&gt;"",SUM('CBL Score Standard'!$D75:$G75),IF(G17&lt;&gt;"",SUM('CBL Score Standard'!$D75:$H75,0))))))</f>
        <v>0</v>
      </c>
      <c r="I17" s="182">
        <f t="shared" si="0"/>
        <v>0</v>
      </c>
      <c r="J17" s="182">
        <f t="shared" si="1"/>
        <v>0</v>
      </c>
      <c r="K17" s="107"/>
      <c r="L17" s="107"/>
      <c r="M17" s="254" t="s">
        <v>5</v>
      </c>
      <c r="N17" s="255" t="s">
        <v>143</v>
      </c>
      <c r="O17" s="252" t="s">
        <v>647</v>
      </c>
      <c r="P17" s="260"/>
      <c r="Q17" s="262" t="s">
        <v>590</v>
      </c>
      <c r="R17" s="262" t="s">
        <v>274</v>
      </c>
      <c r="S17" s="107"/>
      <c r="T17" s="107" t="s">
        <v>72</v>
      </c>
      <c r="U17" s="107"/>
      <c r="V17" s="107"/>
      <c r="W17" s="107"/>
      <c r="X17" s="107"/>
    </row>
    <row r="18" spans="1:24" ht="13.8" x14ac:dyDescent="0.3">
      <c r="A18" s="213" t="s">
        <v>55</v>
      </c>
      <c r="B18" s="206" t="s">
        <v>194</v>
      </c>
      <c r="C18" s="240"/>
      <c r="D18" s="240"/>
      <c r="E18" s="240"/>
      <c r="F18" s="240"/>
      <c r="G18" s="240"/>
      <c r="H18" s="212" t="b">
        <f>IF(C18&lt;&gt;"",'CBL Score Standard'!$D76,IF(D18&lt;&gt;"",SUM('CBL Score Standard'!$D76:$E76),IF(E18&lt;&gt;"",SUM('CBL Score Standard'!$D76:$F76),IF(F18&lt;&gt;"",SUM('CBL Score Standard'!$D76:$G76),IF(G18&lt;&gt;"",SUM('CBL Score Standard'!$D76:$H76,0))))))</f>
        <v>0</v>
      </c>
      <c r="I18" s="182">
        <f t="shared" si="0"/>
        <v>0</v>
      </c>
      <c r="J18" s="182">
        <f t="shared" si="1"/>
        <v>0</v>
      </c>
      <c r="K18" s="107"/>
      <c r="L18" s="107"/>
      <c r="M18" s="254" t="s">
        <v>5</v>
      </c>
      <c r="N18" s="255" t="s">
        <v>46</v>
      </c>
      <c r="O18" s="252" t="s">
        <v>169</v>
      </c>
      <c r="P18" s="260"/>
      <c r="Q18" s="262" t="s">
        <v>170</v>
      </c>
      <c r="R18" s="262" t="s">
        <v>651</v>
      </c>
      <c r="S18" s="107" t="s">
        <v>72</v>
      </c>
      <c r="T18" s="107" t="s">
        <v>72</v>
      </c>
      <c r="U18" s="308"/>
      <c r="V18" s="107"/>
      <c r="W18" s="107"/>
      <c r="X18" s="107"/>
    </row>
    <row r="19" spans="1:24" x14ac:dyDescent="0.3">
      <c r="A19" s="213" t="s">
        <v>55</v>
      </c>
      <c r="B19" s="206" t="s">
        <v>196</v>
      </c>
      <c r="C19" s="240"/>
      <c r="D19" s="240"/>
      <c r="E19" s="240"/>
      <c r="F19" s="240"/>
      <c r="G19" s="240"/>
      <c r="H19" s="212" t="b">
        <f>IF(C19&lt;&gt;"",'CBL Score Standard'!$D77,IF(D19&lt;&gt;"",SUM('CBL Score Standard'!$D77:$E77),IF(E19&lt;&gt;"",SUM('CBL Score Standard'!$D77:$F77),IF(F19&lt;&gt;"",SUM('CBL Score Standard'!$D77:$G77),IF(G19&lt;&gt;"",SUM('CBL Score Standard'!$D77:$H77,0))))))</f>
        <v>0</v>
      </c>
      <c r="I19" s="182">
        <f t="shared" si="0"/>
        <v>0</v>
      </c>
      <c r="J19" s="182">
        <f t="shared" si="1"/>
        <v>0</v>
      </c>
      <c r="K19" s="107" t="s">
        <v>141</v>
      </c>
      <c r="L19" s="107" t="s">
        <v>142</v>
      </c>
      <c r="M19" s="266" t="s">
        <v>6</v>
      </c>
      <c r="N19" s="267" t="s">
        <v>41</v>
      </c>
      <c r="O19" s="268" t="s">
        <v>176</v>
      </c>
      <c r="P19" s="272"/>
      <c r="Q19" s="269" t="s">
        <v>177</v>
      </c>
      <c r="R19" s="269" t="s">
        <v>344</v>
      </c>
      <c r="S19" s="302" t="s">
        <v>72</v>
      </c>
      <c r="U19" s="309"/>
    </row>
    <row r="20" spans="1:24" x14ac:dyDescent="0.3">
      <c r="A20" s="213" t="s">
        <v>55</v>
      </c>
      <c r="B20" s="206" t="s">
        <v>200</v>
      </c>
      <c r="C20" s="240"/>
      <c r="D20" s="240"/>
      <c r="E20" s="240"/>
      <c r="F20" s="240"/>
      <c r="G20" s="240"/>
      <c r="H20" s="212" t="b">
        <f>IF(C20&lt;&gt;"",'CBL Score Standard'!$D78,IF(D20&lt;&gt;"",SUM('CBL Score Standard'!$D78:$E78),IF(E20&lt;&gt;"",SUM('CBL Score Standard'!$D78:$F78),IF(F20&lt;&gt;"",SUM('CBL Score Standard'!$D78:$G78),IF(G20&lt;&gt;"",SUM('CBL Score Standard'!$D78:$H78,0))))))</f>
        <v>0</v>
      </c>
      <c r="I20" s="182">
        <f t="shared" si="0"/>
        <v>0</v>
      </c>
      <c r="J20" s="182">
        <f t="shared" si="1"/>
        <v>0</v>
      </c>
      <c r="K20" s="107"/>
      <c r="L20" s="107"/>
      <c r="M20" s="266" t="s">
        <v>6</v>
      </c>
      <c r="N20" s="267" t="s">
        <v>56</v>
      </c>
      <c r="O20" s="270" t="s">
        <v>180</v>
      </c>
      <c r="P20" s="272"/>
      <c r="Q20" s="269" t="s">
        <v>170</v>
      </c>
      <c r="R20" s="269" t="s">
        <v>651</v>
      </c>
      <c r="S20" s="237" t="s">
        <v>72</v>
      </c>
      <c r="T20" s="107"/>
      <c r="U20" s="308"/>
      <c r="V20" s="107"/>
      <c r="W20" s="107"/>
      <c r="X20" s="107"/>
    </row>
    <row r="21" spans="1:24" x14ac:dyDescent="0.3">
      <c r="A21" s="251" t="s">
        <v>55</v>
      </c>
      <c r="B21" s="111" t="s">
        <v>642</v>
      </c>
      <c r="C21" s="108"/>
      <c r="D21" s="108"/>
      <c r="E21" s="108"/>
      <c r="F21" s="108"/>
      <c r="G21" s="108"/>
      <c r="H21" s="212" t="b">
        <f>IF(C21&lt;&gt;"",'CBL Score Standard'!$D79,IF(D21&lt;&gt;"",SUM('CBL Score Standard'!$D79:$E79),IF(E21&lt;&gt;"",SUM('CBL Score Standard'!$D79:$F79),IF(F21&lt;&gt;"",SUM('CBL Score Standard'!$D79:$G79),IF(G21&lt;&gt;"",SUM('CBL Score Standard'!$D79:$H79,0))))))</f>
        <v>0</v>
      </c>
      <c r="I21" s="182">
        <f t="shared" si="0"/>
        <v>0</v>
      </c>
      <c r="J21" s="182">
        <f t="shared" si="1"/>
        <v>0</v>
      </c>
      <c r="K21" s="107"/>
      <c r="L21" s="107"/>
      <c r="M21" s="266" t="s">
        <v>6</v>
      </c>
      <c r="N21" s="267" t="s">
        <v>678</v>
      </c>
      <c r="O21" s="252" t="s">
        <v>680</v>
      </c>
      <c r="P21" s="273"/>
      <c r="Q21" s="269" t="s">
        <v>152</v>
      </c>
      <c r="R21" s="269" t="s">
        <v>154</v>
      </c>
      <c r="S21" s="237" t="s">
        <v>633</v>
      </c>
      <c r="T21" s="107"/>
      <c r="U21" s="308">
        <v>44063</v>
      </c>
      <c r="V21" s="107" t="s">
        <v>364</v>
      </c>
      <c r="W21" s="107"/>
      <c r="X21" s="107"/>
    </row>
    <row r="22" spans="1:24" x14ac:dyDescent="0.3">
      <c r="A22" s="213" t="s">
        <v>55</v>
      </c>
      <c r="B22" s="206" t="s">
        <v>595</v>
      </c>
      <c r="C22" s="240"/>
      <c r="D22" s="240" t="s">
        <v>77</v>
      </c>
      <c r="E22" s="292"/>
      <c r="F22" s="292"/>
      <c r="G22" s="292"/>
      <c r="H22" s="212">
        <f>IF(C22&lt;&gt;"",'CBL Score Standard'!$D80,IF(D22&lt;&gt;"",SUM('CBL Score Standard'!$D80:$E80),IF(E22&lt;&gt;"",SUM('CBL Score Standard'!$D80:$F80),IF(F22&lt;&gt;"",SUM('CBL Score Standard'!$D80:$G80),IF(G22&lt;&gt;"",SUM('CBL Score Standard'!$D80:$H80,0))))))</f>
        <v>0</v>
      </c>
      <c r="I22" s="182" t="str">
        <f t="shared" si="0"/>
        <v>Passed</v>
      </c>
      <c r="J22" s="182">
        <f t="shared" si="1"/>
        <v>0</v>
      </c>
      <c r="K22" s="107"/>
      <c r="L22" s="107"/>
      <c r="M22" s="266" t="s">
        <v>6</v>
      </c>
      <c r="N22" s="267" t="s">
        <v>678</v>
      </c>
      <c r="O22" s="270" t="s">
        <v>186</v>
      </c>
      <c r="P22" s="274">
        <v>44392</v>
      </c>
      <c r="Q22" s="269" t="s">
        <v>153</v>
      </c>
      <c r="R22" s="269" t="s">
        <v>263</v>
      </c>
      <c r="S22" s="237" t="s">
        <v>633</v>
      </c>
      <c r="T22" s="107"/>
      <c r="U22" s="308">
        <v>44097</v>
      </c>
      <c r="V22" s="107" t="s">
        <v>364</v>
      </c>
      <c r="W22" s="107"/>
      <c r="X22" s="107"/>
    </row>
    <row r="23" spans="1:24" ht="12.75" customHeight="1" x14ac:dyDescent="0.3">
      <c r="A23" s="213" t="s">
        <v>55</v>
      </c>
      <c r="B23" s="206" t="s">
        <v>410</v>
      </c>
      <c r="C23" s="240"/>
      <c r="D23" s="240" t="s">
        <v>77</v>
      </c>
      <c r="E23" s="240"/>
      <c r="F23" s="292"/>
      <c r="G23" s="292"/>
      <c r="H23" s="212">
        <f>IF(C23&lt;&gt;"",'CBL Score Standard'!$D81,IF(D23&lt;&gt;"",SUM('CBL Score Standard'!$D81:$E81),IF(E23&lt;&gt;"",SUM('CBL Score Standard'!$D81:$F81),IF(F23&lt;&gt;"",SUM('CBL Score Standard'!$D81:$G81),IF(G23&lt;&gt;"",SUM('CBL Score Standard'!$D81:$H81,0))))))</f>
        <v>0</v>
      </c>
      <c r="I23" s="182">
        <f t="shared" si="0"/>
        <v>0</v>
      </c>
      <c r="J23" s="182">
        <f t="shared" si="1"/>
        <v>0</v>
      </c>
      <c r="K23" s="107"/>
      <c r="L23" s="107"/>
      <c r="M23" s="266" t="s">
        <v>6</v>
      </c>
      <c r="N23" s="267" t="s">
        <v>678</v>
      </c>
      <c r="O23" s="252" t="s">
        <v>652</v>
      </c>
      <c r="P23" s="273">
        <v>44378</v>
      </c>
      <c r="Q23" s="269" t="s">
        <v>590</v>
      </c>
      <c r="R23" s="269" t="s">
        <v>274</v>
      </c>
      <c r="S23" s="237" t="s">
        <v>633</v>
      </c>
      <c r="T23" s="107"/>
      <c r="U23" s="308">
        <v>44092</v>
      </c>
      <c r="V23" s="107" t="s">
        <v>364</v>
      </c>
      <c r="W23" s="107"/>
      <c r="X23" s="107"/>
    </row>
    <row r="24" spans="1:24" ht="12.75" customHeight="1" x14ac:dyDescent="0.3">
      <c r="A24" s="213" t="s">
        <v>55</v>
      </c>
      <c r="B24" s="206" t="s">
        <v>596</v>
      </c>
      <c r="C24" s="240"/>
      <c r="D24" s="240" t="s">
        <v>77</v>
      </c>
      <c r="E24" s="292"/>
      <c r="F24" s="292"/>
      <c r="G24" s="292"/>
      <c r="H24" s="212">
        <f>IF(C24&lt;&gt;"",'CBL Score Standard'!$D82,IF(D24&lt;&gt;"",SUM('CBL Score Standard'!$D82:$E82),IF(E24&lt;&gt;"",SUM('CBL Score Standard'!$D82:$F82),IF(F24&lt;&gt;"",SUM('CBL Score Standard'!$D82:$G82),IF(G24&lt;&gt;"",SUM('CBL Score Standard'!$D82:$H82,0))))))</f>
        <v>0</v>
      </c>
      <c r="I24" s="182">
        <f t="shared" si="0"/>
        <v>0</v>
      </c>
      <c r="J24" s="182">
        <f t="shared" si="1"/>
        <v>0</v>
      </c>
      <c r="K24" s="107"/>
      <c r="L24" s="107"/>
      <c r="M24" s="266" t="s">
        <v>6</v>
      </c>
      <c r="N24" s="267" t="s">
        <v>678</v>
      </c>
      <c r="O24" s="270" t="s">
        <v>189</v>
      </c>
      <c r="P24" s="274"/>
      <c r="Q24" s="269" t="s">
        <v>225</v>
      </c>
      <c r="R24" s="269" t="s">
        <v>340</v>
      </c>
      <c r="S24" s="237" t="s">
        <v>633</v>
      </c>
      <c r="T24" s="107"/>
      <c r="U24" s="308">
        <v>44088</v>
      </c>
      <c r="V24" s="107" t="s">
        <v>364</v>
      </c>
      <c r="W24" s="107"/>
      <c r="X24" s="107"/>
    </row>
    <row r="25" spans="1:24" x14ac:dyDescent="0.3">
      <c r="A25" s="213" t="s">
        <v>55</v>
      </c>
      <c r="B25" s="206" t="s">
        <v>236</v>
      </c>
      <c r="C25" s="240" t="s">
        <v>77</v>
      </c>
      <c r="D25" s="240"/>
      <c r="E25" s="240"/>
      <c r="F25" s="292"/>
      <c r="G25" s="292"/>
      <c r="H25" s="212">
        <f>IF(C25&lt;&gt;"",'CBL Score Standard'!$D83,IF(D25&lt;&gt;"",SUM('CBL Score Standard'!$D83:$E83),IF(E25&lt;&gt;"",SUM('CBL Score Standard'!$D83:$F83),IF(F25&lt;&gt;"",SUM('CBL Score Standard'!$D83:$G83),IF(G25&lt;&gt;"",SUM('CBL Score Standard'!$D83:$H83,0))))))</f>
        <v>0</v>
      </c>
      <c r="I25" s="182">
        <f t="shared" si="0"/>
        <v>0</v>
      </c>
      <c r="J25" s="182">
        <f t="shared" si="1"/>
        <v>0</v>
      </c>
      <c r="K25" s="107"/>
      <c r="L25" s="107"/>
      <c r="M25" s="266" t="s">
        <v>6</v>
      </c>
      <c r="N25" s="267" t="s">
        <v>678</v>
      </c>
      <c r="O25" s="270" t="s">
        <v>739</v>
      </c>
      <c r="P25" s="274"/>
      <c r="Q25" s="269" t="s">
        <v>740</v>
      </c>
      <c r="R25" s="269" t="s">
        <v>261</v>
      </c>
      <c r="S25" s="237"/>
      <c r="T25" s="107"/>
      <c r="U25" s="308"/>
      <c r="V25" s="107"/>
      <c r="W25" s="107"/>
      <c r="X25" s="107"/>
    </row>
    <row r="26" spans="1:24" x14ac:dyDescent="0.3">
      <c r="A26" s="213" t="s">
        <v>55</v>
      </c>
      <c r="B26" s="206" t="s">
        <v>473</v>
      </c>
      <c r="C26" s="240"/>
      <c r="D26" s="240"/>
      <c r="E26" s="240"/>
      <c r="F26" s="292"/>
      <c r="G26" s="292"/>
      <c r="H26" s="212" t="b">
        <f>IF(C26&lt;&gt;"",'CBL Score Standard'!$D84,IF(D26&lt;&gt;"",SUM('CBL Score Standard'!$D84:$E84),IF(E26&lt;&gt;"",SUM('CBL Score Standard'!$D84:$F84),IF(F26&lt;&gt;"",SUM('CBL Score Standard'!$D84:$G84),IF(G26&lt;&gt;"",SUM('CBL Score Standard'!$D84:$H84,0))))))</f>
        <v>0</v>
      </c>
      <c r="I26" s="182">
        <f t="shared" si="0"/>
        <v>0</v>
      </c>
      <c r="J26" s="182">
        <f t="shared" si="1"/>
        <v>0</v>
      </c>
      <c r="K26" s="107"/>
      <c r="L26" s="107"/>
      <c r="M26" s="266" t="s">
        <v>6</v>
      </c>
      <c r="N26" s="267" t="s">
        <v>55</v>
      </c>
      <c r="O26" s="270" t="s">
        <v>190</v>
      </c>
      <c r="P26" s="272"/>
      <c r="Q26" s="269" t="s">
        <v>373</v>
      </c>
      <c r="R26" s="269" t="s">
        <v>331</v>
      </c>
      <c r="S26" s="237"/>
      <c r="T26" s="107"/>
      <c r="U26" s="308"/>
      <c r="V26" s="107"/>
      <c r="W26" s="107"/>
      <c r="X26" s="107"/>
    </row>
    <row r="27" spans="1:24" ht="27.6" x14ac:dyDescent="0.3">
      <c r="A27" s="213" t="s">
        <v>3</v>
      </c>
      <c r="B27" s="206" t="s">
        <v>474</v>
      </c>
      <c r="C27" s="240"/>
      <c r="D27" s="240"/>
      <c r="E27" s="240"/>
      <c r="F27" s="240"/>
      <c r="G27" s="292"/>
      <c r="H27" s="212" t="b">
        <f>IF(C27&lt;&gt;"",'CBL Score Standard'!$D85,IF(D27&lt;&gt;"",SUM('CBL Score Standard'!$D85:$E85),IF(E27&lt;&gt;"",SUM('CBL Score Standard'!$D85:$F85),IF(F27&lt;&gt;"",SUM('CBL Score Standard'!$D85:$G85),IF(G27&lt;&gt;"",SUM('CBL Score Standard'!$D85:$H85,0))))))</f>
        <v>0</v>
      </c>
      <c r="I27" s="182">
        <f t="shared" si="0"/>
        <v>0</v>
      </c>
      <c r="J27" s="182">
        <f t="shared" si="1"/>
        <v>0</v>
      </c>
      <c r="K27" s="107"/>
      <c r="L27" s="107"/>
      <c r="M27" s="266" t="s">
        <v>6</v>
      </c>
      <c r="N27" s="267" t="s">
        <v>55</v>
      </c>
      <c r="O27" s="270" t="s">
        <v>192</v>
      </c>
      <c r="P27" s="272"/>
      <c r="Q27" s="271" t="s">
        <v>653</v>
      </c>
      <c r="R27" s="269" t="s">
        <v>275</v>
      </c>
      <c r="S27" s="237"/>
      <c r="T27" s="107"/>
      <c r="U27" s="308"/>
      <c r="V27" s="107"/>
      <c r="W27" s="107"/>
      <c r="X27" s="107"/>
    </row>
    <row r="28" spans="1:24" ht="27.6" x14ac:dyDescent="0.3">
      <c r="A28" s="213" t="s">
        <v>3</v>
      </c>
      <c r="B28" s="206" t="s">
        <v>243</v>
      </c>
      <c r="C28" s="240"/>
      <c r="D28" s="240"/>
      <c r="E28" s="240"/>
      <c r="F28" s="240"/>
      <c r="G28" s="292"/>
      <c r="H28" s="212" t="b">
        <f>IF(C28&lt;&gt;"",'CBL Score Standard'!$D86,IF(D28&lt;&gt;"",SUM('CBL Score Standard'!$D86:$E86),IF(E28&lt;&gt;"",SUM('CBL Score Standard'!$D86:$F86),IF(F28&lt;&gt;"",SUM('CBL Score Standard'!$D86:$G86),IF(G28&lt;&gt;"",SUM('CBL Score Standard'!$D86:$H86,0))))))</f>
        <v>0</v>
      </c>
      <c r="I28" s="182">
        <f t="shared" si="0"/>
        <v>0</v>
      </c>
      <c r="J28" s="182">
        <f t="shared" si="1"/>
        <v>0</v>
      </c>
      <c r="K28" s="107"/>
      <c r="L28" s="107"/>
      <c r="M28" s="266" t="s">
        <v>6</v>
      </c>
      <c r="N28" s="267" t="s">
        <v>55</v>
      </c>
      <c r="O28" s="270" t="s">
        <v>194</v>
      </c>
      <c r="P28" s="272"/>
      <c r="Q28" s="271" t="s">
        <v>654</v>
      </c>
      <c r="R28" s="271" t="s">
        <v>655</v>
      </c>
      <c r="S28" s="237"/>
      <c r="T28" s="107"/>
      <c r="U28" s="308"/>
      <c r="V28" s="107"/>
      <c r="W28" s="107"/>
      <c r="X28" s="107"/>
    </row>
    <row r="29" spans="1:24" x14ac:dyDescent="0.3">
      <c r="A29" s="213" t="s">
        <v>59</v>
      </c>
      <c r="B29" s="206" t="s">
        <v>614</v>
      </c>
      <c r="C29" s="240"/>
      <c r="D29" s="240" t="s">
        <v>77</v>
      </c>
      <c r="E29" s="292"/>
      <c r="F29" s="292"/>
      <c r="G29" s="292"/>
      <c r="H29" s="212">
        <f>IF(C29&lt;&gt;"",'CBL Score Standard'!$D87,IF(D29&lt;&gt;"",SUM('CBL Score Standard'!$D87:$E87),IF(E29&lt;&gt;"",SUM('CBL Score Standard'!$D87:$F87),IF(F29&lt;&gt;"",SUM('CBL Score Standard'!$D87:$G87),IF(G29&lt;&gt;"",SUM('CBL Score Standard'!$D87:$H87,0))))))</f>
        <v>0</v>
      </c>
      <c r="I29" s="182" t="str">
        <f t="shared" si="0"/>
        <v>Passed</v>
      </c>
      <c r="J29" s="182">
        <f t="shared" si="1"/>
        <v>0</v>
      </c>
      <c r="K29" s="107"/>
      <c r="L29" s="107"/>
      <c r="M29" s="266" t="s">
        <v>6</v>
      </c>
      <c r="N29" s="267" t="s">
        <v>55</v>
      </c>
      <c r="O29" s="270" t="s">
        <v>196</v>
      </c>
      <c r="P29" s="272"/>
      <c r="Q29" s="269" t="s">
        <v>197</v>
      </c>
      <c r="R29" s="269" t="s">
        <v>256</v>
      </c>
      <c r="S29" s="237"/>
      <c r="T29" s="107"/>
      <c r="U29" s="308"/>
      <c r="V29" s="107"/>
      <c r="W29" s="107"/>
      <c r="X29" s="107"/>
    </row>
    <row r="30" spans="1:24" x14ac:dyDescent="0.3">
      <c r="A30" s="213" t="s">
        <v>59</v>
      </c>
      <c r="B30" s="206" t="s">
        <v>613</v>
      </c>
      <c r="C30" s="240"/>
      <c r="D30" s="240" t="s">
        <v>77</v>
      </c>
      <c r="E30" s="292"/>
      <c r="F30" s="292"/>
      <c r="G30" s="292"/>
      <c r="H30" s="212">
        <f>IF(C30&lt;&gt;"",'CBL Score Standard'!$D88,IF(D30&lt;&gt;"",SUM('CBL Score Standard'!$D88:$E88),IF(E30&lt;&gt;"",SUM('CBL Score Standard'!$D88:$F88),IF(F30&lt;&gt;"",SUM('CBL Score Standard'!$D88:$G88),IF(G30&lt;&gt;"",SUM('CBL Score Standard'!$D88:$H88,0))))))</f>
        <v>0</v>
      </c>
      <c r="I30" s="182" t="str">
        <f t="shared" si="0"/>
        <v>Passed</v>
      </c>
      <c r="J30" s="182">
        <f t="shared" si="1"/>
        <v>0</v>
      </c>
      <c r="K30" s="107"/>
      <c r="L30" s="107"/>
      <c r="M30" s="266" t="s">
        <v>6</v>
      </c>
      <c r="N30" s="267" t="s">
        <v>55</v>
      </c>
      <c r="O30" s="270" t="s">
        <v>200</v>
      </c>
      <c r="P30" s="272"/>
      <c r="Q30" s="269" t="s">
        <v>374</v>
      </c>
      <c r="R30" s="269" t="s">
        <v>375</v>
      </c>
      <c r="S30" s="107"/>
      <c r="T30" s="107"/>
      <c r="U30" s="308"/>
      <c r="V30" s="107"/>
      <c r="W30" s="107"/>
      <c r="X30" s="107"/>
    </row>
    <row r="31" spans="1:24" x14ac:dyDescent="0.3">
      <c r="A31" s="213" t="s">
        <v>148</v>
      </c>
      <c r="B31" s="206" t="s">
        <v>148</v>
      </c>
      <c r="C31" s="292"/>
      <c r="D31" s="292" t="s">
        <v>77</v>
      </c>
      <c r="E31" s="292"/>
      <c r="F31" s="292"/>
      <c r="G31" s="292"/>
      <c r="H31" s="212">
        <f>IF(C31&lt;&gt;"",'CBL Score Standard'!$D89,IF(D31&lt;&gt;"",SUM('CBL Score Standard'!$D89:$E89),IF(E31&lt;&gt;"",SUM('CBL Score Standard'!$D89:$F89),IF(F31&lt;&gt;"",SUM('CBL Score Standard'!$D89:$G89),IF(G31&lt;&gt;"",SUM('CBL Score Standard'!$D89:$H89,0))))))</f>
        <v>0.13211382113821138</v>
      </c>
      <c r="I31" s="182" t="str">
        <f t="shared" si="0"/>
        <v>Passed</v>
      </c>
      <c r="J31" s="182">
        <f t="shared" si="1"/>
        <v>0</v>
      </c>
      <c r="K31" s="107"/>
      <c r="L31" s="107"/>
      <c r="M31" s="266" t="s">
        <v>6</v>
      </c>
      <c r="N31" s="267" t="s">
        <v>55</v>
      </c>
      <c r="O31" s="270" t="s">
        <v>642</v>
      </c>
      <c r="P31" s="272"/>
      <c r="Q31" s="269" t="s">
        <v>741</v>
      </c>
      <c r="R31" s="269" t="s">
        <v>742</v>
      </c>
      <c r="S31" s="107"/>
      <c r="T31" s="107"/>
      <c r="U31" s="308"/>
      <c r="V31" s="107"/>
      <c r="W31" s="107"/>
      <c r="X31" s="107"/>
    </row>
    <row r="32" spans="1:24" x14ac:dyDescent="0.3">
      <c r="A32" s="213" t="s">
        <v>148</v>
      </c>
      <c r="B32" s="206" t="s">
        <v>360</v>
      </c>
      <c r="C32" s="240"/>
      <c r="D32" s="240"/>
      <c r="E32" s="240"/>
      <c r="F32" s="292"/>
      <c r="G32" s="292"/>
      <c r="H32" s="212" t="b">
        <f>IF(C32&lt;&gt;"",'CBL Score Standard'!$D90,IF(D32&lt;&gt;"",SUM('CBL Score Standard'!$D90:$E90),IF(E32&lt;&gt;"",SUM('CBL Score Standard'!$D90:$F90),IF(F32&lt;&gt;"",SUM('CBL Score Standard'!$D90:$G90),IF(G32&lt;&gt;"",SUM('CBL Score Standard'!$D90:$H90,0))))))</f>
        <v>0</v>
      </c>
      <c r="I32" s="182">
        <f t="shared" si="0"/>
        <v>0</v>
      </c>
      <c r="J32" s="182">
        <f t="shared" si="1"/>
        <v>0</v>
      </c>
      <c r="K32" s="107"/>
      <c r="L32" s="107"/>
      <c r="M32" s="266" t="s">
        <v>6</v>
      </c>
      <c r="N32" s="267" t="s">
        <v>56</v>
      </c>
      <c r="O32" s="270" t="s">
        <v>390</v>
      </c>
      <c r="P32" s="272"/>
      <c r="Q32" s="269" t="s">
        <v>165</v>
      </c>
      <c r="R32" s="269" t="s">
        <v>339</v>
      </c>
      <c r="S32" s="237"/>
      <c r="T32" s="107" t="s">
        <v>72</v>
      </c>
      <c r="U32" s="308"/>
      <c r="V32" s="107"/>
      <c r="W32" s="107"/>
      <c r="X32" s="107"/>
    </row>
    <row r="33" spans="1:24" x14ac:dyDescent="0.3">
      <c r="A33" s="251" t="s">
        <v>148</v>
      </c>
      <c r="B33" s="111" t="s">
        <v>639</v>
      </c>
      <c r="C33" s="291"/>
      <c r="D33" s="291"/>
      <c r="E33" s="291"/>
      <c r="F33" s="292"/>
      <c r="G33" s="292"/>
      <c r="H33" s="212" t="b">
        <f>IF(C33&lt;&gt;"",'CBL Score Standard'!$D91,IF(D33&lt;&gt;"",SUM('CBL Score Standard'!$D91:$E91),IF(E33&lt;&gt;"",SUM('CBL Score Standard'!$D91:$F91),IF(F33&lt;&gt;"",SUM('CBL Score Standard'!$D91:$G91),IF(G33&lt;&gt;"",SUM('CBL Score Standard'!$D91:$H91,0))))))</f>
        <v>0</v>
      </c>
      <c r="I33" s="182">
        <f t="shared" si="0"/>
        <v>0</v>
      </c>
      <c r="J33" s="182">
        <f t="shared" si="1"/>
        <v>0</v>
      </c>
      <c r="K33" s="107"/>
      <c r="L33" s="107"/>
      <c r="M33" s="266" t="s">
        <v>6</v>
      </c>
      <c r="N33" s="267" t="s">
        <v>53</v>
      </c>
      <c r="O33" s="270" t="s">
        <v>361</v>
      </c>
      <c r="P33" s="272"/>
      <c r="Q33" s="269"/>
      <c r="R33" s="269"/>
      <c r="S33" s="237" t="s">
        <v>72</v>
      </c>
      <c r="T33" s="107"/>
      <c r="U33" s="308"/>
      <c r="V33" s="107"/>
      <c r="W33" s="107"/>
      <c r="X33" s="107"/>
    </row>
    <row r="34" spans="1:24" ht="26.4" x14ac:dyDescent="0.3">
      <c r="A34" s="213" t="s">
        <v>31</v>
      </c>
      <c r="B34" s="206" t="s">
        <v>591</v>
      </c>
      <c r="C34" s="292"/>
      <c r="D34" s="292" t="s">
        <v>77</v>
      </c>
      <c r="E34" s="292"/>
      <c r="F34" s="292"/>
      <c r="G34" s="292"/>
      <c r="H34" s="212">
        <f>IF(C34&lt;&gt;"",'CBL Score Standard'!$D92,IF(D34&lt;&gt;"",SUM('CBL Score Standard'!$D92:$E92),IF(E34&lt;&gt;"",SUM('CBL Score Standard'!$D92:$F92),IF(F34&lt;&gt;"",SUM('CBL Score Standard'!$D92:$G92),IF(G34&lt;&gt;"",SUM('CBL Score Standard'!$D92:$H92,0))))))</f>
        <v>0.13211382113821138</v>
      </c>
      <c r="I34" s="182" t="e">
        <f t="shared" si="0"/>
        <v>#N/A</v>
      </c>
      <c r="J34" s="182" t="e">
        <f t="shared" si="1"/>
        <v>#N/A</v>
      </c>
      <c r="K34" s="107"/>
      <c r="L34" s="107"/>
      <c r="M34" s="266" t="s">
        <v>6</v>
      </c>
      <c r="N34" s="267" t="s">
        <v>54</v>
      </c>
      <c r="O34" s="270" t="s">
        <v>335</v>
      </c>
      <c r="P34" s="272"/>
      <c r="Q34" s="269" t="s">
        <v>207</v>
      </c>
      <c r="R34" s="269" t="s">
        <v>319</v>
      </c>
      <c r="S34" s="107" t="s">
        <v>72</v>
      </c>
      <c r="T34" s="107"/>
      <c r="U34" s="308" t="s">
        <v>364</v>
      </c>
      <c r="V34" s="107"/>
      <c r="W34" s="107"/>
      <c r="X34" s="107"/>
    </row>
    <row r="35" spans="1:24" ht="13.8" x14ac:dyDescent="0.3">
      <c r="A35" s="213" t="s">
        <v>31</v>
      </c>
      <c r="B35" s="206" t="s">
        <v>173</v>
      </c>
      <c r="C35" s="292"/>
      <c r="D35" s="292" t="s">
        <v>77</v>
      </c>
      <c r="E35" s="292"/>
      <c r="F35" s="292"/>
      <c r="G35" s="292"/>
      <c r="H35" s="212">
        <f>IF(C35&lt;&gt;"",'CBL Score Standard'!$D93,IF(D35&lt;&gt;"",SUM('CBL Score Standard'!$D93:$E93),IF(E35&lt;&gt;"",SUM('CBL Score Standard'!$D93:$F93),IF(F35&lt;&gt;"",SUM('CBL Score Standard'!$D93:$G93),IF(G35&lt;&gt;"",SUM('CBL Score Standard'!$D93:$H93,0))))))</f>
        <v>0.13211382113821138</v>
      </c>
      <c r="I35" s="182" t="str">
        <f t="shared" si="0"/>
        <v>Passed</v>
      </c>
      <c r="J35" s="182">
        <f t="shared" si="1"/>
        <v>0</v>
      </c>
      <c r="K35" s="107" t="s">
        <v>141</v>
      </c>
      <c r="L35" s="107" t="s">
        <v>142</v>
      </c>
      <c r="M35" s="275" t="s">
        <v>7</v>
      </c>
      <c r="N35" s="276" t="s">
        <v>55</v>
      </c>
      <c r="O35" s="277" t="s">
        <v>183</v>
      </c>
      <c r="P35" s="283">
        <v>44266</v>
      </c>
      <c r="Q35" s="280" t="s">
        <v>218</v>
      </c>
      <c r="R35" s="280" t="s">
        <v>266</v>
      </c>
      <c r="S35" s="237"/>
      <c r="T35" s="107"/>
      <c r="U35" s="308"/>
      <c r="V35" s="107"/>
      <c r="W35" s="107"/>
      <c r="X35" s="107"/>
    </row>
    <row r="36" spans="1:24" ht="13.8" x14ac:dyDescent="0.3">
      <c r="A36" s="213" t="s">
        <v>46</v>
      </c>
      <c r="B36" s="206" t="s">
        <v>169</v>
      </c>
      <c r="C36" s="240" t="s">
        <v>77</v>
      </c>
      <c r="D36" s="292"/>
      <c r="E36" s="292"/>
      <c r="F36" s="292"/>
      <c r="G36" s="292"/>
      <c r="H36" s="212">
        <f>IF(C36&lt;&gt;"",'CBL Score Standard'!$D94,IF(D36&lt;&gt;"",SUM('CBL Score Standard'!$D94:$E94),IF(E36&lt;&gt;"",SUM('CBL Score Standard'!$D94:$F94),IF(F36&lt;&gt;"",SUM('CBL Score Standard'!$D94:$G94),IF(G36&lt;&gt;"",SUM('CBL Score Standard'!$D94:$H94,0))))))</f>
        <v>0</v>
      </c>
      <c r="I36" s="182">
        <f t="shared" si="0"/>
        <v>0</v>
      </c>
      <c r="J36" s="182">
        <f t="shared" si="1"/>
        <v>0</v>
      </c>
      <c r="K36" s="107"/>
      <c r="L36" s="107"/>
      <c r="M36" s="275" t="s">
        <v>7</v>
      </c>
      <c r="N36" s="276" t="s">
        <v>56</v>
      </c>
      <c r="O36" s="277" t="s">
        <v>213</v>
      </c>
      <c r="P36" s="280"/>
      <c r="Q36" s="280" t="s">
        <v>162</v>
      </c>
      <c r="R36" s="280" t="s">
        <v>317</v>
      </c>
      <c r="S36" s="237"/>
      <c r="T36" s="107"/>
      <c r="U36" s="308"/>
      <c r="V36" s="107"/>
      <c r="W36" s="107"/>
      <c r="X36" s="107"/>
    </row>
    <row r="37" spans="1:24" ht="13.8" x14ac:dyDescent="0.3">
      <c r="A37" s="213" t="s">
        <v>2</v>
      </c>
      <c r="B37" s="206" t="s">
        <v>232</v>
      </c>
      <c r="C37" s="240"/>
      <c r="D37" s="240"/>
      <c r="E37" s="240"/>
      <c r="F37" s="292"/>
      <c r="G37" s="292"/>
      <c r="H37" s="212" t="b">
        <f>IF(C37&lt;&gt;"",'CBL Score Standard'!$D95,IF(D37&lt;&gt;"",SUM('CBL Score Standard'!$D95:$E95),IF(E37&lt;&gt;"",SUM('CBL Score Standard'!$D95:$F95),IF(F37&lt;&gt;"",SUM('CBL Score Standard'!$D95:$G95),IF(G37&lt;&gt;"",SUM('CBL Score Standard'!$D95:$H95,0))))))</f>
        <v>0</v>
      </c>
      <c r="I37" s="182">
        <f t="shared" si="0"/>
        <v>0</v>
      </c>
      <c r="J37" s="182">
        <f t="shared" si="1"/>
        <v>0</v>
      </c>
      <c r="K37" s="107"/>
      <c r="L37" s="107"/>
      <c r="M37" s="275" t="s">
        <v>7</v>
      </c>
      <c r="N37" s="276" t="s">
        <v>55</v>
      </c>
      <c r="O37" s="277" t="s">
        <v>595</v>
      </c>
      <c r="P37" s="283"/>
      <c r="Q37" s="281" t="s">
        <v>387</v>
      </c>
      <c r="R37" s="282" t="s">
        <v>386</v>
      </c>
      <c r="S37" s="237" t="s">
        <v>633</v>
      </c>
      <c r="T37" s="107"/>
      <c r="U37" s="308">
        <v>44049</v>
      </c>
      <c r="V37" s="107" t="s">
        <v>364</v>
      </c>
      <c r="W37" s="237"/>
      <c r="X37" s="107"/>
    </row>
    <row r="38" spans="1:24" ht="27.6" x14ac:dyDescent="0.3">
      <c r="A38" s="213" t="s">
        <v>54</v>
      </c>
      <c r="B38" s="206" t="s">
        <v>388</v>
      </c>
      <c r="C38" s="292"/>
      <c r="D38" s="292" t="s">
        <v>77</v>
      </c>
      <c r="E38" s="292"/>
      <c r="F38" s="292"/>
      <c r="G38" s="292"/>
      <c r="H38" s="212">
        <f>IF(C38&lt;&gt;"",'CBL Score Standard'!$D96,IF(D38&lt;&gt;"",SUM('CBL Score Standard'!$D96:$E96),IF(E38&lt;&gt;"",SUM('CBL Score Standard'!$D96:$F96),IF(F38&lt;&gt;"",SUM('CBL Score Standard'!$D96:$G96),IF(G38&lt;&gt;"",SUM('CBL Score Standard'!$D96:$H96,0))))))</f>
        <v>0.13211382113821138</v>
      </c>
      <c r="I38" s="182">
        <f t="shared" si="0"/>
        <v>0</v>
      </c>
      <c r="J38" s="182">
        <f t="shared" si="1"/>
        <v>0</v>
      </c>
      <c r="K38" s="107"/>
      <c r="L38" s="107"/>
      <c r="M38" s="275" t="s">
        <v>7</v>
      </c>
      <c r="N38" s="276" t="s">
        <v>55</v>
      </c>
      <c r="O38" s="277" t="s">
        <v>410</v>
      </c>
      <c r="P38" s="280"/>
      <c r="Q38" s="282" t="s">
        <v>661</v>
      </c>
      <c r="R38" s="280" t="s">
        <v>662</v>
      </c>
      <c r="S38" s="237"/>
      <c r="T38" s="107"/>
      <c r="U38" s="308"/>
      <c r="V38" s="107"/>
      <c r="W38" s="107"/>
      <c r="X38" s="107"/>
    </row>
    <row r="39" spans="1:24" ht="41.4" x14ac:dyDescent="0.3">
      <c r="A39" s="213" t="s">
        <v>54</v>
      </c>
      <c r="B39" s="206" t="s">
        <v>335</v>
      </c>
      <c r="C39" s="240"/>
      <c r="D39" s="292" t="s">
        <v>77</v>
      </c>
      <c r="E39" s="292"/>
      <c r="F39" s="292"/>
      <c r="G39" s="292"/>
      <c r="H39" s="212">
        <f>IF(C39&lt;&gt;"",'CBL Score Standard'!$D97,IF(D39&lt;&gt;"",SUM('CBL Score Standard'!$D97:$E97),IF(E39&lt;&gt;"",SUM('CBL Score Standard'!$D97:$F97),IF(F39&lt;&gt;"",SUM('CBL Score Standard'!$D97:$G97),IF(G39&lt;&gt;"",SUM('CBL Score Standard'!$D97:$H97,0))))))</f>
        <v>4.878048780487805E-2</v>
      </c>
      <c r="I39" s="182">
        <f t="shared" si="0"/>
        <v>0</v>
      </c>
      <c r="J39" s="182">
        <f t="shared" si="1"/>
        <v>0</v>
      </c>
      <c r="K39" s="107"/>
      <c r="L39" s="107"/>
      <c r="M39" s="275" t="s">
        <v>7</v>
      </c>
      <c r="N39" s="276" t="s">
        <v>55</v>
      </c>
      <c r="O39" s="277" t="s">
        <v>656</v>
      </c>
      <c r="P39" s="283">
        <v>43985</v>
      </c>
      <c r="Q39" s="282" t="s">
        <v>663</v>
      </c>
      <c r="R39" s="282" t="s">
        <v>664</v>
      </c>
      <c r="S39" s="237"/>
      <c r="T39" s="107" t="s">
        <v>72</v>
      </c>
      <c r="U39" s="107"/>
      <c r="V39" s="107"/>
      <c r="W39" s="107"/>
      <c r="X39" s="107"/>
    </row>
    <row r="40" spans="1:24" ht="13.8" x14ac:dyDescent="0.3">
      <c r="A40" s="213" t="s">
        <v>54</v>
      </c>
      <c r="B40" s="206" t="s">
        <v>229</v>
      </c>
      <c r="C40" s="240"/>
      <c r="D40" s="240"/>
      <c r="E40" s="239"/>
      <c r="F40" s="292"/>
      <c r="G40" s="292"/>
      <c r="H40" s="212" t="b">
        <f>IF(C40&lt;&gt;"",'CBL Score Standard'!$D98,IF(D40&lt;&gt;"",SUM('CBL Score Standard'!$D98:$E98),IF(E40&lt;&gt;"",SUM('CBL Score Standard'!$D98:$F98),IF(F40&lt;&gt;"",SUM('CBL Score Standard'!$D98:$G98),IF(G40&lt;&gt;"",SUM('CBL Score Standard'!$D98:$H98,0))))))</f>
        <v>0</v>
      </c>
      <c r="I40" s="182">
        <f t="shared" ref="I40:I59" si="2">VLOOKUP(B40,$O$4:$W$64,8,0)</f>
        <v>0</v>
      </c>
      <c r="J40" s="182">
        <f t="shared" ref="J40:J59" si="3">VLOOKUP(B40,$O$4:$W$64,9,0)</f>
        <v>0</v>
      </c>
      <c r="K40" s="107"/>
      <c r="L40" s="107"/>
      <c r="M40" s="275" t="s">
        <v>7</v>
      </c>
      <c r="N40" s="276" t="s">
        <v>55</v>
      </c>
      <c r="O40" s="277" t="s">
        <v>657</v>
      </c>
      <c r="P40" s="283"/>
      <c r="Q40" s="280" t="s">
        <v>219</v>
      </c>
      <c r="R40" s="280" t="s">
        <v>256</v>
      </c>
      <c r="S40" s="237"/>
      <c r="T40" s="107" t="s">
        <v>72</v>
      </c>
      <c r="U40" s="107"/>
      <c r="V40" s="107"/>
      <c r="W40" s="107"/>
      <c r="X40" s="107"/>
    </row>
    <row r="41" spans="1:24" ht="13.8" x14ac:dyDescent="0.3">
      <c r="A41" s="213" t="s">
        <v>53</v>
      </c>
      <c r="B41" s="206" t="s">
        <v>361</v>
      </c>
      <c r="C41" s="240"/>
      <c r="D41" s="240"/>
      <c r="E41" s="240"/>
      <c r="F41" s="292"/>
      <c r="G41" s="292"/>
      <c r="H41" s="212" t="b">
        <f>IF(C41&lt;&gt;"",'CBL Score Standard'!$D99,IF(D41&lt;&gt;"",SUM('CBL Score Standard'!$D99:$E99),IF(E41&lt;&gt;"",SUM('CBL Score Standard'!$D99:$F99),IF(F41&lt;&gt;"",SUM('CBL Score Standard'!$D99:$G99),IF(G41&lt;&gt;"",SUM('CBL Score Standard'!$D99:$H99,0))))))</f>
        <v>0</v>
      </c>
      <c r="I41" s="182">
        <f t="shared" si="2"/>
        <v>0</v>
      </c>
      <c r="J41" s="182">
        <f t="shared" si="3"/>
        <v>0</v>
      </c>
      <c r="K41" s="107"/>
      <c r="L41" s="107"/>
      <c r="M41" s="275" t="s">
        <v>7</v>
      </c>
      <c r="N41" s="276" t="s">
        <v>53</v>
      </c>
      <c r="O41" s="277" t="s">
        <v>221</v>
      </c>
      <c r="P41" s="283"/>
      <c r="Q41" s="280" t="s">
        <v>222</v>
      </c>
      <c r="R41" s="280" t="s">
        <v>344</v>
      </c>
      <c r="S41" s="237"/>
      <c r="T41" s="107"/>
      <c r="U41" s="308"/>
      <c r="V41" s="107"/>
      <c r="W41" s="107"/>
      <c r="X41" s="107"/>
    </row>
    <row r="42" spans="1:24" ht="12.75" customHeight="1" x14ac:dyDescent="0.3">
      <c r="A42" s="213" t="s">
        <v>53</v>
      </c>
      <c r="B42" s="206" t="s">
        <v>221</v>
      </c>
      <c r="C42" s="240"/>
      <c r="D42" s="240"/>
      <c r="E42" s="240"/>
      <c r="F42" s="292"/>
      <c r="G42" s="292"/>
      <c r="H42" s="212" t="b">
        <f>IF(C42&lt;&gt;"",'CBL Score Standard'!$D100,IF(D42&lt;&gt;"",SUM('CBL Score Standard'!$D100:$E100),IF(E42&lt;&gt;"",SUM('CBL Score Standard'!$D100:$F100),IF(F42&lt;&gt;"",SUM('CBL Score Standard'!$D100:$G100),IF(G42&lt;&gt;"",SUM('CBL Score Standard'!$D100:$H100,0))))))</f>
        <v>0</v>
      </c>
      <c r="I42" s="182">
        <f t="shared" si="2"/>
        <v>0</v>
      </c>
      <c r="J42" s="182">
        <f t="shared" si="3"/>
        <v>0</v>
      </c>
      <c r="K42" s="107"/>
      <c r="L42" s="107"/>
      <c r="M42" s="275" t="s">
        <v>7</v>
      </c>
      <c r="N42" s="276" t="s">
        <v>53</v>
      </c>
      <c r="O42" s="277" t="s">
        <v>224</v>
      </c>
      <c r="P42" s="283"/>
      <c r="Q42" s="280" t="s">
        <v>225</v>
      </c>
      <c r="R42" s="280" t="s">
        <v>340</v>
      </c>
      <c r="S42" s="237"/>
      <c r="T42" s="107"/>
      <c r="U42" s="308"/>
      <c r="V42" s="107"/>
      <c r="W42" s="107"/>
      <c r="X42" s="107"/>
    </row>
    <row r="43" spans="1:24" ht="13.8" x14ac:dyDescent="0.3">
      <c r="A43" s="213" t="s">
        <v>53</v>
      </c>
      <c r="B43" s="206" t="s">
        <v>224</v>
      </c>
      <c r="C43" s="240"/>
      <c r="D43" s="240"/>
      <c r="E43" s="240"/>
      <c r="F43" s="292"/>
      <c r="G43" s="292"/>
      <c r="H43" s="212" t="b">
        <f>IF(C43&lt;&gt;"",'CBL Score Standard'!$D101,IF(D43&lt;&gt;"",SUM('CBL Score Standard'!$D101:$E101),IF(E43&lt;&gt;"",SUM('CBL Score Standard'!$D101:$F101),IF(F43&lt;&gt;"",SUM('CBL Score Standard'!$D101:$G101),IF(G43&lt;&gt;"",SUM('CBL Score Standard'!$D101:$H101,0))))))</f>
        <v>0</v>
      </c>
      <c r="I43" s="182">
        <f t="shared" si="2"/>
        <v>0</v>
      </c>
      <c r="J43" s="182">
        <f t="shared" si="3"/>
        <v>0</v>
      </c>
      <c r="K43" s="107"/>
      <c r="L43" s="107"/>
      <c r="M43" s="275" t="s">
        <v>7</v>
      </c>
      <c r="N43" s="276" t="s">
        <v>658</v>
      </c>
      <c r="O43" s="278" t="s">
        <v>614</v>
      </c>
      <c r="P43" s="283"/>
      <c r="Q43" s="280" t="s">
        <v>152</v>
      </c>
      <c r="R43" s="280" t="s">
        <v>154</v>
      </c>
      <c r="S43" s="237" t="s">
        <v>633</v>
      </c>
      <c r="T43" s="107"/>
      <c r="U43" s="308">
        <v>44039</v>
      </c>
      <c r="V43" s="107" t="s">
        <v>364</v>
      </c>
      <c r="W43" s="107"/>
      <c r="X43" s="107"/>
    </row>
    <row r="44" spans="1:24" ht="26.4" x14ac:dyDescent="0.3">
      <c r="A44" s="213" t="s">
        <v>53</v>
      </c>
      <c r="B44" s="206" t="s">
        <v>637</v>
      </c>
      <c r="C44" s="240"/>
      <c r="D44" s="240"/>
      <c r="E44" s="240"/>
      <c r="F44" s="292"/>
      <c r="G44" s="292"/>
      <c r="H44" s="212" t="b">
        <f>IF(C44&lt;&gt;"",'CBL Score Standard'!$D102,IF(D44&lt;&gt;"",SUM('CBL Score Standard'!$D102:$E102),IF(E44&lt;&gt;"",SUM('CBL Score Standard'!$D102:$F102),IF(F44&lt;&gt;"",SUM('CBL Score Standard'!$D102:$G102),IF(G44&lt;&gt;"",SUM('CBL Score Standard'!$D102:$H102,0))))))</f>
        <v>0</v>
      </c>
      <c r="I44" s="182" t="e">
        <f t="shared" si="2"/>
        <v>#N/A</v>
      </c>
      <c r="J44" s="182" t="e">
        <f t="shared" si="3"/>
        <v>#N/A</v>
      </c>
      <c r="K44" s="107"/>
      <c r="L44" s="107"/>
      <c r="M44" s="275" t="s">
        <v>7</v>
      </c>
      <c r="N44" s="276" t="s">
        <v>658</v>
      </c>
      <c r="O44" s="278" t="s">
        <v>613</v>
      </c>
      <c r="P44" s="283"/>
      <c r="Q44" s="280" t="s">
        <v>152</v>
      </c>
      <c r="R44" s="280" t="s">
        <v>154</v>
      </c>
      <c r="S44" s="107" t="s">
        <v>633</v>
      </c>
      <c r="T44" s="107"/>
      <c r="U44" s="308">
        <v>44008</v>
      </c>
      <c r="V44" s="107" t="s">
        <v>364</v>
      </c>
      <c r="W44" s="107"/>
      <c r="X44" s="107"/>
    </row>
    <row r="45" spans="1:24" ht="26.4" x14ac:dyDescent="0.3">
      <c r="A45" s="213" t="s">
        <v>41</v>
      </c>
      <c r="B45" s="206" t="s">
        <v>412</v>
      </c>
      <c r="C45" s="292"/>
      <c r="D45" s="292" t="s">
        <v>77</v>
      </c>
      <c r="E45" s="292"/>
      <c r="F45" s="292"/>
      <c r="G45" s="292"/>
      <c r="H45" s="212">
        <f>IF(C45&lt;&gt;"",'CBL Score Standard'!$D103,IF(D45&lt;&gt;"",SUM('CBL Score Standard'!$D103:$E103),IF(E45&lt;&gt;"",SUM('CBL Score Standard'!$D103:$F103),IF(F45&lt;&gt;"",SUM('CBL Score Standard'!$D103:$G103),IF(G45&lt;&gt;"",SUM('CBL Score Standard'!$D103:$H103,0))))))</f>
        <v>0.13211382113821138</v>
      </c>
      <c r="I45" s="182">
        <f t="shared" si="2"/>
        <v>0</v>
      </c>
      <c r="J45" s="182">
        <f t="shared" si="3"/>
        <v>0</v>
      </c>
      <c r="K45" s="107"/>
      <c r="L45" s="107"/>
      <c r="M45" s="275" t="s">
        <v>7</v>
      </c>
      <c r="N45" s="276" t="s">
        <v>56</v>
      </c>
      <c r="O45" s="278" t="s">
        <v>659</v>
      </c>
      <c r="P45" s="283"/>
      <c r="Q45" s="280" t="s">
        <v>575</v>
      </c>
      <c r="R45" s="280" t="s">
        <v>265</v>
      </c>
      <c r="S45" s="237"/>
      <c r="T45" s="107"/>
      <c r="U45" s="107"/>
      <c r="V45" s="107"/>
      <c r="W45" s="107"/>
      <c r="X45" s="107"/>
    </row>
    <row r="46" spans="1:24" ht="26.4" x14ac:dyDescent="0.3">
      <c r="A46" s="213" t="s">
        <v>41</v>
      </c>
      <c r="B46" s="206" t="s">
        <v>176</v>
      </c>
      <c r="C46" s="240"/>
      <c r="D46" s="292"/>
      <c r="E46" s="292"/>
      <c r="F46" s="292"/>
      <c r="G46" s="292"/>
      <c r="H46" s="212" t="b">
        <f>IF(C46&lt;&gt;"",'CBL Score Standard'!$D104,IF(D46&lt;&gt;"",SUM('CBL Score Standard'!$D104:$E104),IF(E46&lt;&gt;"",SUM('CBL Score Standard'!$D104:$F104),IF(F46&lt;&gt;"",SUM('CBL Score Standard'!$D104:$G104),IF(G46&lt;&gt;"",SUM('CBL Score Standard'!$D104:$H104,0))))))</f>
        <v>0</v>
      </c>
      <c r="I46" s="182">
        <f t="shared" si="2"/>
        <v>0</v>
      </c>
      <c r="J46" s="182">
        <f t="shared" si="3"/>
        <v>0</v>
      </c>
      <c r="K46" s="107"/>
      <c r="L46" s="107"/>
      <c r="M46" s="275" t="s">
        <v>7</v>
      </c>
      <c r="N46" s="276" t="s">
        <v>55</v>
      </c>
      <c r="O46" s="278" t="s">
        <v>1</v>
      </c>
      <c r="P46" s="283"/>
      <c r="Q46" s="280" t="s">
        <v>577</v>
      </c>
      <c r="R46" s="280" t="s">
        <v>477</v>
      </c>
      <c r="S46" s="237"/>
      <c r="T46" s="107"/>
      <c r="U46" s="308"/>
      <c r="V46" s="107"/>
      <c r="W46" s="107"/>
      <c r="X46" s="107"/>
    </row>
    <row r="47" spans="1:24" ht="13.8" x14ac:dyDescent="0.3">
      <c r="A47" s="213" t="s">
        <v>227</v>
      </c>
      <c r="B47" s="206" t="s">
        <v>242</v>
      </c>
      <c r="C47" s="240"/>
      <c r="D47" s="240"/>
      <c r="E47" s="240"/>
      <c r="F47" s="240"/>
      <c r="G47" s="292"/>
      <c r="H47" s="212" t="b">
        <f>IF(C47&lt;&gt;"",'CBL Score Standard'!$D105,IF(D47&lt;&gt;"",SUM('CBL Score Standard'!$D105:$E105),IF(E47&lt;&gt;"",SUM('CBL Score Standard'!$D105:$F105),IF(F47&lt;&gt;"",SUM('CBL Score Standard'!$D105:$G105),IF(G47&lt;&gt;"",SUM('CBL Score Standard'!$D105:$H105,0))))))</f>
        <v>0</v>
      </c>
      <c r="I47" s="182">
        <f t="shared" si="2"/>
        <v>0</v>
      </c>
      <c r="J47" s="182">
        <f t="shared" si="3"/>
        <v>0</v>
      </c>
      <c r="K47" s="107"/>
      <c r="L47" s="107"/>
      <c r="M47" s="275" t="s">
        <v>7</v>
      </c>
      <c r="N47" s="276" t="s">
        <v>56</v>
      </c>
      <c r="O47" s="278" t="s">
        <v>383</v>
      </c>
      <c r="P47" s="283"/>
      <c r="Q47" s="280" t="s">
        <v>384</v>
      </c>
      <c r="R47" s="280"/>
      <c r="S47" s="107"/>
      <c r="T47" s="107" t="s">
        <v>73</v>
      </c>
      <c r="U47" s="308"/>
      <c r="V47" s="107"/>
      <c r="W47" s="107"/>
      <c r="X47" s="107"/>
    </row>
    <row r="48" spans="1:24" ht="13.8" x14ac:dyDescent="0.3">
      <c r="A48" s="213" t="s">
        <v>143</v>
      </c>
      <c r="B48" s="206" t="s">
        <v>362</v>
      </c>
      <c r="C48" s="292"/>
      <c r="D48" s="292" t="s">
        <v>77</v>
      </c>
      <c r="E48" s="292"/>
      <c r="F48" s="292"/>
      <c r="G48" s="292"/>
      <c r="H48" s="212">
        <f>IF(C48&lt;&gt;"",'CBL Score Standard'!$D106,IF(D48&lt;&gt;"",SUM('CBL Score Standard'!$D106:$E106),IF(E48&lt;&gt;"",SUM('CBL Score Standard'!$D106:$F106),IF(F48&lt;&gt;"",SUM('CBL Score Standard'!$D106:$G106),IF(G48&lt;&gt;"",SUM('CBL Score Standard'!$D106:$H106,0))))))</f>
        <v>0.13211382113821138</v>
      </c>
      <c r="I48" s="182">
        <f t="shared" si="2"/>
        <v>0</v>
      </c>
      <c r="J48" s="182">
        <f t="shared" si="3"/>
        <v>0</v>
      </c>
      <c r="K48" s="107"/>
      <c r="L48" s="107"/>
      <c r="M48" s="275" t="s">
        <v>7</v>
      </c>
      <c r="N48" s="276" t="s">
        <v>56</v>
      </c>
      <c r="O48" s="278" t="s">
        <v>385</v>
      </c>
      <c r="P48" s="280"/>
      <c r="Q48" s="280" t="s">
        <v>387</v>
      </c>
      <c r="R48" s="280" t="s">
        <v>386</v>
      </c>
      <c r="S48" s="237"/>
      <c r="T48" s="107"/>
      <c r="U48" s="308"/>
      <c r="V48" s="107"/>
      <c r="W48" s="107"/>
      <c r="X48" s="107"/>
    </row>
    <row r="49" spans="1:24" ht="39.6" x14ac:dyDescent="0.3">
      <c r="A49" s="213" t="s">
        <v>143</v>
      </c>
      <c r="B49" s="206" t="s">
        <v>363</v>
      </c>
      <c r="C49" s="292"/>
      <c r="D49" s="292" t="s">
        <v>77</v>
      </c>
      <c r="E49" s="292"/>
      <c r="F49" s="292"/>
      <c r="G49" s="292"/>
      <c r="H49" s="212">
        <f>IF(C49&lt;&gt;"",'CBL Score Standard'!$D107,IF(D49&lt;&gt;"",SUM('CBL Score Standard'!$D107:$E107),IF(E49&lt;&gt;"",SUM('CBL Score Standard'!$D107:$F107),IF(F49&lt;&gt;"",SUM('CBL Score Standard'!$D107:$G107),IF(G49&lt;&gt;"",SUM('CBL Score Standard'!$D107:$H107,0))))))</f>
        <v>0.13211382113821138</v>
      </c>
      <c r="I49" s="182" t="str">
        <f t="shared" si="2"/>
        <v>Passed</v>
      </c>
      <c r="J49" s="182">
        <f t="shared" si="3"/>
        <v>0</v>
      </c>
      <c r="K49" s="107"/>
      <c r="L49" s="107"/>
      <c r="M49" s="275" t="s">
        <v>7</v>
      </c>
      <c r="N49" s="276" t="s">
        <v>54</v>
      </c>
      <c r="O49" s="278" t="s">
        <v>229</v>
      </c>
      <c r="P49" s="283"/>
      <c r="Q49" s="280" t="s">
        <v>665</v>
      </c>
      <c r="R49" s="280" t="s">
        <v>574</v>
      </c>
      <c r="S49" s="107"/>
      <c r="T49" s="107"/>
      <c r="U49" s="308"/>
      <c r="V49" s="107"/>
      <c r="W49" s="107"/>
      <c r="X49" s="107"/>
    </row>
    <row r="50" spans="1:24" ht="13.8" x14ac:dyDescent="0.3">
      <c r="A50" s="213" t="s">
        <v>643</v>
      </c>
      <c r="B50" s="206" t="s">
        <v>414</v>
      </c>
      <c r="C50" s="292"/>
      <c r="D50" s="292" t="s">
        <v>77</v>
      </c>
      <c r="E50" s="292"/>
      <c r="F50" s="292"/>
      <c r="G50" s="292"/>
      <c r="H50" s="212">
        <f>IF(C50&lt;&gt;"",'CBL Score Standard'!$D108,IF(D50&lt;&gt;"",SUM('CBL Score Standard'!$D108:$E108),IF(E50&lt;&gt;"",SUM('CBL Score Standard'!$D108:$F108),IF(F50&lt;&gt;"",SUM('CBL Score Standard'!$D108:$G108),IF(G50&lt;&gt;"",SUM('CBL Score Standard'!$D108:$H108,0))))))</f>
        <v>0.13211382113821138</v>
      </c>
      <c r="I50" s="182" t="str">
        <f t="shared" si="2"/>
        <v>Passed</v>
      </c>
      <c r="J50" s="182">
        <f t="shared" si="3"/>
        <v>0</v>
      </c>
      <c r="K50" s="107"/>
      <c r="L50" s="107"/>
      <c r="M50" s="275" t="s">
        <v>7</v>
      </c>
      <c r="N50" s="276" t="s">
        <v>148</v>
      </c>
      <c r="O50" s="279" t="s">
        <v>639</v>
      </c>
      <c r="P50" s="283" t="s">
        <v>228</v>
      </c>
      <c r="Q50" s="280" t="s">
        <v>666</v>
      </c>
      <c r="R50" s="280"/>
      <c r="S50" s="107"/>
      <c r="T50" s="107"/>
      <c r="U50" s="107"/>
      <c r="V50" s="107"/>
      <c r="W50" s="107"/>
      <c r="X50" s="107"/>
    </row>
    <row r="51" spans="1:24" ht="13.8" x14ac:dyDescent="0.3">
      <c r="A51" s="213" t="s">
        <v>643</v>
      </c>
      <c r="B51" s="206" t="s">
        <v>475</v>
      </c>
      <c r="C51" s="292"/>
      <c r="D51" s="292"/>
      <c r="E51" s="292"/>
      <c r="F51" s="292"/>
      <c r="G51" s="292"/>
      <c r="H51" s="212" t="b">
        <f>IF(C51&lt;&gt;"",'CBL Score Standard'!$D109,IF(D51&lt;&gt;"",SUM('CBL Score Standard'!$D109:$E109),IF(E51&lt;&gt;"",SUM('CBL Score Standard'!$D109:$F109),IF(F51&lt;&gt;"",SUM('CBL Score Standard'!$D109:$G109),IF(G51&lt;&gt;"",SUM('CBL Score Standard'!$D109:$H109,0))))))</f>
        <v>0</v>
      </c>
      <c r="I51" s="182" t="e">
        <f t="shared" si="2"/>
        <v>#N/A</v>
      </c>
      <c r="J51" s="182" t="e">
        <f t="shared" si="3"/>
        <v>#N/A</v>
      </c>
      <c r="K51" s="107"/>
      <c r="L51" s="107"/>
      <c r="M51" s="275" t="s">
        <v>7</v>
      </c>
      <c r="N51" s="276" t="s">
        <v>55</v>
      </c>
      <c r="O51" s="277" t="s">
        <v>660</v>
      </c>
      <c r="P51" s="283"/>
      <c r="Q51" s="280" t="s">
        <v>667</v>
      </c>
      <c r="R51" s="280" t="s">
        <v>316</v>
      </c>
      <c r="S51" s="107"/>
      <c r="T51" s="107"/>
      <c r="U51" s="107"/>
      <c r="V51" s="107"/>
      <c r="W51" s="107"/>
      <c r="X51" s="107"/>
    </row>
    <row r="52" spans="1:24" ht="13.8" x14ac:dyDescent="0.3">
      <c r="A52" s="213" t="s">
        <v>643</v>
      </c>
      <c r="B52" s="206" t="s">
        <v>592</v>
      </c>
      <c r="C52" s="292"/>
      <c r="D52" s="292" t="s">
        <v>77</v>
      </c>
      <c r="E52" s="292"/>
      <c r="F52" s="292"/>
      <c r="G52" s="292"/>
      <c r="H52" s="212">
        <f>IF(C52&lt;&gt;"",'CBL Score Standard'!$D110,IF(D52&lt;&gt;"",SUM('CBL Score Standard'!$D110:$E110),IF(E52&lt;&gt;"",SUM('CBL Score Standard'!$D110:$F110),IF(F52&lt;&gt;"",SUM('CBL Score Standard'!$D110:$G110),IF(G52&lt;&gt;"",SUM('CBL Score Standard'!$D110:$H110,0))))))</f>
        <v>0.13211382113821138</v>
      </c>
      <c r="I52" s="182" t="str">
        <f t="shared" si="2"/>
        <v>Passed</v>
      </c>
      <c r="J52" s="182">
        <f t="shared" si="3"/>
        <v>0</v>
      </c>
      <c r="K52" s="107"/>
      <c r="L52" s="107"/>
      <c r="M52" s="275" t="s">
        <v>7</v>
      </c>
      <c r="N52" s="276" t="s">
        <v>658</v>
      </c>
      <c r="O52" s="252" t="s">
        <v>638</v>
      </c>
      <c r="P52" s="283" t="s">
        <v>228</v>
      </c>
      <c r="Q52" s="280" t="s">
        <v>666</v>
      </c>
      <c r="R52" s="280"/>
      <c r="S52" s="107"/>
      <c r="T52" s="107"/>
      <c r="U52" s="107"/>
      <c r="V52" s="107"/>
      <c r="W52" s="107"/>
      <c r="X52" s="107"/>
    </row>
    <row r="53" spans="1:24" x14ac:dyDescent="0.3">
      <c r="A53" s="213" t="s">
        <v>643</v>
      </c>
      <c r="B53" s="206" t="s">
        <v>593</v>
      </c>
      <c r="C53" s="292"/>
      <c r="D53" s="292" t="s">
        <v>77</v>
      </c>
      <c r="E53" s="292"/>
      <c r="F53" s="292"/>
      <c r="G53" s="292"/>
      <c r="H53" s="212">
        <f>IF(C53&lt;&gt;"",'CBL Score Standard'!$D111,IF(D53&lt;&gt;"",SUM('CBL Score Standard'!$D111:$E111),IF(E53&lt;&gt;"",SUM('CBL Score Standard'!$D111:$F111),IF(F53&lt;&gt;"",SUM('CBL Score Standard'!$D111:$G111),IF(G53&lt;&gt;"",SUM('CBL Score Standard'!$D111:$H111,0))))))</f>
        <v>0.13211382113821138</v>
      </c>
      <c r="I53" s="182" t="str">
        <f t="shared" si="2"/>
        <v>Passed</v>
      </c>
      <c r="J53" s="182">
        <f t="shared" si="3"/>
        <v>0</v>
      </c>
      <c r="K53" s="107" t="s">
        <v>141</v>
      </c>
      <c r="L53" s="107" t="s">
        <v>142</v>
      </c>
      <c r="M53" s="284" t="s">
        <v>8</v>
      </c>
      <c r="N53" s="285" t="s">
        <v>2</v>
      </c>
      <c r="O53" s="279" t="s">
        <v>232</v>
      </c>
      <c r="P53" s="286" t="s">
        <v>228</v>
      </c>
      <c r="Q53" s="286" t="s">
        <v>671</v>
      </c>
      <c r="R53" s="286"/>
      <c r="S53" s="237"/>
      <c r="T53" s="107"/>
      <c r="U53" s="308"/>
      <c r="V53" s="107"/>
      <c r="W53" s="107"/>
      <c r="X53" s="107"/>
    </row>
    <row r="54" spans="1:24" x14ac:dyDescent="0.3">
      <c r="A54" s="213" t="s">
        <v>643</v>
      </c>
      <c r="B54" s="111" t="s">
        <v>640</v>
      </c>
      <c r="C54" s="292"/>
      <c r="D54" s="292"/>
      <c r="E54" s="292"/>
      <c r="F54" s="292"/>
      <c r="G54" s="292"/>
      <c r="H54" s="212" t="b">
        <f>IF(C54&lt;&gt;"",'CBL Score Standard'!$D112,IF(D54&lt;&gt;"",SUM('CBL Score Standard'!$D112:$E112),IF(E54&lt;&gt;"",SUM('CBL Score Standard'!$D112:$F112),IF(F54&lt;&gt;"",SUM('CBL Score Standard'!$D112:$G112),IF(G54&lt;&gt;"",SUM('CBL Score Standard'!$D112:$H112,0))))))</f>
        <v>0</v>
      </c>
      <c r="I54" s="182">
        <f t="shared" si="2"/>
        <v>0</v>
      </c>
      <c r="J54" s="182">
        <f t="shared" si="3"/>
        <v>0</v>
      </c>
      <c r="K54" s="107"/>
      <c r="L54" s="107"/>
      <c r="M54" s="284" t="s">
        <v>8</v>
      </c>
      <c r="N54" s="285" t="s">
        <v>63</v>
      </c>
      <c r="O54" s="279" t="s">
        <v>234</v>
      </c>
      <c r="P54" s="286" t="s">
        <v>228</v>
      </c>
      <c r="Q54" s="286" t="s">
        <v>672</v>
      </c>
      <c r="R54" s="286"/>
      <c r="S54" s="237"/>
      <c r="T54" s="107"/>
      <c r="U54" s="107"/>
      <c r="V54" s="107"/>
      <c r="W54" s="107"/>
      <c r="X54" s="107"/>
    </row>
    <row r="55" spans="1:24" s="170" customFormat="1" x14ac:dyDescent="0.3">
      <c r="A55" s="213" t="s">
        <v>643</v>
      </c>
      <c r="B55" s="111" t="s">
        <v>641</v>
      </c>
      <c r="C55" s="291"/>
      <c r="D55" s="291"/>
      <c r="E55" s="292"/>
      <c r="F55" s="292"/>
      <c r="G55" s="292"/>
      <c r="H55" s="212" t="b">
        <f>IF(C55&lt;&gt;"",'CBL Score Standard'!$D113,IF(D55&lt;&gt;"",SUM('CBL Score Standard'!$D113:$E113),IF(E55&lt;&gt;"",SUM('CBL Score Standard'!$D113:$F113),IF(F55&lt;&gt;"",SUM('CBL Score Standard'!$D113:$G113),IF(G55&lt;&gt;"",SUM('CBL Score Standard'!$D113:$H113,0))))))</f>
        <v>0</v>
      </c>
      <c r="I55" s="182">
        <f t="shared" si="2"/>
        <v>0</v>
      </c>
      <c r="J55" s="182">
        <f t="shared" si="3"/>
        <v>0</v>
      </c>
      <c r="K55" s="107"/>
      <c r="L55" s="107"/>
      <c r="M55" s="284" t="s">
        <v>8</v>
      </c>
      <c r="N55" s="285" t="s">
        <v>56</v>
      </c>
      <c r="O55" s="279" t="s">
        <v>669</v>
      </c>
      <c r="P55" s="286" t="s">
        <v>228</v>
      </c>
      <c r="Q55" s="286" t="s">
        <v>666</v>
      </c>
      <c r="R55" s="286"/>
      <c r="S55" s="107"/>
      <c r="T55" s="107"/>
      <c r="U55" s="107"/>
      <c r="V55" s="107"/>
      <c r="W55" s="107"/>
      <c r="X55" s="107"/>
    </row>
    <row r="56" spans="1:24" s="170" customFormat="1" x14ac:dyDescent="0.3">
      <c r="A56" s="213" t="s">
        <v>643</v>
      </c>
      <c r="B56" s="206" t="s">
        <v>679</v>
      </c>
      <c r="C56" s="240"/>
      <c r="D56" s="292" t="s">
        <v>77</v>
      </c>
      <c r="E56" s="292"/>
      <c r="F56" s="292"/>
      <c r="G56" s="292"/>
      <c r="H56" s="212">
        <f>IF(C56&lt;&gt;"",'CBL Score Standard'!$D114,IF(D56&lt;&gt;"",SUM('CBL Score Standard'!$D114:$E114),IF(E56&lt;&gt;"",SUM('CBL Score Standard'!$D114:$F114),IF(F56&lt;&gt;"",SUM('CBL Score Standard'!$D114:$G114),IF(G56&lt;&gt;"",SUM('CBL Score Standard'!$D114:$H114,0))))))</f>
        <v>4.878048780487805E-2</v>
      </c>
      <c r="I56" s="182" t="str">
        <f t="shared" si="2"/>
        <v>Passed</v>
      </c>
      <c r="J56" s="182">
        <f t="shared" si="3"/>
        <v>0</v>
      </c>
      <c r="K56" s="107"/>
      <c r="L56" s="107"/>
      <c r="M56" s="284" t="s">
        <v>8</v>
      </c>
      <c r="N56" s="285" t="s">
        <v>55</v>
      </c>
      <c r="O56" s="279" t="s">
        <v>236</v>
      </c>
      <c r="P56" s="286" t="s">
        <v>228</v>
      </c>
      <c r="Q56" s="286" t="s">
        <v>673</v>
      </c>
      <c r="R56" s="286"/>
      <c r="S56" s="237"/>
      <c r="T56" s="107"/>
      <c r="U56" s="107"/>
      <c r="V56" s="107"/>
      <c r="W56" s="107"/>
      <c r="X56" s="107"/>
    </row>
    <row r="57" spans="1:24" ht="26.4" x14ac:dyDescent="0.3">
      <c r="A57" s="213" t="s">
        <v>643</v>
      </c>
      <c r="B57" s="206" t="s">
        <v>186</v>
      </c>
      <c r="C57" s="240"/>
      <c r="D57" s="292" t="s">
        <v>77</v>
      </c>
      <c r="E57" s="292"/>
      <c r="F57" s="292"/>
      <c r="G57" s="292"/>
      <c r="H57" s="212">
        <f>IF(C57&lt;&gt;"",'CBL Score Standard'!$D115,IF(D57&lt;&gt;"",SUM('CBL Score Standard'!$D115:$E115),IF(E57&lt;&gt;"",SUM('CBL Score Standard'!$D115:$F115),IF(F57&lt;&gt;"",SUM('CBL Score Standard'!$D115:$G115),IF(G57&lt;&gt;"",SUM('CBL Score Standard'!$D115:$H115,0))))))</f>
        <v>4.878048780487805E-2</v>
      </c>
      <c r="I57" s="182" t="str">
        <f t="shared" si="2"/>
        <v>Passed</v>
      </c>
      <c r="J57" s="182">
        <f t="shared" si="3"/>
        <v>0</v>
      </c>
      <c r="K57" s="107"/>
      <c r="L57" s="107"/>
      <c r="M57" s="284" t="s">
        <v>8</v>
      </c>
      <c r="N57" s="285" t="s">
        <v>53</v>
      </c>
      <c r="O57" s="279" t="s">
        <v>670</v>
      </c>
      <c r="P57" s="286" t="s">
        <v>228</v>
      </c>
      <c r="Q57" s="286" t="s">
        <v>674</v>
      </c>
      <c r="R57" s="286"/>
      <c r="S57" s="107"/>
      <c r="T57" s="107"/>
      <c r="U57" s="107"/>
      <c r="V57" s="107"/>
      <c r="W57" s="107"/>
      <c r="X57" s="107"/>
    </row>
    <row r="58" spans="1:24" x14ac:dyDescent="0.3">
      <c r="A58" s="213" t="s">
        <v>643</v>
      </c>
      <c r="B58" s="111" t="s">
        <v>644</v>
      </c>
      <c r="C58" s="291"/>
      <c r="D58" s="291" t="s">
        <v>77</v>
      </c>
      <c r="E58" s="291"/>
      <c r="F58" s="291"/>
      <c r="G58" s="291"/>
      <c r="H58" s="212">
        <f>IF(C58&lt;&gt;"",'CBL Score Standard'!$D116,IF(D58&lt;&gt;"",SUM('CBL Score Standard'!$D116:$E116),IF(E58&lt;&gt;"",SUM('CBL Score Standard'!$D116:$F116),IF(F58&lt;&gt;"",SUM('CBL Score Standard'!$D116:$G116),IF(G58&lt;&gt;"",SUM('CBL Score Standard'!$D116:$H116,0))))))</f>
        <v>2.4390243902439025E-2</v>
      </c>
      <c r="I58" s="182" t="str">
        <f t="shared" si="2"/>
        <v>Passed</v>
      </c>
      <c r="J58" s="182">
        <f t="shared" si="3"/>
        <v>0</v>
      </c>
      <c r="K58" s="107"/>
      <c r="L58" s="107"/>
      <c r="M58" s="284" t="s">
        <v>8</v>
      </c>
      <c r="N58" s="285" t="s">
        <v>59</v>
      </c>
      <c r="O58" s="279" t="s">
        <v>237</v>
      </c>
      <c r="P58" s="286" t="s">
        <v>228</v>
      </c>
      <c r="Q58" s="286" t="s">
        <v>675</v>
      </c>
      <c r="R58" s="286"/>
      <c r="S58" s="107"/>
      <c r="T58" s="107"/>
      <c r="U58" s="307"/>
      <c r="V58" s="107"/>
      <c r="W58" s="107"/>
      <c r="X58" s="107"/>
    </row>
    <row r="59" spans="1:24" ht="26.4" x14ac:dyDescent="0.3">
      <c r="A59" s="213" t="s">
        <v>643</v>
      </c>
      <c r="B59" s="206" t="s">
        <v>189</v>
      </c>
      <c r="C59" s="240"/>
      <c r="D59" s="240" t="s">
        <v>77</v>
      </c>
      <c r="E59" s="292"/>
      <c r="F59" s="292"/>
      <c r="G59" s="292"/>
      <c r="H59" s="212">
        <f>IF(C59&lt;&gt;"",'CBL Score Standard'!$D117,IF(D59&lt;&gt;"",SUM('CBL Score Standard'!$D117:$E117),IF(E59&lt;&gt;"",SUM('CBL Score Standard'!$D117:$F117),IF(F59&lt;&gt;"",SUM('CBL Score Standard'!$D117:$G117),IF(G59&lt;&gt;"",SUM('CBL Score Standard'!$D117:$H117,0))))))</f>
        <v>2.4390243902439025E-2</v>
      </c>
      <c r="I59" s="182" t="str">
        <f t="shared" si="2"/>
        <v>Passed</v>
      </c>
      <c r="J59" s="182">
        <f t="shared" si="3"/>
        <v>0</v>
      </c>
      <c r="K59" s="107"/>
      <c r="L59" s="107"/>
      <c r="M59" s="284" t="s">
        <v>8</v>
      </c>
      <c r="N59" s="285" t="s">
        <v>55</v>
      </c>
      <c r="O59" s="279" t="s">
        <v>473</v>
      </c>
      <c r="P59" s="286" t="s">
        <v>228</v>
      </c>
      <c r="Q59" s="286" t="s">
        <v>672</v>
      </c>
      <c r="R59" s="286"/>
      <c r="S59" s="107"/>
      <c r="T59" s="107"/>
      <c r="U59" s="307"/>
      <c r="V59" s="107"/>
      <c r="W59" s="107"/>
      <c r="X59" s="107"/>
    </row>
    <row r="60" spans="1:24" x14ac:dyDescent="0.3">
      <c r="A60" s="213" t="s">
        <v>643</v>
      </c>
      <c r="B60" s="206" t="s">
        <v>739</v>
      </c>
      <c r="C60" s="240"/>
      <c r="D60" s="240"/>
      <c r="E60" s="292"/>
      <c r="F60" s="292"/>
      <c r="G60" s="292"/>
      <c r="H60" s="212"/>
      <c r="I60" s="182">
        <f t="shared" ref="I60:I65" si="4">VLOOKUP(B61,$O$4:$W$64,8,0)</f>
        <v>0</v>
      </c>
      <c r="J60" s="182">
        <f t="shared" ref="J60:J65" si="5">VLOOKUP(B61,$O$4:$W$64,9,0)</f>
        <v>0</v>
      </c>
      <c r="K60" s="107"/>
      <c r="L60" s="107"/>
      <c r="M60" s="284" t="s">
        <v>8</v>
      </c>
      <c r="N60" s="285" t="s">
        <v>148</v>
      </c>
      <c r="O60" s="279" t="s">
        <v>360</v>
      </c>
      <c r="P60" s="286" t="s">
        <v>228</v>
      </c>
      <c r="Q60" s="286" t="s">
        <v>676</v>
      </c>
      <c r="R60" s="286" t="s">
        <v>216</v>
      </c>
      <c r="S60" s="107"/>
      <c r="T60" s="107"/>
      <c r="U60" s="107"/>
      <c r="V60" s="107"/>
      <c r="W60" s="107"/>
      <c r="X60" s="107"/>
    </row>
    <row r="61" spans="1:24" ht="13.8" x14ac:dyDescent="0.25">
      <c r="A61" s="150" t="s">
        <v>56</v>
      </c>
      <c r="B61" s="206" t="s">
        <v>383</v>
      </c>
      <c r="C61" s="240" t="s">
        <v>77</v>
      </c>
      <c r="D61" s="240"/>
      <c r="E61" s="292"/>
      <c r="F61" s="292"/>
      <c r="G61" s="292"/>
      <c r="H61" s="212">
        <f>IF(C61&lt;&gt;"",'CBL Score Standard'!$D118,IF(D61&lt;&gt;"",SUM('CBL Score Standard'!$D118:$E118),IF(E61&lt;&gt;"",SUM('CBL Score Standard'!$D118:$F118),IF(F61&lt;&gt;"",SUM('CBL Score Standard'!$D118:$G118),IF(G61&lt;&gt;"",SUM('CBL Score Standard'!$D118:$H118,0))))))</f>
        <v>0</v>
      </c>
      <c r="I61" s="182">
        <f t="shared" si="4"/>
        <v>0</v>
      </c>
      <c r="J61" s="182">
        <f t="shared" si="5"/>
        <v>0</v>
      </c>
      <c r="K61" s="107" t="s">
        <v>141</v>
      </c>
      <c r="L61" s="107" t="s">
        <v>142</v>
      </c>
      <c r="M61" s="287" t="s">
        <v>9</v>
      </c>
      <c r="N61" s="288" t="s">
        <v>233</v>
      </c>
      <c r="O61" s="289" t="s">
        <v>241</v>
      </c>
      <c r="P61" s="305"/>
      <c r="Q61" s="26"/>
      <c r="R61" s="26"/>
      <c r="S61" s="107"/>
      <c r="T61" s="107"/>
      <c r="U61" s="107"/>
      <c r="V61" s="107"/>
      <c r="W61" s="107"/>
      <c r="X61" s="107"/>
    </row>
    <row r="62" spans="1:24" ht="26.4" x14ac:dyDescent="0.25">
      <c r="A62" s="213" t="s">
        <v>56</v>
      </c>
      <c r="B62" s="206" t="s">
        <v>385</v>
      </c>
      <c r="C62" s="240"/>
      <c r="D62" s="240"/>
      <c r="E62" s="240"/>
      <c r="F62" s="292"/>
      <c r="G62" s="292"/>
      <c r="H62" s="212" t="b">
        <f>IF(C62&lt;&gt;"",'CBL Score Standard'!$D119,IF(D62&lt;&gt;"",SUM('CBL Score Standard'!$D119:$E119),IF(E62&lt;&gt;"",SUM('CBL Score Standard'!$D119:$F119),IF(F62&lt;&gt;"",SUM('CBL Score Standard'!$D119:$G119),IF(G62&lt;&gt;"",SUM('CBL Score Standard'!$D119:$H119,0))))))</f>
        <v>0</v>
      </c>
      <c r="I62" s="182" t="e">
        <f t="shared" si="4"/>
        <v>#N/A</v>
      </c>
      <c r="J62" s="182" t="e">
        <f t="shared" si="5"/>
        <v>#N/A</v>
      </c>
      <c r="K62" s="107"/>
      <c r="L62" s="107"/>
      <c r="M62" s="287" t="s">
        <v>9</v>
      </c>
      <c r="N62" s="288" t="s">
        <v>227</v>
      </c>
      <c r="O62" s="289" t="s">
        <v>242</v>
      </c>
      <c r="P62" s="305"/>
      <c r="Q62" s="26"/>
      <c r="R62" s="26"/>
      <c r="S62" s="107"/>
      <c r="T62" s="107"/>
      <c r="U62" s="107"/>
      <c r="V62" s="107"/>
      <c r="W62" s="107"/>
      <c r="X62" s="107"/>
    </row>
    <row r="63" spans="1:24" ht="12.75" customHeight="1" x14ac:dyDescent="0.25">
      <c r="A63" s="213" t="s">
        <v>56</v>
      </c>
      <c r="B63" s="206" t="s">
        <v>235</v>
      </c>
      <c r="C63" s="240"/>
      <c r="D63" s="240"/>
      <c r="E63" s="240"/>
      <c r="F63" s="292"/>
      <c r="G63" s="292"/>
      <c r="H63" s="212" t="b">
        <f>IF(C63&lt;&gt;"",'CBL Score Standard'!$D120,IF(D63&lt;&gt;"",SUM('CBL Score Standard'!$D120:$E120),IF(E63&lt;&gt;"",SUM('CBL Score Standard'!$D120:$F120),IF(F63&lt;&gt;"",SUM('CBL Score Standard'!$D120:$G120),IF(G63&lt;&gt;"",SUM('CBL Score Standard'!$D120:$H120,0))))))</f>
        <v>0</v>
      </c>
      <c r="I63" s="182">
        <f t="shared" si="4"/>
        <v>0</v>
      </c>
      <c r="J63" s="182">
        <f t="shared" si="5"/>
        <v>0</v>
      </c>
      <c r="K63" s="107"/>
      <c r="L63" s="107"/>
      <c r="M63" s="287" t="s">
        <v>9</v>
      </c>
      <c r="N63" s="288" t="s">
        <v>3</v>
      </c>
      <c r="O63" s="289" t="s">
        <v>474</v>
      </c>
      <c r="P63" s="305"/>
      <c r="Q63" s="26"/>
      <c r="R63" s="26"/>
      <c r="S63" s="107"/>
      <c r="T63" s="107"/>
      <c r="U63" s="107"/>
      <c r="V63" s="107"/>
      <c r="W63" s="107"/>
      <c r="X63" s="107"/>
    </row>
    <row r="64" spans="1:24" ht="13.8" x14ac:dyDescent="0.25">
      <c r="A64" s="213" t="s">
        <v>59</v>
      </c>
      <c r="B64" s="206" t="s">
        <v>237</v>
      </c>
      <c r="C64" s="240"/>
      <c r="D64" s="240"/>
      <c r="E64" s="240"/>
      <c r="F64" s="292"/>
      <c r="G64" s="292"/>
      <c r="H64" s="212" t="b">
        <f>IF(C64&lt;&gt;"",'CBL Score Standard'!$D121,IF(D64&lt;&gt;"",SUM('CBL Score Standard'!$D121:$E121),IF(E64&lt;&gt;"",SUM('CBL Score Standard'!$D121:$F121),IF(F64&lt;&gt;"",SUM('CBL Score Standard'!$D121:$G121),IF(G64&lt;&gt;"",SUM('CBL Score Standard'!$D121:$H121,0))))))</f>
        <v>0</v>
      </c>
      <c r="I64" s="182" t="e">
        <f t="shared" si="4"/>
        <v>#N/A</v>
      </c>
      <c r="J64" s="182" t="e">
        <f t="shared" si="5"/>
        <v>#N/A</v>
      </c>
      <c r="K64" s="107"/>
      <c r="L64" s="107"/>
      <c r="M64" s="287" t="s">
        <v>9</v>
      </c>
      <c r="N64" s="288" t="s">
        <v>3</v>
      </c>
      <c r="O64" s="289" t="s">
        <v>243</v>
      </c>
      <c r="P64" s="305"/>
      <c r="Q64" s="26"/>
      <c r="R64" s="26"/>
      <c r="S64" s="107"/>
      <c r="T64" s="107"/>
      <c r="U64" s="107"/>
      <c r="V64" s="107"/>
      <c r="W64" s="107"/>
      <c r="X64" s="107"/>
    </row>
    <row r="65" spans="1:18" x14ac:dyDescent="0.3">
      <c r="A65" s="213" t="s">
        <v>56</v>
      </c>
      <c r="B65" s="206" t="s">
        <v>67</v>
      </c>
      <c r="C65" s="240"/>
      <c r="D65" s="240"/>
      <c r="E65" s="292"/>
      <c r="F65" s="292"/>
      <c r="G65" s="292"/>
      <c r="H65" s="212" t="b">
        <f>IF(C65&lt;&gt;"",'CBL Score Standard'!$D122,IF(D65&lt;&gt;"",SUM('CBL Score Standard'!$D122:$E122),IF(E65&lt;&gt;"",SUM('CBL Score Standard'!$D122:$F122),IF(F65&lt;&gt;"",SUM('CBL Score Standard'!$D122:$G122),IF(G65&lt;&gt;"",SUM('CBL Score Standard'!$D122:$H122,0))))))</f>
        <v>0</v>
      </c>
      <c r="I65" s="182">
        <f t="shared" si="4"/>
        <v>0</v>
      </c>
      <c r="J65" s="182">
        <f t="shared" si="5"/>
        <v>0</v>
      </c>
      <c r="K65" s="205"/>
      <c r="L65" s="205"/>
      <c r="M65" s="205"/>
      <c r="N65" s="306"/>
      <c r="O65" s="205"/>
      <c r="P65" s="205"/>
      <c r="Q65" s="205"/>
      <c r="R65" s="205"/>
    </row>
    <row r="66" spans="1:18" ht="15" thickBot="1" x14ac:dyDescent="0.35">
      <c r="A66" s="214" t="s">
        <v>55</v>
      </c>
      <c r="B66" s="206" t="s">
        <v>1</v>
      </c>
      <c r="C66" s="240"/>
      <c r="D66" s="240"/>
      <c r="E66" s="292"/>
      <c r="F66" s="292"/>
      <c r="G66" s="292"/>
      <c r="H66" s="212" t="b">
        <f>IF(C66&lt;&gt;"",'CBL Score Standard'!$D123,IF(D66&lt;&gt;"",SUM('CBL Score Standard'!$D123:$E123),IF(E66&lt;&gt;"",SUM('CBL Score Standard'!$D123:$F123),IF(F66&lt;&gt;"",SUM('CBL Score Standard'!$D123:$G123),IF(G66&lt;&gt;"",SUM('CBL Score Standard'!$D123:$H123,0))))))</f>
        <v>0</v>
      </c>
      <c r="K66" s="205"/>
      <c r="L66" s="205"/>
      <c r="M66" s="205"/>
      <c r="N66" s="306"/>
      <c r="O66" s="205"/>
      <c r="P66" s="205"/>
      <c r="Q66" s="205"/>
      <c r="R66" s="205"/>
    </row>
    <row r="67" spans="1:18" ht="15" thickBot="1" x14ac:dyDescent="0.35">
      <c r="A67" s="362" t="s">
        <v>79</v>
      </c>
      <c r="B67" s="363"/>
      <c r="C67" s="364"/>
      <c r="D67" s="364"/>
      <c r="E67" s="364"/>
      <c r="F67" s="364"/>
      <c r="G67" s="364"/>
      <c r="H67" s="183">
        <f>SUM(H8:H64)</f>
        <v>1.5162601626016261</v>
      </c>
      <c r="K67" s="205"/>
      <c r="L67" s="205"/>
      <c r="M67" s="205"/>
      <c r="N67" s="306"/>
      <c r="O67" s="205"/>
      <c r="P67" s="205"/>
      <c r="Q67" s="205"/>
      <c r="R67" s="205"/>
    </row>
    <row r="68" spans="1:18" ht="15" thickBot="1" x14ac:dyDescent="0.35">
      <c r="A68" s="215" t="s">
        <v>83</v>
      </c>
      <c r="B68" s="216"/>
      <c r="C68" s="225">
        <v>0.72727272727272729</v>
      </c>
      <c r="D68" s="225">
        <v>0.35</v>
      </c>
      <c r="E68" s="225">
        <v>0</v>
      </c>
      <c r="F68" s="225">
        <v>0</v>
      </c>
      <c r="G68" s="225">
        <v>0</v>
      </c>
      <c r="H68" s="217">
        <v>0</v>
      </c>
      <c r="K68" s="205"/>
      <c r="L68" s="205"/>
      <c r="M68" s="205"/>
      <c r="N68" s="306"/>
      <c r="O68" s="205"/>
      <c r="P68" s="205"/>
      <c r="Q68" s="205"/>
      <c r="R68" s="205"/>
    </row>
    <row r="69" spans="1:18" ht="15" thickBot="1" x14ac:dyDescent="0.35">
      <c r="A69" s="365" t="s">
        <v>81</v>
      </c>
      <c r="B69" s="366"/>
      <c r="C69" s="367"/>
      <c r="D69" s="367"/>
      <c r="E69" s="367"/>
      <c r="F69" s="367"/>
      <c r="G69" s="368"/>
      <c r="H69" s="218">
        <v>0</v>
      </c>
    </row>
    <row r="70" spans="1:18" x14ac:dyDescent="0.3">
      <c r="C70" s="180"/>
      <c r="D70" s="180"/>
      <c r="E70" s="180"/>
      <c r="F70" s="180"/>
      <c r="G70" s="180"/>
    </row>
    <row r="71" spans="1:18" x14ac:dyDescent="0.3">
      <c r="B71" s="180"/>
      <c r="C71" s="180"/>
      <c r="D71" s="180"/>
      <c r="E71" s="180"/>
      <c r="F71" s="180"/>
      <c r="G71" s="180"/>
    </row>
    <row r="72" spans="1:18" x14ac:dyDescent="0.3">
      <c r="B72" s="180"/>
      <c r="C72" s="180"/>
      <c r="D72" s="180"/>
      <c r="E72" s="180"/>
      <c r="F72" s="180"/>
      <c r="G72" s="180"/>
    </row>
    <row r="73" spans="1:18" x14ac:dyDescent="0.3">
      <c r="B73" s="180"/>
      <c r="C73" s="180"/>
      <c r="D73" s="180"/>
      <c r="E73" s="180"/>
      <c r="F73" s="180"/>
      <c r="G73" s="180"/>
    </row>
    <row r="74" spans="1:18" x14ac:dyDescent="0.3">
      <c r="B74" s="180"/>
      <c r="C74" s="180"/>
      <c r="D74" s="180"/>
      <c r="E74" s="180"/>
      <c r="F74" s="180"/>
      <c r="G74" s="180"/>
    </row>
    <row r="75" spans="1:18" ht="12.75" customHeight="1" x14ac:dyDescent="0.3">
      <c r="B75" s="180"/>
      <c r="C75" s="180"/>
      <c r="D75" s="180"/>
      <c r="E75" s="180"/>
      <c r="F75" s="180"/>
      <c r="G75" s="180"/>
    </row>
    <row r="76" spans="1:18" x14ac:dyDescent="0.3">
      <c r="B76" s="180"/>
      <c r="C76" s="180"/>
      <c r="D76" s="180"/>
      <c r="E76" s="180"/>
      <c r="F76" s="180"/>
      <c r="G76" s="180"/>
    </row>
    <row r="77" spans="1:18" x14ac:dyDescent="0.3">
      <c r="B77" s="180"/>
      <c r="C77" s="180"/>
      <c r="D77" s="180"/>
      <c r="E77" s="180"/>
      <c r="F77" s="180"/>
      <c r="G77" s="180"/>
    </row>
    <row r="78" spans="1:18" x14ac:dyDescent="0.3">
      <c r="B78" s="180"/>
      <c r="C78" s="180"/>
      <c r="D78" s="180"/>
      <c r="E78" s="180"/>
      <c r="F78" s="180"/>
      <c r="G78" s="180"/>
    </row>
    <row r="79" spans="1:18" x14ac:dyDescent="0.3">
      <c r="B79" s="180"/>
      <c r="C79" s="180"/>
      <c r="D79" s="180"/>
      <c r="E79" s="180"/>
      <c r="F79" s="180"/>
      <c r="G79" s="180"/>
    </row>
    <row r="80" spans="1:18" x14ac:dyDescent="0.3">
      <c r="B80" s="180"/>
      <c r="C80" s="180"/>
      <c r="D80" s="180"/>
      <c r="E80" s="180"/>
      <c r="F80" s="180"/>
      <c r="G80" s="180"/>
    </row>
    <row r="81" spans="2:7" x14ac:dyDescent="0.3">
      <c r="B81" s="180"/>
      <c r="C81" s="180"/>
      <c r="D81" s="180"/>
      <c r="E81" s="180"/>
      <c r="F81" s="180"/>
      <c r="G81" s="180"/>
    </row>
    <row r="82" spans="2:7" x14ac:dyDescent="0.3">
      <c r="B82" s="180"/>
      <c r="C82" s="180"/>
      <c r="D82" s="180"/>
      <c r="E82" s="180"/>
      <c r="F82" s="180"/>
      <c r="G82" s="180"/>
    </row>
    <row r="83" spans="2:7" x14ac:dyDescent="0.3">
      <c r="B83" s="180"/>
      <c r="C83" s="180"/>
      <c r="D83" s="180"/>
      <c r="E83" s="180"/>
      <c r="F83" s="180"/>
      <c r="G83" s="180"/>
    </row>
    <row r="84" spans="2:7" x14ac:dyDescent="0.3">
      <c r="B84" s="180"/>
      <c r="C84" s="180"/>
      <c r="D84" s="180"/>
      <c r="E84" s="180"/>
      <c r="F84" s="180"/>
      <c r="G84" s="180"/>
    </row>
    <row r="85" spans="2:7" x14ac:dyDescent="0.3">
      <c r="B85" s="180"/>
      <c r="C85" s="180"/>
      <c r="D85" s="180"/>
      <c r="E85" s="180"/>
      <c r="F85" s="180"/>
      <c r="G85" s="180"/>
    </row>
    <row r="86" spans="2:7" x14ac:dyDescent="0.3">
      <c r="B86" s="180"/>
      <c r="C86" s="180"/>
      <c r="D86" s="180"/>
      <c r="E86" s="180"/>
      <c r="F86" s="180"/>
      <c r="G86" s="180"/>
    </row>
    <row r="87" spans="2:7" x14ac:dyDescent="0.3">
      <c r="B87" s="180"/>
      <c r="C87" s="180"/>
      <c r="D87" s="180"/>
      <c r="E87" s="180"/>
      <c r="F87" s="180"/>
      <c r="G87" s="180"/>
    </row>
    <row r="88" spans="2:7" x14ac:dyDescent="0.3">
      <c r="B88" s="180"/>
      <c r="C88" s="180"/>
      <c r="D88" s="180"/>
      <c r="E88" s="180"/>
      <c r="F88" s="180"/>
      <c r="G88" s="180"/>
    </row>
    <row r="89" spans="2:7" x14ac:dyDescent="0.3">
      <c r="B89" s="180"/>
      <c r="C89" s="180"/>
      <c r="D89" s="180"/>
      <c r="E89" s="180"/>
      <c r="F89" s="180"/>
      <c r="G89" s="180"/>
    </row>
    <row r="90" spans="2:7" x14ac:dyDescent="0.3">
      <c r="B90" s="180"/>
      <c r="C90" s="180"/>
      <c r="D90" s="180"/>
      <c r="E90" s="180"/>
      <c r="F90" s="180"/>
      <c r="G90" s="180"/>
    </row>
    <row r="91" spans="2:7" x14ac:dyDescent="0.3">
      <c r="B91" s="180"/>
      <c r="C91" s="180"/>
      <c r="D91" s="180"/>
      <c r="E91" s="180"/>
      <c r="F91" s="180"/>
      <c r="G91" s="180"/>
    </row>
    <row r="92" spans="2:7" x14ac:dyDescent="0.3">
      <c r="B92" s="180"/>
      <c r="C92" s="180"/>
      <c r="D92" s="180"/>
      <c r="E92" s="180"/>
      <c r="F92" s="180"/>
      <c r="G92" s="180"/>
    </row>
    <row r="93" spans="2:7" x14ac:dyDescent="0.3">
      <c r="B93" s="180"/>
      <c r="C93" s="180"/>
      <c r="D93" s="180"/>
      <c r="E93" s="180"/>
      <c r="F93" s="180"/>
      <c r="G93" s="180"/>
    </row>
    <row r="94" spans="2:7" x14ac:dyDescent="0.3">
      <c r="B94" s="180"/>
      <c r="C94" s="180"/>
      <c r="D94" s="180"/>
      <c r="E94" s="180"/>
      <c r="F94" s="180"/>
      <c r="G94" s="180"/>
    </row>
    <row r="95" spans="2:7" x14ac:dyDescent="0.3">
      <c r="B95" s="180"/>
      <c r="C95" s="180"/>
      <c r="D95" s="180"/>
      <c r="E95" s="180"/>
      <c r="F95" s="180"/>
      <c r="G95" s="180"/>
    </row>
    <row r="96" spans="2:7" x14ac:dyDescent="0.3">
      <c r="B96" s="180"/>
      <c r="C96" s="180"/>
      <c r="D96" s="180"/>
      <c r="E96" s="180"/>
      <c r="F96" s="180"/>
      <c r="G96" s="180"/>
    </row>
    <row r="97" spans="2:7" x14ac:dyDescent="0.3">
      <c r="B97" s="180"/>
      <c r="C97" s="180"/>
      <c r="D97" s="180"/>
      <c r="E97" s="180"/>
      <c r="F97" s="180"/>
      <c r="G97" s="180"/>
    </row>
    <row r="98" spans="2:7" x14ac:dyDescent="0.3">
      <c r="B98" s="180"/>
      <c r="C98" s="180"/>
      <c r="D98" s="180"/>
      <c r="E98" s="180"/>
      <c r="F98" s="180"/>
      <c r="G98" s="180"/>
    </row>
    <row r="99" spans="2:7" x14ac:dyDescent="0.3">
      <c r="B99" s="180"/>
      <c r="C99" s="180"/>
      <c r="D99" s="180"/>
      <c r="E99" s="180"/>
      <c r="F99" s="180"/>
      <c r="G99" s="180"/>
    </row>
    <row r="100" spans="2:7" x14ac:dyDescent="0.3">
      <c r="B100" s="180"/>
      <c r="C100" s="180"/>
      <c r="D100" s="180"/>
      <c r="E100" s="180"/>
      <c r="F100" s="180"/>
      <c r="G100" s="180"/>
    </row>
    <row r="101" spans="2:7" x14ac:dyDescent="0.3">
      <c r="B101" s="180"/>
      <c r="C101" s="180"/>
      <c r="D101" s="180"/>
      <c r="E101" s="180"/>
      <c r="F101" s="180"/>
      <c r="G101" s="180"/>
    </row>
    <row r="102" spans="2:7" x14ac:dyDescent="0.3">
      <c r="B102" s="180"/>
      <c r="C102" s="180"/>
      <c r="D102" s="180"/>
      <c r="E102" s="180"/>
      <c r="F102" s="180"/>
      <c r="G102" s="180"/>
    </row>
    <row r="103" spans="2:7" x14ac:dyDescent="0.3">
      <c r="B103" s="180"/>
      <c r="C103" s="180"/>
      <c r="D103" s="180"/>
      <c r="E103" s="180"/>
      <c r="F103" s="180"/>
      <c r="G103" s="180"/>
    </row>
    <row r="104" spans="2:7" x14ac:dyDescent="0.3">
      <c r="B104" s="180"/>
      <c r="C104" s="180"/>
      <c r="D104" s="180"/>
      <c r="E104" s="180"/>
      <c r="F104" s="180"/>
      <c r="G104" s="180"/>
    </row>
    <row r="105" spans="2:7" x14ac:dyDescent="0.3">
      <c r="B105" s="180"/>
      <c r="C105" s="180"/>
      <c r="D105" s="180"/>
      <c r="E105" s="180"/>
      <c r="F105" s="180"/>
      <c r="G105" s="180"/>
    </row>
    <row r="106" spans="2:7" x14ac:dyDescent="0.3">
      <c r="B106" s="180"/>
      <c r="C106" s="180"/>
      <c r="D106" s="180"/>
      <c r="E106" s="180"/>
      <c r="F106" s="180"/>
      <c r="G106" s="180"/>
    </row>
    <row r="107" spans="2:7" x14ac:dyDescent="0.3">
      <c r="B107" s="180"/>
      <c r="C107" s="180"/>
      <c r="D107" s="180"/>
      <c r="E107" s="180"/>
      <c r="F107" s="180"/>
      <c r="G107" s="180"/>
    </row>
    <row r="108" spans="2:7" x14ac:dyDescent="0.3">
      <c r="B108" s="180"/>
      <c r="C108" s="180"/>
      <c r="D108" s="180"/>
      <c r="E108" s="180"/>
      <c r="F108" s="180"/>
      <c r="G108" s="180"/>
    </row>
    <row r="109" spans="2:7" x14ac:dyDescent="0.3">
      <c r="B109" s="180"/>
      <c r="C109" s="180"/>
      <c r="D109" s="180"/>
      <c r="E109" s="180"/>
      <c r="F109" s="180"/>
      <c r="G109" s="180"/>
    </row>
    <row r="110" spans="2:7" x14ac:dyDescent="0.3">
      <c r="B110" s="180"/>
      <c r="C110" s="180"/>
      <c r="D110" s="180"/>
      <c r="E110" s="180"/>
      <c r="F110" s="180"/>
      <c r="G110" s="180"/>
    </row>
    <row r="111" spans="2:7" x14ac:dyDescent="0.3">
      <c r="B111" s="180"/>
      <c r="C111" s="180"/>
      <c r="D111" s="180"/>
      <c r="E111" s="180"/>
      <c r="F111" s="180"/>
      <c r="G111" s="180"/>
    </row>
    <row r="112" spans="2:7" x14ac:dyDescent="0.3">
      <c r="B112" s="180"/>
      <c r="C112" s="180"/>
      <c r="D112" s="180"/>
      <c r="E112" s="180"/>
      <c r="F112" s="180"/>
      <c r="G112" s="180"/>
    </row>
    <row r="113" spans="2:7" x14ac:dyDescent="0.3">
      <c r="B113" s="180"/>
      <c r="C113" s="180"/>
      <c r="D113" s="180"/>
      <c r="E113" s="180"/>
      <c r="F113" s="180"/>
      <c r="G113" s="180"/>
    </row>
    <row r="114" spans="2:7" x14ac:dyDescent="0.3">
      <c r="B114" s="180"/>
      <c r="C114" s="180"/>
      <c r="D114" s="180"/>
      <c r="E114" s="180"/>
      <c r="F114" s="180"/>
      <c r="G114" s="180"/>
    </row>
    <row r="115" spans="2:7" x14ac:dyDescent="0.3">
      <c r="B115" s="180"/>
      <c r="C115" s="180"/>
      <c r="D115" s="180"/>
      <c r="E115" s="180"/>
      <c r="F115" s="180"/>
      <c r="G115" s="180"/>
    </row>
    <row r="116" spans="2:7" x14ac:dyDescent="0.3">
      <c r="B116" s="180"/>
      <c r="C116" s="180"/>
      <c r="D116" s="180"/>
      <c r="E116" s="180"/>
      <c r="F116" s="180"/>
      <c r="G116" s="180"/>
    </row>
    <row r="117" spans="2:7" x14ac:dyDescent="0.3">
      <c r="B117" s="180"/>
      <c r="C117" s="180"/>
      <c r="D117" s="180"/>
      <c r="E117" s="180"/>
      <c r="F117" s="180"/>
      <c r="G117" s="180"/>
    </row>
    <row r="118" spans="2:7" x14ac:dyDescent="0.3">
      <c r="B118" s="180"/>
      <c r="C118" s="180"/>
      <c r="D118" s="180"/>
      <c r="E118" s="180"/>
      <c r="F118" s="180"/>
      <c r="G118" s="180"/>
    </row>
    <row r="119" spans="2:7" x14ac:dyDescent="0.3">
      <c r="B119" s="180"/>
      <c r="C119" s="180"/>
      <c r="D119" s="180"/>
      <c r="E119" s="180"/>
      <c r="F119" s="180"/>
      <c r="G119" s="180"/>
    </row>
    <row r="120" spans="2:7" x14ac:dyDescent="0.3">
      <c r="B120" s="180"/>
      <c r="C120" s="180"/>
      <c r="D120" s="180"/>
      <c r="E120" s="180"/>
      <c r="F120" s="180"/>
      <c r="G120" s="180"/>
    </row>
    <row r="121" spans="2:7" x14ac:dyDescent="0.3">
      <c r="B121" s="180"/>
      <c r="C121" s="180"/>
      <c r="D121" s="180"/>
      <c r="E121" s="180"/>
      <c r="F121" s="180"/>
      <c r="G121" s="180"/>
    </row>
    <row r="122" spans="2:7" x14ac:dyDescent="0.3">
      <c r="B122" s="180"/>
      <c r="C122" s="180"/>
      <c r="D122" s="180"/>
      <c r="E122" s="180"/>
      <c r="F122" s="180"/>
      <c r="G122" s="180"/>
    </row>
    <row r="123" spans="2:7" x14ac:dyDescent="0.3">
      <c r="B123" s="180"/>
      <c r="C123" s="180"/>
      <c r="D123" s="180"/>
      <c r="E123" s="180"/>
      <c r="F123" s="180"/>
      <c r="G123" s="180"/>
    </row>
    <row r="124" spans="2:7" x14ac:dyDescent="0.3">
      <c r="B124" s="180"/>
      <c r="C124" s="180"/>
      <c r="D124" s="180"/>
      <c r="E124" s="180"/>
      <c r="F124" s="180"/>
      <c r="G124" s="180"/>
    </row>
    <row r="125" spans="2:7" x14ac:dyDescent="0.3">
      <c r="B125" s="180"/>
      <c r="C125" s="180"/>
      <c r="D125" s="180"/>
      <c r="E125" s="180"/>
      <c r="F125" s="180"/>
      <c r="G125" s="180"/>
    </row>
    <row r="126" spans="2:7" x14ac:dyDescent="0.3">
      <c r="C126" s="180"/>
      <c r="D126" s="180"/>
      <c r="E126" s="180"/>
      <c r="F126" s="180"/>
      <c r="G126" s="180"/>
    </row>
    <row r="127" spans="2:7" x14ac:dyDescent="0.3">
      <c r="C127" s="180"/>
      <c r="D127" s="180"/>
      <c r="E127" s="180"/>
      <c r="F127" s="180"/>
      <c r="G127" s="180"/>
    </row>
    <row r="128" spans="2:7" x14ac:dyDescent="0.3">
      <c r="C128" s="180"/>
      <c r="D128" s="180"/>
      <c r="E128" s="180"/>
      <c r="F128" s="180"/>
      <c r="G128" s="180"/>
    </row>
    <row r="129" spans="3:7" x14ac:dyDescent="0.3">
      <c r="C129" s="180"/>
      <c r="D129" s="180"/>
      <c r="E129" s="180"/>
      <c r="F129" s="180"/>
      <c r="G129" s="180"/>
    </row>
    <row r="130" spans="3:7" x14ac:dyDescent="0.3">
      <c r="C130" s="180"/>
      <c r="D130" s="180"/>
      <c r="E130" s="180"/>
      <c r="F130" s="180"/>
      <c r="G130" s="180"/>
    </row>
    <row r="131" spans="3:7" x14ac:dyDescent="0.3">
      <c r="C131" s="180"/>
      <c r="D131" s="180"/>
      <c r="E131" s="180"/>
      <c r="F131" s="180"/>
      <c r="G131" s="180"/>
    </row>
    <row r="132" spans="3:7" x14ac:dyDescent="0.3">
      <c r="C132" s="180"/>
      <c r="D132" s="180"/>
      <c r="E132" s="180"/>
      <c r="F132" s="180"/>
      <c r="G132" s="180"/>
    </row>
    <row r="133" spans="3:7" x14ac:dyDescent="0.3">
      <c r="C133" s="180"/>
      <c r="D133" s="180"/>
      <c r="E133" s="180"/>
      <c r="F133" s="180"/>
      <c r="G133" s="180"/>
    </row>
    <row r="134" spans="3:7" x14ac:dyDescent="0.3">
      <c r="C134" s="180"/>
      <c r="D134" s="180"/>
      <c r="E134" s="180"/>
      <c r="F134" s="180"/>
      <c r="G134" s="180"/>
    </row>
    <row r="135" spans="3:7" x14ac:dyDescent="0.3">
      <c r="C135" s="180"/>
      <c r="D135" s="180"/>
      <c r="E135" s="180"/>
      <c r="F135" s="180"/>
      <c r="G135" s="180"/>
    </row>
    <row r="136" spans="3:7" x14ac:dyDescent="0.3">
      <c r="C136" s="180"/>
      <c r="D136" s="180"/>
      <c r="E136" s="180"/>
      <c r="F136" s="180"/>
      <c r="G136" s="180"/>
    </row>
    <row r="137" spans="3:7" x14ac:dyDescent="0.3">
      <c r="C137" s="180"/>
      <c r="D137" s="180"/>
      <c r="E137" s="180"/>
      <c r="F137" s="180"/>
      <c r="G137" s="180"/>
    </row>
    <row r="138" spans="3:7" x14ac:dyDescent="0.3">
      <c r="C138" s="180"/>
      <c r="D138" s="180"/>
      <c r="E138" s="180"/>
      <c r="F138" s="180"/>
      <c r="G138" s="180"/>
    </row>
    <row r="139" spans="3:7" x14ac:dyDescent="0.3">
      <c r="C139" s="180"/>
      <c r="D139" s="180"/>
      <c r="E139" s="180"/>
      <c r="F139" s="180"/>
      <c r="G139" s="180"/>
    </row>
    <row r="140" spans="3:7" x14ac:dyDescent="0.3">
      <c r="C140" s="180"/>
      <c r="D140" s="180"/>
      <c r="E140" s="180"/>
      <c r="F140" s="180"/>
      <c r="G140" s="180"/>
    </row>
    <row r="141" spans="3:7" x14ac:dyDescent="0.3">
      <c r="C141" s="180"/>
      <c r="D141" s="180"/>
      <c r="E141" s="180"/>
      <c r="F141" s="180"/>
      <c r="G141" s="180"/>
    </row>
    <row r="142" spans="3:7" x14ac:dyDescent="0.3">
      <c r="C142" s="180"/>
      <c r="D142" s="180"/>
      <c r="E142" s="180"/>
      <c r="F142" s="180"/>
      <c r="G142" s="180"/>
    </row>
    <row r="143" spans="3:7" x14ac:dyDescent="0.3">
      <c r="C143" s="180"/>
      <c r="D143" s="180"/>
      <c r="E143" s="180"/>
      <c r="F143" s="180"/>
      <c r="G143" s="180"/>
    </row>
    <row r="144" spans="3:7" x14ac:dyDescent="0.3">
      <c r="C144" s="180"/>
      <c r="D144" s="180"/>
      <c r="E144" s="180"/>
      <c r="F144" s="180"/>
      <c r="G144" s="180"/>
    </row>
    <row r="145" spans="3:7" x14ac:dyDescent="0.3">
      <c r="C145" s="180"/>
      <c r="D145" s="180"/>
      <c r="E145" s="180"/>
      <c r="F145" s="180"/>
      <c r="G145" s="180"/>
    </row>
    <row r="146" spans="3:7" x14ac:dyDescent="0.3">
      <c r="C146" s="180"/>
      <c r="D146" s="180"/>
      <c r="E146" s="180"/>
      <c r="F146" s="180"/>
      <c r="G146" s="180"/>
    </row>
    <row r="147" spans="3:7" x14ac:dyDescent="0.3">
      <c r="C147" s="180"/>
      <c r="D147" s="180"/>
      <c r="E147" s="180"/>
      <c r="F147" s="180"/>
      <c r="G147" s="180"/>
    </row>
    <row r="148" spans="3:7" x14ac:dyDescent="0.3">
      <c r="C148" s="180"/>
      <c r="D148" s="180"/>
      <c r="E148" s="180"/>
      <c r="F148" s="180"/>
      <c r="G148" s="180"/>
    </row>
    <row r="149" spans="3:7" x14ac:dyDescent="0.3">
      <c r="C149" s="180"/>
      <c r="D149" s="180"/>
      <c r="E149" s="180"/>
      <c r="F149" s="180"/>
      <c r="G149" s="180"/>
    </row>
    <row r="150" spans="3:7" x14ac:dyDescent="0.3">
      <c r="C150" s="180"/>
      <c r="D150" s="180"/>
      <c r="E150" s="180"/>
      <c r="F150" s="180"/>
      <c r="G150" s="180"/>
    </row>
    <row r="151" spans="3:7" x14ac:dyDescent="0.3">
      <c r="C151" s="180"/>
      <c r="D151" s="180"/>
      <c r="E151" s="180"/>
      <c r="F151" s="180"/>
      <c r="G151" s="180"/>
    </row>
    <row r="152" spans="3:7" x14ac:dyDescent="0.3">
      <c r="C152" s="180"/>
      <c r="D152" s="180"/>
      <c r="E152" s="180"/>
      <c r="F152" s="180"/>
      <c r="G152" s="180"/>
    </row>
    <row r="153" spans="3:7" x14ac:dyDescent="0.3">
      <c r="C153" s="180"/>
      <c r="D153" s="180"/>
      <c r="E153" s="180"/>
      <c r="F153" s="180"/>
      <c r="G153" s="180"/>
    </row>
    <row r="154" spans="3:7" x14ac:dyDescent="0.3">
      <c r="C154" s="180"/>
      <c r="D154" s="180"/>
      <c r="E154" s="180"/>
      <c r="F154" s="180"/>
      <c r="G154" s="180"/>
    </row>
    <row r="155" spans="3:7" x14ac:dyDescent="0.3">
      <c r="C155" s="180"/>
      <c r="D155" s="180"/>
      <c r="E155" s="180"/>
      <c r="F155" s="180"/>
      <c r="G155" s="180"/>
    </row>
    <row r="156" spans="3:7" x14ac:dyDescent="0.3">
      <c r="C156" s="180"/>
      <c r="D156" s="180"/>
      <c r="E156" s="180"/>
      <c r="F156" s="180"/>
      <c r="G156" s="180"/>
    </row>
    <row r="157" spans="3:7" x14ac:dyDescent="0.3">
      <c r="C157" s="180"/>
      <c r="D157" s="180"/>
      <c r="E157" s="180"/>
      <c r="F157" s="180"/>
      <c r="G157" s="180"/>
    </row>
    <row r="158" spans="3:7" x14ac:dyDescent="0.3">
      <c r="C158" s="180"/>
      <c r="D158" s="180"/>
      <c r="E158" s="180"/>
      <c r="F158" s="180"/>
      <c r="G158" s="180"/>
    </row>
    <row r="159" spans="3:7" x14ac:dyDescent="0.3">
      <c r="C159" s="180"/>
      <c r="D159" s="180"/>
      <c r="E159" s="180"/>
      <c r="F159" s="180"/>
      <c r="G159" s="180"/>
    </row>
    <row r="160" spans="3:7" x14ac:dyDescent="0.3">
      <c r="C160" s="180"/>
      <c r="D160" s="180"/>
      <c r="E160" s="180"/>
      <c r="F160" s="180"/>
      <c r="G160" s="180"/>
    </row>
    <row r="161" spans="3:7" x14ac:dyDescent="0.3">
      <c r="C161" s="180"/>
      <c r="D161" s="180"/>
      <c r="E161" s="180"/>
      <c r="F161" s="180"/>
      <c r="G161" s="180"/>
    </row>
    <row r="162" spans="3:7" x14ac:dyDescent="0.3">
      <c r="C162" s="180"/>
      <c r="D162" s="180"/>
      <c r="E162" s="180"/>
      <c r="F162" s="180"/>
      <c r="G162" s="180"/>
    </row>
    <row r="163" spans="3:7" x14ac:dyDescent="0.3">
      <c r="C163" s="180"/>
      <c r="D163" s="180"/>
      <c r="E163" s="180"/>
      <c r="F163" s="180"/>
      <c r="G163" s="180"/>
    </row>
    <row r="164" spans="3:7" x14ac:dyDescent="0.3">
      <c r="C164" s="180"/>
      <c r="D164" s="180"/>
      <c r="E164" s="180"/>
      <c r="F164" s="180"/>
      <c r="G164" s="180"/>
    </row>
    <row r="165" spans="3:7" x14ac:dyDescent="0.3">
      <c r="C165" s="180"/>
      <c r="D165" s="180"/>
      <c r="E165" s="180"/>
      <c r="F165" s="180"/>
      <c r="G165" s="180"/>
    </row>
    <row r="166" spans="3:7" x14ac:dyDescent="0.3">
      <c r="C166" s="180"/>
      <c r="D166" s="180"/>
      <c r="E166" s="180"/>
      <c r="F166" s="180"/>
      <c r="G166" s="180"/>
    </row>
    <row r="167" spans="3:7" x14ac:dyDescent="0.3">
      <c r="C167" s="180"/>
      <c r="D167" s="180"/>
      <c r="E167" s="180"/>
      <c r="F167" s="180"/>
      <c r="G167" s="180"/>
    </row>
    <row r="168" spans="3:7" x14ac:dyDescent="0.3">
      <c r="C168" s="180"/>
      <c r="D168" s="180"/>
      <c r="E168" s="180"/>
      <c r="F168" s="180"/>
      <c r="G168" s="180"/>
    </row>
    <row r="169" spans="3:7" x14ac:dyDescent="0.3">
      <c r="C169" s="180"/>
      <c r="D169" s="180"/>
      <c r="E169" s="180"/>
      <c r="F169" s="180"/>
      <c r="G169" s="180"/>
    </row>
    <row r="170" spans="3:7" x14ac:dyDescent="0.3">
      <c r="C170" s="180"/>
      <c r="D170" s="180"/>
      <c r="E170" s="180"/>
      <c r="F170" s="180"/>
      <c r="G170" s="180"/>
    </row>
    <row r="171" spans="3:7" x14ac:dyDescent="0.3">
      <c r="C171" s="180"/>
      <c r="D171" s="180"/>
      <c r="E171" s="180"/>
      <c r="F171" s="180"/>
      <c r="G171" s="180"/>
    </row>
    <row r="172" spans="3:7" x14ac:dyDescent="0.3">
      <c r="C172" s="180"/>
      <c r="D172" s="180"/>
      <c r="E172" s="180"/>
      <c r="F172" s="180"/>
      <c r="G172" s="180"/>
    </row>
    <row r="173" spans="3:7" x14ac:dyDescent="0.3">
      <c r="C173" s="180"/>
      <c r="D173" s="180"/>
      <c r="E173" s="180"/>
      <c r="F173" s="180"/>
      <c r="G173" s="180"/>
    </row>
    <row r="174" spans="3:7" x14ac:dyDescent="0.3">
      <c r="C174" s="180"/>
      <c r="D174" s="180"/>
      <c r="E174" s="180"/>
      <c r="F174" s="180"/>
      <c r="G174" s="180"/>
    </row>
    <row r="175" spans="3:7" x14ac:dyDescent="0.3">
      <c r="C175" s="180"/>
      <c r="D175" s="180"/>
      <c r="E175" s="180"/>
      <c r="F175" s="180"/>
      <c r="G175" s="180"/>
    </row>
    <row r="176" spans="3:7" x14ac:dyDescent="0.3">
      <c r="C176" s="180"/>
      <c r="D176" s="180"/>
      <c r="E176" s="180"/>
      <c r="F176" s="180"/>
      <c r="G176" s="180"/>
    </row>
    <row r="177" spans="3:7" x14ac:dyDescent="0.3">
      <c r="C177" s="180"/>
      <c r="D177" s="180"/>
      <c r="E177" s="180"/>
      <c r="F177" s="180"/>
      <c r="G177" s="180"/>
    </row>
    <row r="178" spans="3:7" x14ac:dyDescent="0.3">
      <c r="C178" s="180"/>
      <c r="D178" s="180"/>
      <c r="E178" s="180"/>
      <c r="F178" s="180"/>
      <c r="G178" s="180"/>
    </row>
    <row r="179" spans="3:7" x14ac:dyDescent="0.3">
      <c r="C179" s="180"/>
      <c r="D179" s="180"/>
      <c r="E179" s="180"/>
      <c r="F179" s="180"/>
      <c r="G179" s="180"/>
    </row>
    <row r="180" spans="3:7" x14ac:dyDescent="0.3">
      <c r="C180" s="180"/>
      <c r="D180" s="180"/>
      <c r="E180" s="180"/>
      <c r="F180" s="180"/>
      <c r="G180" s="180"/>
    </row>
    <row r="181" spans="3:7" x14ac:dyDescent="0.3">
      <c r="C181" s="180"/>
      <c r="D181" s="180"/>
      <c r="E181" s="180"/>
      <c r="F181" s="180"/>
      <c r="G181" s="180"/>
    </row>
    <row r="182" spans="3:7" x14ac:dyDescent="0.3">
      <c r="C182" s="180"/>
      <c r="D182" s="180"/>
      <c r="E182" s="180"/>
      <c r="F182" s="180"/>
      <c r="G182" s="180"/>
    </row>
    <row r="183" spans="3:7" x14ac:dyDescent="0.3">
      <c r="C183" s="180"/>
      <c r="D183" s="180"/>
      <c r="E183" s="180"/>
      <c r="F183" s="180"/>
      <c r="G183" s="180"/>
    </row>
    <row r="184" spans="3:7" x14ac:dyDescent="0.3">
      <c r="C184" s="180"/>
      <c r="D184" s="180"/>
      <c r="E184" s="180"/>
      <c r="F184" s="180"/>
      <c r="G184" s="180"/>
    </row>
    <row r="185" spans="3:7" x14ac:dyDescent="0.3">
      <c r="C185" s="180"/>
      <c r="D185" s="180"/>
      <c r="E185" s="180"/>
      <c r="F185" s="180"/>
      <c r="G185" s="180"/>
    </row>
    <row r="186" spans="3:7" x14ac:dyDescent="0.3">
      <c r="C186" s="180"/>
      <c r="D186" s="180"/>
      <c r="E186" s="180"/>
      <c r="F186" s="180"/>
      <c r="G186" s="180"/>
    </row>
    <row r="187" spans="3:7" x14ac:dyDescent="0.3">
      <c r="C187" s="180"/>
      <c r="D187" s="180"/>
      <c r="E187" s="180"/>
      <c r="F187" s="180"/>
      <c r="G187" s="180"/>
    </row>
    <row r="188" spans="3:7" x14ac:dyDescent="0.3">
      <c r="C188" s="180"/>
      <c r="D188" s="180"/>
      <c r="E188" s="180"/>
      <c r="F188" s="180"/>
      <c r="G188" s="180"/>
    </row>
    <row r="189" spans="3:7" x14ac:dyDescent="0.3">
      <c r="C189" s="180"/>
      <c r="D189" s="180"/>
      <c r="E189" s="180"/>
      <c r="F189" s="180"/>
      <c r="G189" s="180"/>
    </row>
    <row r="190" spans="3:7" x14ac:dyDescent="0.3">
      <c r="C190" s="180"/>
      <c r="D190" s="180"/>
      <c r="E190" s="180"/>
      <c r="F190" s="180"/>
      <c r="G190" s="180"/>
    </row>
    <row r="191" spans="3:7" x14ac:dyDescent="0.3">
      <c r="C191" s="180"/>
      <c r="D191" s="180"/>
      <c r="E191" s="180"/>
      <c r="F191" s="180"/>
      <c r="G191" s="180"/>
    </row>
    <row r="192" spans="3:7" x14ac:dyDescent="0.3">
      <c r="C192" s="180"/>
      <c r="D192" s="180"/>
      <c r="E192" s="180"/>
      <c r="F192" s="180"/>
      <c r="G192" s="180"/>
    </row>
    <row r="193" spans="3:7" x14ac:dyDescent="0.3">
      <c r="C193" s="180"/>
      <c r="D193" s="180"/>
      <c r="E193" s="180"/>
      <c r="F193" s="180"/>
      <c r="G193" s="180"/>
    </row>
    <row r="194" spans="3:7" x14ac:dyDescent="0.3">
      <c r="C194" s="180"/>
      <c r="D194" s="180"/>
      <c r="E194" s="180"/>
      <c r="F194" s="180"/>
      <c r="G194" s="180"/>
    </row>
    <row r="195" spans="3:7" x14ac:dyDescent="0.3">
      <c r="C195" s="180"/>
      <c r="D195" s="180"/>
      <c r="E195" s="180"/>
      <c r="F195" s="180"/>
      <c r="G195" s="180"/>
    </row>
    <row r="196" spans="3:7" x14ac:dyDescent="0.3">
      <c r="C196" s="180"/>
      <c r="D196" s="180"/>
      <c r="E196" s="180"/>
      <c r="F196" s="180"/>
      <c r="G196" s="180"/>
    </row>
    <row r="197" spans="3:7" x14ac:dyDescent="0.3">
      <c r="C197" s="180"/>
      <c r="D197" s="180"/>
      <c r="E197" s="180"/>
      <c r="F197" s="180"/>
      <c r="G197" s="180"/>
    </row>
  </sheetData>
  <customSheetViews>
    <customSheetView guid="{6D9FC8F7-6352-4BF1-890A-27BF36FADC03}" showGridLines="0" fitToPage="1">
      <selection activeCell="A7" sqref="A7:H68"/>
      <pageMargins left="0.25" right="0" top="0.25" bottom="0.25" header="0.3" footer="0"/>
      <pageSetup scale="30" fitToHeight="0" orientation="landscape" r:id="rId1"/>
    </customSheetView>
    <customSheetView guid="{040B64FF-F135-4C7F-9498-A8399C10673D}" showGridLines="0" fitToPage="1">
      <selection activeCell="A7" sqref="A7:H68"/>
      <pageMargins left="0.25" right="0" top="0.25" bottom="0.25" header="0.3" footer="0"/>
      <pageSetup scale="30" fitToHeight="0" orientation="landscape" r:id="rId2"/>
    </customSheetView>
    <customSheetView guid="{3BEDB203-29A8-4A82-B140-5CE8D0753F8B}" showGridLines="0" fitToPage="1">
      <selection activeCell="A7" sqref="A7:H68"/>
      <pageMargins left="0.25" right="0" top="0.25" bottom="0.25" header="0.3" footer="0"/>
      <pageSetup scale="30" fitToHeight="0" orientation="landscape" r:id="rId3"/>
    </customSheetView>
  </customSheetViews>
  <mergeCells count="6">
    <mergeCell ref="S2:S3"/>
    <mergeCell ref="A1:H1"/>
    <mergeCell ref="A67:G67"/>
    <mergeCell ref="A69:G69"/>
    <mergeCell ref="M2:M3"/>
    <mergeCell ref="N2:N3"/>
  </mergeCells>
  <conditionalFormatting sqref="B126:B1048576 B1:B6 B70">
    <cfRule type="duplicateValues" dxfId="19" priority="49"/>
  </conditionalFormatting>
  <conditionalFormatting sqref="C7:D7 F7:H7">
    <cfRule type="containsText" dxfId="18" priority="31" operator="containsText" text="N/A">
      <formula>NOT(ISERROR(SEARCH("N/A",C7)))</formula>
    </cfRule>
    <cfRule type="containsText" dxfId="17" priority="32" operator="containsText" text="Blank">
      <formula>NOT(ISERROR(SEARCH("Blank",C7)))</formula>
    </cfRule>
    <cfRule type="containsText" dxfId="16" priority="33" operator="containsText" text="M">
      <formula>NOT(ISERROR(SEARCH("M",C7)))</formula>
    </cfRule>
  </conditionalFormatting>
  <conditionalFormatting sqref="B67:B69 B7">
    <cfRule type="duplicateValues" dxfId="15" priority="30"/>
  </conditionalFormatting>
  <conditionalFormatting sqref="B30">
    <cfRule type="duplicateValues" dxfId="14" priority="13"/>
  </conditionalFormatting>
  <conditionalFormatting sqref="B55">
    <cfRule type="duplicateValues" dxfId="13" priority="12"/>
  </conditionalFormatting>
  <conditionalFormatting sqref="B13">
    <cfRule type="duplicateValues" dxfId="12" priority="11"/>
  </conditionalFormatting>
  <conditionalFormatting sqref="B56:B66 B31:B54 B8:B12 B14:B28">
    <cfRule type="duplicateValues" dxfId="11" priority="14"/>
  </conditionalFormatting>
  <conditionalFormatting sqref="B29">
    <cfRule type="duplicateValues" dxfId="10" priority="15"/>
  </conditionalFormatting>
  <conditionalFormatting sqref="O25">
    <cfRule type="duplicateValues" dxfId="9" priority="1"/>
  </conditionalFormatting>
  <conditionalFormatting sqref="O4:O9 O12:O18">
    <cfRule type="duplicateValues" dxfId="8" priority="10"/>
  </conditionalFormatting>
  <conditionalFormatting sqref="O10">
    <cfRule type="duplicateValues" dxfId="7" priority="9"/>
  </conditionalFormatting>
  <conditionalFormatting sqref="O11">
    <cfRule type="duplicateValues" dxfId="6" priority="8"/>
  </conditionalFormatting>
  <conditionalFormatting sqref="O19:O24 O32:O34 O26:O30">
    <cfRule type="duplicateValues" dxfId="5" priority="7"/>
  </conditionalFormatting>
  <conditionalFormatting sqref="O36:O52">
    <cfRule type="duplicateValues" dxfId="4" priority="6"/>
  </conditionalFormatting>
  <conditionalFormatting sqref="O35">
    <cfRule type="duplicateValues" dxfId="3" priority="5"/>
  </conditionalFormatting>
  <conditionalFormatting sqref="O53:O60">
    <cfRule type="duplicateValues" dxfId="2" priority="4"/>
  </conditionalFormatting>
  <conditionalFormatting sqref="O61:O64">
    <cfRule type="duplicateValues" dxfId="1" priority="3"/>
  </conditionalFormatting>
  <conditionalFormatting sqref="O31">
    <cfRule type="duplicateValues" dxfId="0" priority="2"/>
  </conditionalFormatting>
  <dataValidations count="3">
    <dataValidation type="list" allowBlank="1" showInputMessage="1" showErrorMessage="1" sqref="V2">
      <formula1>"Passed, Failed, N/A"</formula1>
    </dataValidation>
    <dataValidation type="list" allowBlank="1" showInputMessage="1" showErrorMessage="1" sqref="W2">
      <formula1>"Y, N"</formula1>
    </dataValidation>
    <dataValidation type="list" allowBlank="1" showInputMessage="1" showErrorMessage="1" sqref="T1:X1 T3:X18 T2 T69:X1048576 T20:X64">
      <formula1>"M, O, N/A"</formula1>
    </dataValidation>
  </dataValidations>
  <pageMargins left="0.25" right="0" top="0.25" bottom="0.25" header="0.3" footer="0"/>
  <pageSetup scale="30" fitToHeight="0" orientation="landscape" r:id="rId4"/>
  <drawing r:id="rId5"/>
  <legacy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Sheet1</vt:lpstr>
      <vt:lpstr>Summary</vt:lpstr>
      <vt:lpstr>CBL Training Courses</vt:lpstr>
      <vt:lpstr>CBL Level Definition</vt:lpstr>
      <vt:lpstr>CBL Score Standard</vt:lpstr>
      <vt:lpstr>Template</vt:lpstr>
      <vt:lpstr>Truong Dao</vt:lpstr>
      <vt:lpstr>Duong Nguyen</vt:lpstr>
      <vt:lpstr>Cuong Truong</vt:lpstr>
      <vt:lpstr>Thuy Dang</vt:lpstr>
      <vt:lpstr>Na Nguyen</vt:lpstr>
      <vt:lpstr>Khanh Ha</vt:lpstr>
      <vt:lpstr>Hien Tran</vt:lpstr>
      <vt:lpstr>Tung Tran</vt:lpstr>
      <vt:lpstr>Duyen Pham</vt:lpstr>
      <vt:lpstr>yen2.nguyen</vt:lpstr>
      <vt:lpstr>Thanh5.nguyen</vt:lpstr>
      <vt:lpstr>Anh To</vt:lpstr>
      <vt:lpstr>Mai Le</vt:lpstr>
      <vt:lpstr>Huyen2.Nguyen</vt:lpstr>
      <vt:lpstr>Anh Tran</vt:lpstr>
      <vt:lpstr>Ha.Han</vt:lpstr>
      <vt:lpstr>Chinh.Tran</vt:lpstr>
      <vt:lpstr>Phuong Nguyen</vt:lpstr>
      <vt:lpstr>Bich Do</vt:lpstr>
      <vt:lpstr>Tuan4.nguyen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honglien.nguyen</dc:creator>
  <cp:lastModifiedBy>truong.dao</cp:lastModifiedBy>
  <cp:lastPrinted>2021-02-05T12:37:02Z</cp:lastPrinted>
  <dcterms:created xsi:type="dcterms:W3CDTF">2019-01-28T02:34:51Z</dcterms:created>
  <dcterms:modified xsi:type="dcterms:W3CDTF">2021-02-05T13:32:15Z</dcterms:modified>
</cp:coreProperties>
</file>